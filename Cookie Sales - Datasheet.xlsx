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xr:revisionPtr revIDLastSave="0" documentId="8_{A55428FA-5973-45F9-985A-B65AAA9893F4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Pivot - Regional Sales" sheetId="3" r:id="rId1"/>
    <sheet name="Pivot - Product Sales" sheetId="5" r:id="rId2"/>
    <sheet name="Raw Data" sheetId="1" r:id="rId3"/>
  </sheets>
  <definedNames>
    <definedName name="Slicer_Product">#N/A</definedName>
    <definedName name="Slicer_Region">#N/A</definedName>
    <definedName name="Slicer_Salesperson">#N/A</definedName>
    <definedName name="Slicer_Salesperson1">#N/A</definedName>
  </definedNames>
  <calcPr calcId="191028"/>
  <pivotCaches>
    <pivotCache cacheId="5244" r:id="rId4"/>
    <pivotCache cacheId="524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<sst xmlns="http://schemas.openxmlformats.org/spreadsheetml/2006/main" count="500" uniqueCount="179">
  <si>
    <t>Salesperson</t>
  </si>
  <si>
    <t>Region</t>
  </si>
  <si>
    <t>Sum of Clean Sales</t>
  </si>
  <si>
    <t>Alice</t>
  </si>
  <si>
    <t>Portland</t>
  </si>
  <si>
    <t>San Francisco</t>
  </si>
  <si>
    <t>Los Angeles</t>
  </si>
  <si>
    <t>Alice Total</t>
  </si>
  <si>
    <t>Charlie</t>
  </si>
  <si>
    <t>Seattle</t>
  </si>
  <si>
    <t>Charlie Total</t>
  </si>
  <si>
    <t>Diana</t>
  </si>
  <si>
    <t>Diana Total</t>
  </si>
  <si>
    <t>Eve</t>
  </si>
  <si>
    <t>Eve Total</t>
  </si>
  <si>
    <t>Bob</t>
  </si>
  <si>
    <t>Bob Total</t>
  </si>
  <si>
    <t>Grand Total</t>
  </si>
  <si>
    <t>Product</t>
  </si>
  <si>
    <t>Sum of Amount</t>
  </si>
  <si>
    <t>Peanut Butter Cookies</t>
  </si>
  <si>
    <t>Sugar Cookies</t>
  </si>
  <si>
    <t>Date</t>
  </si>
  <si>
    <t>Sales</t>
  </si>
  <si>
    <t>Amount</t>
  </si>
  <si>
    <t>Clean Sales</t>
  </si>
  <si>
    <t>Lookup Test</t>
  </si>
  <si>
    <t>$802</t>
  </si>
  <si>
    <t>$501</t>
  </si>
  <si>
    <t>Chocolate Chip Cookies</t>
  </si>
  <si>
    <t>$829</t>
  </si>
  <si>
    <t>$655</t>
  </si>
  <si>
    <t>$261</t>
  </si>
  <si>
    <t>$301</t>
  </si>
  <si>
    <t>$369</t>
  </si>
  <si>
    <t>$962</t>
  </si>
  <si>
    <t>$915</t>
  </si>
  <si>
    <t>Oatmeal Raisin Cookies</t>
  </si>
  <si>
    <t>$370</t>
  </si>
  <si>
    <t>$555</t>
  </si>
  <si>
    <t>$561</t>
  </si>
  <si>
    <t>1/13/2024</t>
  </si>
  <si>
    <t>$826</t>
  </si>
  <si>
    <t>1/14/2024</t>
  </si>
  <si>
    <t>$351</t>
  </si>
  <si>
    <t>1/15/2024</t>
  </si>
  <si>
    <t>$801</t>
  </si>
  <si>
    <t>1/16/2024</t>
  </si>
  <si>
    <t>$395</t>
  </si>
  <si>
    <t>1/17/2024</t>
  </si>
  <si>
    <t>$824</t>
  </si>
  <si>
    <t>1/18/2024</t>
  </si>
  <si>
    <t>$819</t>
  </si>
  <si>
    <t>1/19/2024</t>
  </si>
  <si>
    <t>$848</t>
  </si>
  <si>
    <t>1/20/2024</t>
  </si>
  <si>
    <t>$437</t>
  </si>
  <si>
    <t>1/21/2024</t>
  </si>
  <si>
    <t>$978</t>
  </si>
  <si>
    <t>1/22/2024</t>
  </si>
  <si>
    <t>$152</t>
  </si>
  <si>
    <t>1/23/2024</t>
  </si>
  <si>
    <t>$891</t>
  </si>
  <si>
    <t>1/24/2024</t>
  </si>
  <si>
    <t>$316</t>
  </si>
  <si>
    <t>1/25/2024</t>
  </si>
  <si>
    <t>$863</t>
  </si>
  <si>
    <t>1/26/2024</t>
  </si>
  <si>
    <t>$287</t>
  </si>
  <si>
    <t>1/27/2024</t>
  </si>
  <si>
    <t>$479</t>
  </si>
  <si>
    <t>1/28/2024</t>
  </si>
  <si>
    <t>$592</t>
  </si>
  <si>
    <t>1/29/2024</t>
  </si>
  <si>
    <t>$140</t>
  </si>
  <si>
    <t>1/30/2024</t>
  </si>
  <si>
    <t>$256</t>
  </si>
  <si>
    <t>1/31/2024</t>
  </si>
  <si>
    <t>$114</t>
  </si>
  <si>
    <t>$912</t>
  </si>
  <si>
    <t>$164</t>
  </si>
  <si>
    <t>$956</t>
  </si>
  <si>
    <t>$938</t>
  </si>
  <si>
    <t>$620</t>
  </si>
  <si>
    <t>$443</t>
  </si>
  <si>
    <t>$228</t>
  </si>
  <si>
    <t>$747</t>
  </si>
  <si>
    <t>$571</t>
  </si>
  <si>
    <t>$162</t>
  </si>
  <si>
    <t>$238</t>
  </si>
  <si>
    <t>$598</t>
  </si>
  <si>
    <t>2/13/2024</t>
  </si>
  <si>
    <t>$692</t>
  </si>
  <si>
    <t>2/14/2024</t>
  </si>
  <si>
    <t>$491</t>
  </si>
  <si>
    <t>2/15/2024</t>
  </si>
  <si>
    <t>$774</t>
  </si>
  <si>
    <t>2/16/2024</t>
  </si>
  <si>
    <t>$518</t>
  </si>
  <si>
    <t>2/17/2024</t>
  </si>
  <si>
    <t>$388</t>
  </si>
  <si>
    <t>2/18/2024</t>
  </si>
  <si>
    <t>$478</t>
  </si>
  <si>
    <t>2/19/2024</t>
  </si>
  <si>
    <t>$872</t>
  </si>
  <si>
    <t>2/20/2024</t>
  </si>
  <si>
    <t>$589</t>
  </si>
  <si>
    <t>2/21/2024</t>
  </si>
  <si>
    <t>$330</t>
  </si>
  <si>
    <t>2/22/2024</t>
  </si>
  <si>
    <t>2/23/2024</t>
  </si>
  <si>
    <t>$127</t>
  </si>
  <si>
    <t>2/24/2024</t>
  </si>
  <si>
    <t>$234</t>
  </si>
  <si>
    <t>2/25/2024</t>
  </si>
  <si>
    <t>$300</t>
  </si>
  <si>
    <t>2/26/2024</t>
  </si>
  <si>
    <t>$939</t>
  </si>
  <si>
    <t>2/27/2024</t>
  </si>
  <si>
    <t>$879</t>
  </si>
  <si>
    <t>2/28/2024</t>
  </si>
  <si>
    <t>$132</t>
  </si>
  <si>
    <t>2/29/2024</t>
  </si>
  <si>
    <t>$147</t>
  </si>
  <si>
    <t>$602</t>
  </si>
  <si>
    <t>$506</t>
  </si>
  <si>
    <t>$673</t>
  </si>
  <si>
    <t>$827</t>
  </si>
  <si>
    <t>$904</t>
  </si>
  <si>
    <t>$198</t>
  </si>
  <si>
    <t>$783</t>
  </si>
  <si>
    <t>$971</t>
  </si>
  <si>
    <t>$825</t>
  </si>
  <si>
    <t>$646</t>
  </si>
  <si>
    <t>$838</t>
  </si>
  <si>
    <t>$712</t>
  </si>
  <si>
    <t>3/13/2024</t>
  </si>
  <si>
    <t>3/14/2024</t>
  </si>
  <si>
    <t>$742</t>
  </si>
  <si>
    <t>3/15/2024</t>
  </si>
  <si>
    <t>$868</t>
  </si>
  <si>
    <t>3/16/2024</t>
  </si>
  <si>
    <t>$104</t>
  </si>
  <si>
    <t>3/17/2024</t>
  </si>
  <si>
    <t>$317</t>
  </si>
  <si>
    <t>3/18/2024</t>
  </si>
  <si>
    <t>3/19/2024</t>
  </si>
  <si>
    <t>$866</t>
  </si>
  <si>
    <t>3/20/2024</t>
  </si>
  <si>
    <t>$497</t>
  </si>
  <si>
    <t>3/21/2024</t>
  </si>
  <si>
    <t>$970</t>
  </si>
  <si>
    <t>3/22/2024</t>
  </si>
  <si>
    <t>$894</t>
  </si>
  <si>
    <t>3/23/2024</t>
  </si>
  <si>
    <t>$492</t>
  </si>
  <si>
    <t>3/24/2024</t>
  </si>
  <si>
    <t>$306</t>
  </si>
  <si>
    <t>3/25/2024</t>
  </si>
  <si>
    <t>3/26/2024</t>
  </si>
  <si>
    <t>$957</t>
  </si>
  <si>
    <t>3/27/2024</t>
  </si>
  <si>
    <t>$653</t>
  </si>
  <si>
    <t>3/28/2024</t>
  </si>
  <si>
    <t>$991</t>
  </si>
  <si>
    <t>3/29/2024</t>
  </si>
  <si>
    <t>$560</t>
  </si>
  <si>
    <t>3/30/2024</t>
  </si>
  <si>
    <t>$790</t>
  </si>
  <si>
    <t>3/31/2024</t>
  </si>
  <si>
    <t>$674</t>
  </si>
  <si>
    <t>$963</t>
  </si>
  <si>
    <t>$842</t>
  </si>
  <si>
    <t>$340</t>
  </si>
  <si>
    <t>$663</t>
  </si>
  <si>
    <t>$195</t>
  </si>
  <si>
    <t>$999</t>
  </si>
  <si>
    <t>$833</t>
  </si>
  <si>
    <t>$584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</si>
</sst>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/>
    <xf numFmtId="0" fontId="2" fillId="3" borderId="0" xfId="0" applyFont="1" applyFill="1" applyBorder="1" applyAlignment="1"/>
    <xf numFmtId="14" fontId="2" fillId="3" borderId="0" xfId="0" applyNumberFormat="1" applyFont="1" applyFill="1" applyBorder="1" applyAlignment="1"/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0" fillId="0" borderId="0" xfId="0" pivotButton="1"/>
    <xf numFmtId="164" fontId="0" fillId="0" borderId="0" xfId="0" pivotButton="1" applyNumberFormat="1"/>
    <xf numFmtId="164" fontId="0" fillId="0" borderId="0" xfId="0" applyNumberFormat="1"/>
    <xf numFmtId="0" fontId="1" fillId="2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3">
    <dxf>
      <numFmt numFmtId="164" formatCode="&quot;£&quot;#,##0.00"/>
    </dxf>
    <dxf>
      <numFmt numFmtId="164" formatCode="&quot;£&quot;#,##0.00"/>
    </dxf>
    <dxf>
      <numFmt numFmtId="164" formatCode="&quot;£&quot;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 Sales - Datasheet.xlsx]Pivot - Regional 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Regional Sales'!$C$3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- Regional Sales'!$A$4:$B$24</c:f>
              <c:multiLvlStrCache>
                <c:ptCount val="15"/>
                <c:lvl>
                  <c:pt idx="0">
                    <c:v>Portland</c:v>
                  </c:pt>
                  <c:pt idx="1">
                    <c:v>San Francisco</c:v>
                  </c:pt>
                  <c:pt idx="2">
                    <c:v>Los Angeles</c:v>
                  </c:pt>
                  <c:pt idx="3">
                    <c:v>San Francisco</c:v>
                  </c:pt>
                  <c:pt idx="4">
                    <c:v>Portland</c:v>
                  </c:pt>
                  <c:pt idx="5">
                    <c:v>Los Angeles</c:v>
                  </c:pt>
                  <c:pt idx="6">
                    <c:v>Seattle</c:v>
                  </c:pt>
                  <c:pt idx="7">
                    <c:v>San Francisco</c:v>
                  </c:pt>
                  <c:pt idx="8">
                    <c:v>Los Angeles</c:v>
                  </c:pt>
                  <c:pt idx="9">
                    <c:v>Seattle</c:v>
                  </c:pt>
                  <c:pt idx="10">
                    <c:v>Portland</c:v>
                  </c:pt>
                  <c:pt idx="11">
                    <c:v>Portland</c:v>
                  </c:pt>
                  <c:pt idx="12">
                    <c:v>Seattle</c:v>
                  </c:pt>
                  <c:pt idx="13">
                    <c:v>Portland</c:v>
                  </c:pt>
                  <c:pt idx="14">
                    <c:v>Seattle</c:v>
                  </c:pt>
                </c:lvl>
                <c:lvl>
                  <c:pt idx="0">
                    <c:v>Alice</c:v>
                  </c:pt>
                  <c:pt idx="3">
                    <c:v>Charlie</c:v>
                  </c:pt>
                  <c:pt idx="7">
                    <c:v>Diana</c:v>
                  </c:pt>
                  <c:pt idx="11">
                    <c:v>Eve</c:v>
                  </c:pt>
                  <c:pt idx="13">
                    <c:v>Bob</c:v>
                  </c:pt>
                </c:lvl>
              </c:multiLvlStrCache>
            </c:multiLvlStrRef>
          </c:cat>
          <c:val>
            <c:numRef>
              <c:f>'Pivot - Regional Sales'!$C$4:$C$24</c:f>
              <c:numCache>
                <c:formatCode>"£"#,##0.00</c:formatCode>
                <c:ptCount val="15"/>
                <c:pt idx="0">
                  <c:v>2726</c:v>
                </c:pt>
                <c:pt idx="1">
                  <c:v>762</c:v>
                </c:pt>
                <c:pt idx="2">
                  <c:v>152</c:v>
                </c:pt>
                <c:pt idx="3">
                  <c:v>962</c:v>
                </c:pt>
                <c:pt idx="4">
                  <c:v>655</c:v>
                </c:pt>
                <c:pt idx="5">
                  <c:v>395</c:v>
                </c:pt>
                <c:pt idx="6">
                  <c:v>370</c:v>
                </c:pt>
                <c:pt idx="7">
                  <c:v>2655</c:v>
                </c:pt>
                <c:pt idx="8">
                  <c:v>802</c:v>
                </c:pt>
                <c:pt idx="9">
                  <c:v>617</c:v>
                </c:pt>
                <c:pt idx="10">
                  <c:v>369</c:v>
                </c:pt>
                <c:pt idx="11">
                  <c:v>1385</c:v>
                </c:pt>
                <c:pt idx="12">
                  <c:v>891</c:v>
                </c:pt>
                <c:pt idx="13">
                  <c:v>1177</c:v>
                </c:pt>
                <c:pt idx="14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61B-A4CD-752D54CDE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678152"/>
        <c:axId val="892680712"/>
      </c:barChart>
      <c:catAx>
        <c:axId val="89267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80712"/>
        <c:crosses val="autoZero"/>
        <c:auto val="1"/>
        <c:lblAlgn val="ctr"/>
        <c:lblOffset val="100"/>
        <c:noMultiLvlLbl val="0"/>
      </c:catAx>
      <c:valAx>
        <c:axId val="89268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7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 Sales - Datasheet.xlsx]Pivot - Product Sales!PivotTable1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Product Sales'!$C$3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- Product Sales'!$A$4:$B$7</c:f>
              <c:multiLvlStrCache>
                <c:ptCount val="2"/>
                <c:lvl>
                  <c:pt idx="0">
                    <c:v>Peanut Butter Cookies</c:v>
                  </c:pt>
                  <c:pt idx="1">
                    <c:v>Sugar Cookies</c:v>
                  </c:pt>
                </c:lvl>
                <c:lvl>
                  <c:pt idx="0">
                    <c:v>Bob</c:v>
                  </c:pt>
                </c:lvl>
              </c:multiLvlStrCache>
            </c:multiLvlStrRef>
          </c:cat>
          <c:val>
            <c:numRef>
              <c:f>'Pivot - Product Sales'!$C$4:$C$7</c:f>
              <c:numCache>
                <c:formatCode>"£"#,##0.00</c:formatCode>
                <c:ptCount val="2"/>
                <c:pt idx="0">
                  <c:v>24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0-451F-93C1-5F7313CFF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3192"/>
        <c:axId val="18655752"/>
      </c:barChart>
      <c:catAx>
        <c:axId val="1865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752"/>
        <c:crosses val="autoZero"/>
        <c:auto val="1"/>
        <c:lblAlgn val="ctr"/>
        <c:lblOffset val="100"/>
        <c:noMultiLvlLbl val="0"/>
      </c:catAx>
      <c:valAx>
        <c:axId val="1865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2</xdr:row>
      <xdr:rowOff>19050</xdr:rowOff>
    </xdr:from>
    <xdr:to>
      <xdr:col>9</xdr:col>
      <xdr:colOff>66675</xdr:colOff>
      <xdr:row>15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alesperson">
              <a:extLst>
                <a:ext uri="{FF2B5EF4-FFF2-40B4-BE49-F238E27FC236}">
                  <a16:creationId xmlns:a16="http://schemas.microsoft.com/office/drawing/2014/main" id="{D77D40B2-3235-66D1-CAA0-A06A871873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6125" y="40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114300</xdr:colOff>
      <xdr:row>2</xdr:row>
      <xdr:rowOff>28575</xdr:rowOff>
    </xdr:from>
    <xdr:to>
      <xdr:col>15</xdr:col>
      <xdr:colOff>228600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484A91C6-3FCA-3872-000B-EF37EA820618}"/>
                </a:ext>
                <a:ext uri="{147F2762-F138-4A5C-976F-8EAC2B608ADB}">
                  <a16:predDERef xmlns:a16="http://schemas.microsoft.com/office/drawing/2014/main" pred="{D77D40B2-3235-66D1-CAA0-A06A871873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5450" y="409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16</xdr:col>
      <xdr:colOff>295275</xdr:colOff>
      <xdr:row>2</xdr:row>
      <xdr:rowOff>19050</xdr:rowOff>
    </xdr:from>
    <xdr:to>
      <xdr:col>30</xdr:col>
      <xdr:colOff>66675</xdr:colOff>
      <xdr:row>16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1B8D9D-7E0D-501F-D9FB-DBD4A0BB452E}"/>
            </a:ext>
            <a:ext uri="{147F2762-F138-4A5C-976F-8EAC2B608ADB}">
              <a16:predDERef xmlns:a16="http://schemas.microsoft.com/office/drawing/2014/main" pred="{484A91C6-3FCA-3872-000B-EF37EA820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1</xdr:row>
      <xdr:rowOff>123825</xdr:rowOff>
    </xdr:from>
    <xdr:to>
      <xdr:col>7</xdr:col>
      <xdr:colOff>247650</xdr:colOff>
      <xdr:row>15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alesperson 1">
              <a:extLst>
                <a:ext uri="{FF2B5EF4-FFF2-40B4-BE49-F238E27FC236}">
                  <a16:creationId xmlns:a16="http://schemas.microsoft.com/office/drawing/2014/main" id="{DF1B2E38-A9DA-C783-2BD8-DCAB8E5622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314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295275</xdr:colOff>
      <xdr:row>1</xdr:row>
      <xdr:rowOff>114300</xdr:rowOff>
    </xdr:from>
    <xdr:to>
      <xdr:col>10</xdr:col>
      <xdr:colOff>295275</xdr:colOff>
      <xdr:row>15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">
              <a:extLst>
                <a:ext uri="{FF2B5EF4-FFF2-40B4-BE49-F238E27FC236}">
                  <a16:creationId xmlns:a16="http://schemas.microsoft.com/office/drawing/2014/main" id="{7A081C81-727C-97E0-D7BC-0492A5664DC6}"/>
                </a:ext>
                <a:ext uri="{147F2762-F138-4A5C-976F-8EAC2B608ADB}">
                  <a16:predDERef xmlns:a16="http://schemas.microsoft.com/office/drawing/2014/main" pred="{DF1B2E38-A9DA-C783-2BD8-DCAB8E5622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86550" y="304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561975</xdr:colOff>
      <xdr:row>17</xdr:row>
      <xdr:rowOff>57150</xdr:rowOff>
    </xdr:from>
    <xdr:to>
      <xdr:col>4</xdr:col>
      <xdr:colOff>571500</xdr:colOff>
      <xdr:row>31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777353-DD28-547A-9E7A-D9A460838442}"/>
            </a:ext>
            <a:ext uri="{147F2762-F138-4A5C-976F-8EAC2B608ADB}">
              <a16:predDERef xmlns:a16="http://schemas.microsoft.com/office/drawing/2014/main" pred="{7A081C81-727C-97E0-D7BC-0492A5664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2.415596412036" createdVersion="8" refreshedVersion="8" minRefreshableVersion="3" recordCount="24" xr:uid="{C029C0D7-58CA-4E96-9AF2-B46BE4ADC0A8}">
  <cacheSource type="worksheet">
    <worksheetSource ref="A1:G25" sheet="Raw Data"/>
  </cacheSource>
  <cacheFields count="7">
    <cacheField name="Date" numFmtId="0">
      <sharedItems containsDate="1" containsMixedTypes="1" minDate="2024-01-01T00:00:00" maxDate="2024-12-02T00:00:00"/>
    </cacheField>
    <cacheField name="Salesperson" numFmtId="0">
      <sharedItems count="5">
        <s v="Diana"/>
        <s v="Alice"/>
        <s v="Charlie"/>
        <s v="Eve"/>
        <s v="Bob"/>
      </sharedItems>
    </cacheField>
    <cacheField name="Region" numFmtId="0">
      <sharedItems count="4">
        <s v="Los Angeles"/>
        <s v="San Francisco"/>
        <s v="Portland"/>
        <s v="Seattle"/>
      </sharedItems>
    </cacheField>
    <cacheField name="Product" numFmtId="0">
      <sharedItems/>
    </cacheField>
    <cacheField name="Sales" numFmtId="0">
      <sharedItems/>
    </cacheField>
    <cacheField name="Amount" numFmtId="0">
      <sharedItems containsSemiMixedTypes="0" containsString="0" containsNumber="1" containsInteger="1" minValue="1" maxValue="19"/>
    </cacheField>
    <cacheField name="Clean Sales" numFmtId="0">
      <sharedItems containsSemiMixedTypes="0" containsString="0" containsNumber="1" containsInteger="1" minValue="152" maxValue="978"/>
    </cacheField>
  </cacheFields>
  <extLst>
    <ext xmlns:x14="http://schemas.microsoft.com/office/spreadsheetml/2009/9/main" uri="{725AE2AE-9491-48be-B2B4-4EB974FC3084}">
      <x14:pivotCacheDefinition pivotCacheId="49292168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2.425845486112" createdVersion="8" refreshedVersion="8" minRefreshableVersion="3" recordCount="29" xr:uid="{340CA04A-10E7-48F3-8CB9-9B5DAD908FDA}">
  <cacheSource type="worksheet">
    <worksheetSource ref="A1:G30" sheet="Raw Data"/>
  </cacheSource>
  <cacheFields count="7">
    <cacheField name="Date" numFmtId="0">
      <sharedItems containsDate="1" containsMixedTypes="1" minDate="2024-01-01T00:00:00" maxDate="2024-12-02T00:00:00" count="29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/13/2024"/>
        <s v="1/14/2024"/>
        <s v="1/15/2024"/>
        <s v="1/16/2024"/>
        <s v="1/17/2024"/>
        <s v="1/18/2024"/>
        <s v="1/19/2024"/>
        <s v="1/20/2024"/>
        <s v="1/21/2024"/>
        <s v="1/22/2024"/>
        <s v="1/23/2024"/>
        <s v="1/24/2024"/>
        <s v="1/25/2024"/>
        <s v="1/26/2024"/>
        <s v="1/27/2024"/>
        <s v="1/28/2024"/>
        <s v="1/29/2024"/>
      </sharedItems>
    </cacheField>
    <cacheField name="Salesperson" numFmtId="0">
      <sharedItems count="5">
        <s v="Diana"/>
        <s v="Alice"/>
        <s v="Charlie"/>
        <s v="Eve"/>
        <s v="Bob"/>
      </sharedItems>
    </cacheField>
    <cacheField name="Region" numFmtId="0">
      <sharedItems/>
    </cacheField>
    <cacheField name="Product" numFmtId="0">
      <sharedItems count="4">
        <s v="Peanut Butter Cookies"/>
        <s v="Sugar Cookies"/>
        <s v="Chocolate Chip Cookies"/>
        <s v="Oatmeal Raisin Cookies"/>
      </sharedItems>
    </cacheField>
    <cacheField name="Sales" numFmtId="0">
      <sharedItems/>
    </cacheField>
    <cacheField name="Amount" numFmtId="0">
      <sharedItems containsSemiMixedTypes="0" containsString="0" containsNumber="1" containsInteger="1" minValue="1" maxValue="19" count="15">
        <n v="7"/>
        <n v="13"/>
        <n v="15"/>
        <n v="11"/>
        <n v="4"/>
        <n v="19"/>
        <n v="2"/>
        <n v="10"/>
        <n v="6"/>
        <n v="12"/>
        <n v="1"/>
        <n v="9"/>
        <n v="3"/>
        <n v="8"/>
        <n v="5"/>
      </sharedItems>
    </cacheField>
    <cacheField name="Clean Sales" numFmtId="0">
      <sharedItems containsString="0" containsBlank="1" containsNumber="1" containsInteger="1" minValue="152" maxValue="978" count="25">
        <n v="802"/>
        <n v="501"/>
        <n v="829"/>
        <n v="655"/>
        <n v="261"/>
        <n v="301"/>
        <n v="369"/>
        <n v="962"/>
        <n v="915"/>
        <n v="370"/>
        <n v="555"/>
        <n v="561"/>
        <n v="826"/>
        <n v="351"/>
        <n v="801"/>
        <n v="395"/>
        <n v="824"/>
        <n v="819"/>
        <n v="848"/>
        <n v="437"/>
        <n v="978"/>
        <n v="152"/>
        <n v="891"/>
        <n v="316"/>
        <m/>
      </sharedItems>
    </cacheField>
  </cacheFields>
  <extLst>
    <ext xmlns:x14="http://schemas.microsoft.com/office/spreadsheetml/2009/9/main" uri="{725AE2AE-9491-48be-B2B4-4EB974FC3084}">
      <x14:pivotCacheDefinition pivotCacheId="14934802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4-01-01T00:00:00"/>
    <x v="0"/>
    <x v="0"/>
    <s v="Peanut Butter Cookies"/>
    <s v="$802"/>
    <n v="7"/>
    <n v="802"/>
  </r>
  <r>
    <d v="2024-02-01T00:00:00"/>
    <x v="1"/>
    <x v="1"/>
    <s v="Sugar Cookies"/>
    <s v="$501"/>
    <n v="13"/>
    <n v="501"/>
  </r>
  <r>
    <d v="2024-03-01T00:00:00"/>
    <x v="0"/>
    <x v="1"/>
    <s v="Chocolate Chip Cookies"/>
    <s v="$829"/>
    <n v="15"/>
    <n v="829"/>
  </r>
  <r>
    <d v="2024-04-01T00:00:00"/>
    <x v="2"/>
    <x v="2"/>
    <s v="Peanut Butter Cookies"/>
    <s v="$655"/>
    <n v="11"/>
    <n v="655"/>
  </r>
  <r>
    <d v="2024-05-01T00:00:00"/>
    <x v="1"/>
    <x v="1"/>
    <s v="Peanut Butter Cookies"/>
    <s v="$261"/>
    <n v="4"/>
    <n v="261"/>
  </r>
  <r>
    <d v="2024-06-01T00:00:00"/>
    <x v="0"/>
    <x v="3"/>
    <s v="Sugar Cookies"/>
    <s v="$301"/>
    <n v="13"/>
    <n v="301"/>
  </r>
  <r>
    <d v="2024-07-01T00:00:00"/>
    <x v="0"/>
    <x v="2"/>
    <s v="Chocolate Chip Cookies"/>
    <s v="$369"/>
    <n v="7"/>
    <n v="369"/>
  </r>
  <r>
    <d v="2024-08-01T00:00:00"/>
    <x v="2"/>
    <x v="1"/>
    <s v="Chocolate Chip Cookies"/>
    <s v="$962"/>
    <n v="19"/>
    <n v="962"/>
  </r>
  <r>
    <d v="2024-09-01T00:00:00"/>
    <x v="1"/>
    <x v="2"/>
    <s v="Peanut Butter Cookies"/>
    <s v="$915"/>
    <n v="2"/>
    <n v="915"/>
  </r>
  <r>
    <d v="2024-10-01T00:00:00"/>
    <x v="2"/>
    <x v="3"/>
    <s v="Oatmeal Raisin Cookies"/>
    <s v="$370"/>
    <n v="10"/>
    <n v="370"/>
  </r>
  <r>
    <d v="2024-11-01T00:00:00"/>
    <x v="1"/>
    <x v="2"/>
    <s v="Peanut Butter Cookies"/>
    <s v="$555"/>
    <n v="13"/>
    <n v="555"/>
  </r>
  <r>
    <d v="2024-12-01T00:00:00"/>
    <x v="3"/>
    <x v="2"/>
    <s v="Peanut Butter Cookies"/>
    <s v="$561"/>
    <n v="6"/>
    <n v="561"/>
  </r>
  <r>
    <s v="1/13/2024"/>
    <x v="4"/>
    <x v="2"/>
    <s v="Peanut Butter Cookies"/>
    <s v="$826"/>
    <n v="12"/>
    <n v="826"/>
  </r>
  <r>
    <s v="1/14/2024"/>
    <x v="4"/>
    <x v="2"/>
    <s v="Peanut Butter Cookies"/>
    <s v="$351"/>
    <n v="12"/>
    <n v="351"/>
  </r>
  <r>
    <s v="1/15/2024"/>
    <x v="4"/>
    <x v="3"/>
    <s v="Sugar Cookies"/>
    <s v="$801"/>
    <n v="11"/>
    <n v="801"/>
  </r>
  <r>
    <s v="1/16/2024"/>
    <x v="2"/>
    <x v="0"/>
    <s v="Chocolate Chip Cookies"/>
    <s v="$395"/>
    <n v="7"/>
    <n v="395"/>
  </r>
  <r>
    <s v="1/17/2024"/>
    <x v="3"/>
    <x v="2"/>
    <s v="Sugar Cookies"/>
    <s v="$824"/>
    <n v="1"/>
    <n v="824"/>
  </r>
  <r>
    <s v="1/18/2024"/>
    <x v="1"/>
    <x v="2"/>
    <s v="Sugar Cookies"/>
    <s v="$819"/>
    <n v="1"/>
    <n v="819"/>
  </r>
  <r>
    <s v="1/19/2024"/>
    <x v="0"/>
    <x v="1"/>
    <s v="Sugar Cookies"/>
    <s v="$848"/>
    <n v="13"/>
    <n v="848"/>
  </r>
  <r>
    <s v="1/20/2024"/>
    <x v="1"/>
    <x v="2"/>
    <s v="Peanut Butter Cookies"/>
    <s v="$437"/>
    <n v="9"/>
    <n v="437"/>
  </r>
  <r>
    <s v="1/21/2024"/>
    <x v="0"/>
    <x v="1"/>
    <s v="Oatmeal Raisin Cookies"/>
    <s v="$978"/>
    <n v="3"/>
    <n v="978"/>
  </r>
  <r>
    <s v="1/22/2024"/>
    <x v="1"/>
    <x v="0"/>
    <s v="Chocolate Chip Cookies"/>
    <s v="$152"/>
    <n v="7"/>
    <n v="152"/>
  </r>
  <r>
    <s v="1/23/2024"/>
    <x v="3"/>
    <x v="3"/>
    <s v="Oatmeal Raisin Cookies"/>
    <s v="$891"/>
    <n v="6"/>
    <n v="891"/>
  </r>
  <r>
    <s v="1/24/2024"/>
    <x v="0"/>
    <x v="3"/>
    <s v="Sugar Cookies"/>
    <s v="$316"/>
    <n v="8"/>
    <n v="3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s v="Los Angeles"/>
    <x v="0"/>
    <s v="$802"/>
    <x v="0"/>
    <x v="0"/>
  </r>
  <r>
    <x v="1"/>
    <x v="1"/>
    <s v="San Francisco"/>
    <x v="1"/>
    <s v="$501"/>
    <x v="1"/>
    <x v="1"/>
  </r>
  <r>
    <x v="2"/>
    <x v="0"/>
    <s v="San Francisco"/>
    <x v="2"/>
    <s v="$829"/>
    <x v="2"/>
    <x v="2"/>
  </r>
  <r>
    <x v="3"/>
    <x v="2"/>
    <s v="Portland"/>
    <x v="0"/>
    <s v="$655"/>
    <x v="3"/>
    <x v="3"/>
  </r>
  <r>
    <x v="4"/>
    <x v="1"/>
    <s v="San Francisco"/>
    <x v="0"/>
    <s v="$261"/>
    <x v="4"/>
    <x v="4"/>
  </r>
  <r>
    <x v="5"/>
    <x v="0"/>
    <s v="Seattle"/>
    <x v="1"/>
    <s v="$301"/>
    <x v="1"/>
    <x v="5"/>
  </r>
  <r>
    <x v="6"/>
    <x v="0"/>
    <s v="Portland"/>
    <x v="2"/>
    <s v="$369"/>
    <x v="0"/>
    <x v="6"/>
  </r>
  <r>
    <x v="7"/>
    <x v="2"/>
    <s v="San Francisco"/>
    <x v="2"/>
    <s v="$962"/>
    <x v="5"/>
    <x v="7"/>
  </r>
  <r>
    <x v="8"/>
    <x v="1"/>
    <s v="Portland"/>
    <x v="0"/>
    <s v="$915"/>
    <x v="6"/>
    <x v="8"/>
  </r>
  <r>
    <x v="9"/>
    <x v="2"/>
    <s v="Seattle"/>
    <x v="3"/>
    <s v="$370"/>
    <x v="7"/>
    <x v="9"/>
  </r>
  <r>
    <x v="10"/>
    <x v="1"/>
    <s v="Portland"/>
    <x v="0"/>
    <s v="$555"/>
    <x v="1"/>
    <x v="10"/>
  </r>
  <r>
    <x v="11"/>
    <x v="3"/>
    <s v="Portland"/>
    <x v="0"/>
    <s v="$561"/>
    <x v="8"/>
    <x v="11"/>
  </r>
  <r>
    <x v="12"/>
    <x v="4"/>
    <s v="Portland"/>
    <x v="0"/>
    <s v="$826"/>
    <x v="9"/>
    <x v="12"/>
  </r>
  <r>
    <x v="13"/>
    <x v="4"/>
    <s v="Portland"/>
    <x v="0"/>
    <s v="$351"/>
    <x v="9"/>
    <x v="13"/>
  </r>
  <r>
    <x v="14"/>
    <x v="4"/>
    <s v="Seattle"/>
    <x v="1"/>
    <s v="$801"/>
    <x v="3"/>
    <x v="14"/>
  </r>
  <r>
    <x v="15"/>
    <x v="2"/>
    <s v="Los Angeles"/>
    <x v="2"/>
    <s v="$395"/>
    <x v="0"/>
    <x v="15"/>
  </r>
  <r>
    <x v="16"/>
    <x v="3"/>
    <s v="Portland"/>
    <x v="1"/>
    <s v="$824"/>
    <x v="10"/>
    <x v="16"/>
  </r>
  <r>
    <x v="17"/>
    <x v="1"/>
    <s v="Portland"/>
    <x v="1"/>
    <s v="$819"/>
    <x v="10"/>
    <x v="17"/>
  </r>
  <r>
    <x v="18"/>
    <x v="0"/>
    <s v="San Francisco"/>
    <x v="1"/>
    <s v="$848"/>
    <x v="1"/>
    <x v="18"/>
  </r>
  <r>
    <x v="19"/>
    <x v="1"/>
    <s v="Portland"/>
    <x v="0"/>
    <s v="$437"/>
    <x v="11"/>
    <x v="19"/>
  </r>
  <r>
    <x v="20"/>
    <x v="0"/>
    <s v="San Francisco"/>
    <x v="3"/>
    <s v="$978"/>
    <x v="12"/>
    <x v="20"/>
  </r>
  <r>
    <x v="21"/>
    <x v="1"/>
    <s v="Los Angeles"/>
    <x v="2"/>
    <s v="$152"/>
    <x v="0"/>
    <x v="21"/>
  </r>
  <r>
    <x v="22"/>
    <x v="3"/>
    <s v="Seattle"/>
    <x v="3"/>
    <s v="$891"/>
    <x v="8"/>
    <x v="22"/>
  </r>
  <r>
    <x v="23"/>
    <x v="0"/>
    <s v="Seattle"/>
    <x v="1"/>
    <s v="$316"/>
    <x v="13"/>
    <x v="23"/>
  </r>
  <r>
    <x v="24"/>
    <x v="2"/>
    <s v="Los Angeles"/>
    <x v="1"/>
    <s v="$863"/>
    <x v="11"/>
    <x v="24"/>
  </r>
  <r>
    <x v="25"/>
    <x v="1"/>
    <s v="Seattle"/>
    <x v="3"/>
    <s v="$287"/>
    <x v="14"/>
    <x v="24"/>
  </r>
  <r>
    <x v="26"/>
    <x v="1"/>
    <s v="Los Angeles"/>
    <x v="3"/>
    <s v="$479"/>
    <x v="10"/>
    <x v="24"/>
  </r>
  <r>
    <x v="27"/>
    <x v="0"/>
    <s v="Los Angeles"/>
    <x v="3"/>
    <s v="$592"/>
    <x v="5"/>
    <x v="24"/>
  </r>
  <r>
    <x v="28"/>
    <x v="2"/>
    <s v="Los Angeles"/>
    <x v="1"/>
    <s v="$140"/>
    <x v="7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38484-27FF-49D6-AE4E-7C7DDB2F8363}" name="PivotTable1" cacheId="5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24" firstHeaderRow="1" firstDataRow="1" firstDataCol="2"/>
  <pivotFields count="7">
    <pivotField compact="0" outline="0" showAll="0"/>
    <pivotField axis="axisRow" compact="0" outline="0" showAll="0">
      <items count="6">
        <item x="1"/>
        <item x="2"/>
        <item x="0"/>
        <item x="3"/>
        <item x="4"/>
        <item t="default"/>
      </items>
    </pivotField>
    <pivotField axis="axisRow" compact="0" outline="0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"/>
    <field x="2"/>
  </rowFields>
  <rowItems count="21">
    <i>
      <x/>
      <x v="1"/>
    </i>
    <i r="1">
      <x v="2"/>
    </i>
    <i r="1">
      <x/>
    </i>
    <i t="default">
      <x/>
    </i>
    <i>
      <x v="1"/>
      <x v="2"/>
    </i>
    <i r="1">
      <x v="1"/>
    </i>
    <i r="1">
      <x/>
    </i>
    <i r="1">
      <x v="3"/>
    </i>
    <i t="default">
      <x v="1"/>
    </i>
    <i>
      <x v="2"/>
      <x v="2"/>
    </i>
    <i r="1">
      <x/>
    </i>
    <i r="1">
      <x v="3"/>
    </i>
    <i r="1">
      <x v="1"/>
    </i>
    <i t="default">
      <x v="2"/>
    </i>
    <i>
      <x v="3"/>
      <x v="1"/>
    </i>
    <i r="1">
      <x v="3"/>
    </i>
    <i t="default">
      <x v="3"/>
    </i>
    <i>
      <x v="4"/>
      <x v="1"/>
    </i>
    <i r="1">
      <x v="3"/>
    </i>
    <i t="default">
      <x v="4"/>
    </i>
    <i t="grand">
      <x/>
    </i>
  </rowItems>
  <colItems count="1">
    <i/>
  </colItems>
  <dataFields count="1">
    <dataField name="Sum of Clean Sales" fld="6" baseField="0" baseItem="0"/>
  </dataFields>
  <formats count="2">
    <format dxfId="1">
      <pivotArea field="1" type="button" dataOnly="0" labelOnly="1" outline="0" axis="axisRow" fieldPosition="0"/>
    </format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4C470-F291-43E0-9389-6DA7E8037AF3}" name="PivotTable1" cacheId="5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7" firstHeaderRow="1" firstDataRow="1" firstDataCol="2"/>
  <pivotFields count="7">
    <pivotField compact="0" outline="0" showAll="0">
      <items count="30"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6">
        <item h="1" x="1"/>
        <item x="4"/>
        <item h="1" x="2"/>
        <item h="1" x="0"/>
        <item h="1" x="3"/>
        <item t="default"/>
      </items>
    </pivotField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dataField="1" compact="0" outline="0" showAll="0">
      <items count="16">
        <item x="10"/>
        <item x="6"/>
        <item x="12"/>
        <item x="4"/>
        <item x="14"/>
        <item x="8"/>
        <item x="0"/>
        <item x="13"/>
        <item x="11"/>
        <item x="7"/>
        <item x="3"/>
        <item x="9"/>
        <item x="1"/>
        <item x="2"/>
        <item x="5"/>
        <item t="default"/>
      </items>
    </pivotField>
    <pivotField compact="0" outline="0" showAll="0">
      <items count="26">
        <item x="21"/>
        <item x="4"/>
        <item x="5"/>
        <item x="23"/>
        <item x="13"/>
        <item x="6"/>
        <item x="9"/>
        <item x="15"/>
        <item x="19"/>
        <item x="1"/>
        <item x="10"/>
        <item x="11"/>
        <item x="3"/>
        <item x="14"/>
        <item x="0"/>
        <item x="17"/>
        <item x="16"/>
        <item x="12"/>
        <item x="2"/>
        <item x="18"/>
        <item x="22"/>
        <item x="8"/>
        <item x="7"/>
        <item x="20"/>
        <item x="24"/>
        <item t="default"/>
      </items>
    </pivotField>
  </pivotFields>
  <rowFields count="2">
    <field x="1"/>
    <field x="3"/>
  </rowFields>
  <rowItems count="4">
    <i>
      <x v="1"/>
      <x v="2"/>
    </i>
    <i r="1">
      <x v="3"/>
    </i>
    <i t="default">
      <x v="1"/>
    </i>
    <i t="grand">
      <x/>
    </i>
  </rowItems>
  <colItems count="1">
    <i/>
  </colItems>
  <dataFields count="1">
    <dataField name="Sum of Amount" fld="5" baseField="0" baseItem="0"/>
  </dataFields>
  <formats count="1">
    <format dxfId="0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person" xr10:uid="{D8A6E3A2-493D-4538-9029-F6394D6E91B2}" sourceName="Salesperson">
  <pivotTables>
    <pivotTable tabId="3" name="PivotTable1"/>
  </pivotTables>
  <data>
    <tabular pivotCacheId="492921682">
      <items count="5">
        <i x="1" s="1"/>
        <i x="4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870D7D9B-6D7A-43CA-8414-93D860B8A06E}" sourceName="Region">
  <pivotTables>
    <pivotTable tabId="3" name="PivotTable1"/>
  </pivotTables>
  <data>
    <tabular pivotCacheId="492921682">
      <items count="4">
        <i x="0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person1" xr10:uid="{E1E071C6-81E3-4A01-B056-BEAC56DE0E9D}" sourceName="Salesperson">
  <pivotTables>
    <pivotTable tabId="5" name="PivotTable1"/>
  </pivotTables>
  <data>
    <tabular pivotCacheId="1493480279">
      <items count="5">
        <i x="1"/>
        <i x="4" s="1"/>
        <i x="2"/>
        <i x="0"/>
        <i x="3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0DFCCC15-7AA0-4A60-852F-F8810C43AB78}" sourceName="Product">
  <pivotTables>
    <pivotTable tabId="5" name="PivotTable1"/>
  </pivotTables>
  <data>
    <tabular pivotCacheId="1493480279">
      <items count="4">
        <i x="0" s="1"/>
        <i x="1" s="1"/>
        <i x="2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person" xr10:uid="{7A82DEA1-6803-4986-812A-04F9AF0EFBAD}" cache="Slicer_Salesperson" caption="Salesperson" rowHeight="228600"/>
  <slicer name="Region" xr10:uid="{430D96E0-1119-41A2-A810-F150EAA17D1D}" cache="Slicer_Region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person 1" xr10:uid="{CB93AFCC-9EB7-4DAF-90EF-724FC2474050}" cache="Slicer_Salesperson1" caption="Salesperson" rowHeight="228600"/>
  <slicer name="Product" xr10:uid="{712FF36F-73D8-4CEF-9F49-0E11AA5CE674}" cache="Slicer_Product" caption="Produc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B279-D0F5-4A7B-904A-6B26DEEBA59A}">
  <dimension ref="A3:C24"/>
  <sheetViews>
    <sheetView topLeftCell="A2" workbookViewId="0">
      <selection activeCell="A27" sqref="A27"/>
    </sheetView>
  </sheetViews>
  <sheetFormatPr defaultRowHeight="15"/>
  <cols>
    <col min="1" max="1" width="14.7109375" bestFit="1" customWidth="1"/>
    <col min="2" max="2" width="12.5703125" bestFit="1" customWidth="1"/>
    <col min="3" max="3" width="17.5703125" bestFit="1" customWidth="1"/>
    <col min="4" max="96" width="5.140625" bestFit="1" customWidth="1"/>
    <col min="97" max="97" width="11.42578125" bestFit="1" customWidth="1"/>
  </cols>
  <sheetData>
    <row r="3" spans="1:3">
      <c r="A3" s="7" t="s">
        <v>0</v>
      </c>
      <c r="B3" s="6" t="s">
        <v>1</v>
      </c>
      <c r="C3" t="s">
        <v>2</v>
      </c>
    </row>
    <row r="4" spans="1:3">
      <c r="A4" t="s">
        <v>3</v>
      </c>
      <c r="B4" t="s">
        <v>4</v>
      </c>
      <c r="C4" s="8">
        <v>2726</v>
      </c>
    </row>
    <row r="5" spans="1:3">
      <c r="B5" t="s">
        <v>5</v>
      </c>
      <c r="C5" s="8">
        <v>762</v>
      </c>
    </row>
    <row r="6" spans="1:3">
      <c r="B6" t="s">
        <v>6</v>
      </c>
      <c r="C6" s="8">
        <v>152</v>
      </c>
    </row>
    <row r="7" spans="1:3">
      <c r="A7" t="s">
        <v>7</v>
      </c>
      <c r="C7" s="8">
        <v>3640</v>
      </c>
    </row>
    <row r="8" spans="1:3">
      <c r="A8" t="s">
        <v>8</v>
      </c>
      <c r="B8" t="s">
        <v>5</v>
      </c>
      <c r="C8" s="8">
        <v>962</v>
      </c>
    </row>
    <row r="9" spans="1:3">
      <c r="B9" t="s">
        <v>4</v>
      </c>
      <c r="C9" s="8">
        <v>655</v>
      </c>
    </row>
    <row r="10" spans="1:3">
      <c r="B10" t="s">
        <v>6</v>
      </c>
      <c r="C10" s="8">
        <v>395</v>
      </c>
    </row>
    <row r="11" spans="1:3">
      <c r="B11" t="s">
        <v>9</v>
      </c>
      <c r="C11" s="8">
        <v>370</v>
      </c>
    </row>
    <row r="12" spans="1:3">
      <c r="A12" t="s">
        <v>10</v>
      </c>
      <c r="C12" s="8">
        <v>2382</v>
      </c>
    </row>
    <row r="13" spans="1:3">
      <c r="A13" t="s">
        <v>11</v>
      </c>
      <c r="B13" t="s">
        <v>5</v>
      </c>
      <c r="C13" s="8">
        <v>2655</v>
      </c>
    </row>
    <row r="14" spans="1:3">
      <c r="B14" t="s">
        <v>6</v>
      </c>
      <c r="C14" s="8">
        <v>802</v>
      </c>
    </row>
    <row r="15" spans="1:3">
      <c r="B15" t="s">
        <v>9</v>
      </c>
      <c r="C15" s="8">
        <v>617</v>
      </c>
    </row>
    <row r="16" spans="1:3">
      <c r="B16" t="s">
        <v>4</v>
      </c>
      <c r="C16" s="8">
        <v>369</v>
      </c>
    </row>
    <row r="17" spans="1:3">
      <c r="A17" t="s">
        <v>12</v>
      </c>
      <c r="C17" s="8">
        <v>4443</v>
      </c>
    </row>
    <row r="18" spans="1:3">
      <c r="A18" t="s">
        <v>13</v>
      </c>
      <c r="B18" t="s">
        <v>4</v>
      </c>
      <c r="C18" s="8">
        <v>1385</v>
      </c>
    </row>
    <row r="19" spans="1:3">
      <c r="B19" t="s">
        <v>9</v>
      </c>
      <c r="C19" s="8">
        <v>891</v>
      </c>
    </row>
    <row r="20" spans="1:3">
      <c r="A20" t="s">
        <v>14</v>
      </c>
      <c r="C20" s="8">
        <v>2276</v>
      </c>
    </row>
    <row r="21" spans="1:3">
      <c r="A21" t="s">
        <v>15</v>
      </c>
      <c r="B21" t="s">
        <v>4</v>
      </c>
      <c r="C21" s="8">
        <v>1177</v>
      </c>
    </row>
    <row r="22" spans="1:3">
      <c r="B22" t="s">
        <v>9</v>
      </c>
      <c r="C22" s="8">
        <v>801</v>
      </c>
    </row>
    <row r="23" spans="1:3">
      <c r="A23" t="s">
        <v>16</v>
      </c>
      <c r="C23" s="8">
        <v>1978</v>
      </c>
    </row>
    <row r="24" spans="1:3">
      <c r="A24" t="s">
        <v>17</v>
      </c>
      <c r="C24" s="8">
        <v>14719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57D9-C3A3-42B4-A312-7D8CBD12F085}">
  <dimension ref="A3:C7"/>
  <sheetViews>
    <sheetView workbookViewId="0">
      <selection activeCell="A3" sqref="A3"/>
    </sheetView>
  </sheetViews>
  <sheetFormatPr defaultRowHeight="15"/>
  <cols>
    <col min="1" max="1" width="14.7109375" customWidth="1"/>
    <col min="2" max="2" width="20.28515625" bestFit="1" customWidth="1"/>
    <col min="3" max="3" width="14.85546875" bestFit="1" customWidth="1"/>
    <col min="4" max="4" width="17.5703125" bestFit="1" customWidth="1"/>
  </cols>
  <sheetData>
    <row r="3" spans="1:3">
      <c r="A3" s="6" t="s">
        <v>0</v>
      </c>
      <c r="B3" s="6" t="s">
        <v>18</v>
      </c>
      <c r="C3" t="s">
        <v>19</v>
      </c>
    </row>
    <row r="4" spans="1:3">
      <c r="A4" t="s">
        <v>15</v>
      </c>
      <c r="B4" t="s">
        <v>20</v>
      </c>
      <c r="C4" s="8">
        <v>24</v>
      </c>
    </row>
    <row r="5" spans="1:3">
      <c r="B5" t="s">
        <v>21</v>
      </c>
      <c r="C5" s="8">
        <v>11</v>
      </c>
    </row>
    <row r="6" spans="1:3">
      <c r="A6" t="s">
        <v>16</v>
      </c>
      <c r="C6" s="8">
        <v>35</v>
      </c>
    </row>
    <row r="7" spans="1:3">
      <c r="A7" t="s">
        <v>17</v>
      </c>
      <c r="C7" s="8">
        <v>35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H3" sqref="H3"/>
    </sheetView>
  </sheetViews>
  <sheetFormatPr defaultRowHeight="15"/>
  <cols>
    <col min="1" max="1" width="10.85546875" bestFit="1" customWidth="1"/>
    <col min="2" max="2" width="11.85546875" bestFit="1" customWidth="1"/>
    <col min="3" max="3" width="12.85546875" bestFit="1" customWidth="1"/>
    <col min="4" max="4" width="21.5703125" bestFit="1" customWidth="1"/>
    <col min="5" max="5" width="13" bestFit="1" customWidth="1"/>
    <col min="6" max="6" width="12.85546875" bestFit="1" customWidth="1"/>
    <col min="7" max="7" width="10.5703125" bestFit="1" customWidth="1"/>
    <col min="8" max="8" width="10.5703125" customWidth="1"/>
    <col min="9" max="9" width="28" bestFit="1" customWidth="1"/>
  </cols>
  <sheetData>
    <row r="1" spans="1:8" ht="29.25">
      <c r="A1" s="1" t="s">
        <v>22</v>
      </c>
      <c r="B1" s="1" t="s">
        <v>0</v>
      </c>
      <c r="C1" s="1" t="s">
        <v>1</v>
      </c>
      <c r="D1" s="1" t="s">
        <v>18</v>
      </c>
      <c r="E1" s="1" t="s">
        <v>23</v>
      </c>
      <c r="F1" s="1" t="s">
        <v>24</v>
      </c>
      <c r="G1" s="1" t="s">
        <v>25</v>
      </c>
      <c r="H1" s="9" t="s">
        <v>26</v>
      </c>
    </row>
    <row r="2" spans="1:8">
      <c r="A2" s="3">
        <v>45292</v>
      </c>
      <c r="B2" s="2" t="s">
        <v>11</v>
      </c>
      <c r="C2" s="2" t="s">
        <v>6</v>
      </c>
      <c r="D2" s="2" t="s">
        <v>20</v>
      </c>
      <c r="E2" s="2" t="s">
        <v>27</v>
      </c>
      <c r="F2" s="2">
        <v>7</v>
      </c>
      <c r="G2" s="2">
        <v>802</v>
      </c>
      <c r="H2" s="2">
        <f>SUMIF(B2:B100,"Bob",G2:G100)</f>
        <v>1978</v>
      </c>
    </row>
    <row r="3" spans="1:8" ht="16.5" customHeight="1">
      <c r="A3" s="5">
        <v>45323</v>
      </c>
      <c r="B3" s="4" t="s">
        <v>3</v>
      </c>
      <c r="C3" s="4" t="s">
        <v>5</v>
      </c>
      <c r="D3" s="4" t="s">
        <v>21</v>
      </c>
      <c r="E3" s="4" t="s">
        <v>28</v>
      </c>
      <c r="F3" s="4">
        <v>13</v>
      </c>
      <c r="G3" s="4">
        <v>501</v>
      </c>
      <c r="H3" s="10">
        <f>SUMIF(B2:B100,"Diana",G2:G100)</f>
        <v>4443</v>
      </c>
    </row>
    <row r="4" spans="1:8">
      <c r="A4" s="3">
        <v>45352</v>
      </c>
      <c r="B4" s="2" t="s">
        <v>11</v>
      </c>
      <c r="C4" s="2" t="s">
        <v>5</v>
      </c>
      <c r="D4" s="2" t="s">
        <v>29</v>
      </c>
      <c r="E4" s="2" t="s">
        <v>30</v>
      </c>
      <c r="F4" s="2">
        <v>15</v>
      </c>
      <c r="G4" s="2">
        <v>829</v>
      </c>
      <c r="H4" s="2"/>
    </row>
    <row r="5" spans="1:8">
      <c r="A5" s="5">
        <v>45383</v>
      </c>
      <c r="B5" s="4" t="s">
        <v>8</v>
      </c>
      <c r="C5" s="4" t="s">
        <v>4</v>
      </c>
      <c r="D5" s="4" t="s">
        <v>20</v>
      </c>
      <c r="E5" s="4" t="s">
        <v>31</v>
      </c>
      <c r="F5" s="4">
        <v>11</v>
      </c>
      <c r="G5" s="4">
        <v>655</v>
      </c>
      <c r="H5" s="4"/>
    </row>
    <row r="6" spans="1:8">
      <c r="A6" s="3">
        <v>45413</v>
      </c>
      <c r="B6" s="2" t="s">
        <v>3</v>
      </c>
      <c r="C6" s="2" t="s">
        <v>5</v>
      </c>
      <c r="D6" s="2" t="s">
        <v>20</v>
      </c>
      <c r="E6" s="2" t="s">
        <v>32</v>
      </c>
      <c r="F6" s="2">
        <v>4</v>
      </c>
      <c r="G6" s="2">
        <v>261</v>
      </c>
      <c r="H6" s="2"/>
    </row>
    <row r="7" spans="1:8">
      <c r="A7" s="5">
        <v>45444</v>
      </c>
      <c r="B7" s="4" t="s">
        <v>11</v>
      </c>
      <c r="C7" s="4" t="s">
        <v>9</v>
      </c>
      <c r="D7" s="4" t="s">
        <v>21</v>
      </c>
      <c r="E7" s="4" t="s">
        <v>33</v>
      </c>
      <c r="F7" s="4">
        <v>13</v>
      </c>
      <c r="G7" s="4">
        <v>301</v>
      </c>
      <c r="H7" s="4"/>
    </row>
    <row r="8" spans="1:8">
      <c r="A8" s="3">
        <v>45474</v>
      </c>
      <c r="B8" s="2" t="s">
        <v>11</v>
      </c>
      <c r="C8" s="2" t="s">
        <v>4</v>
      </c>
      <c r="D8" s="2" t="s">
        <v>29</v>
      </c>
      <c r="E8" s="2" t="s">
        <v>34</v>
      </c>
      <c r="F8" s="2">
        <v>7</v>
      </c>
      <c r="G8" s="2">
        <v>369</v>
      </c>
      <c r="H8" s="2"/>
    </row>
    <row r="9" spans="1:8">
      <c r="A9" s="5">
        <v>45505</v>
      </c>
      <c r="B9" s="4" t="s">
        <v>8</v>
      </c>
      <c r="C9" s="4" t="s">
        <v>5</v>
      </c>
      <c r="D9" s="4" t="s">
        <v>29</v>
      </c>
      <c r="E9" s="4" t="s">
        <v>35</v>
      </c>
      <c r="F9" s="4">
        <v>19</v>
      </c>
      <c r="G9">
        <v>962</v>
      </c>
    </row>
    <row r="10" spans="1:8">
      <c r="A10" s="3">
        <v>45536</v>
      </c>
      <c r="B10" s="2" t="s">
        <v>3</v>
      </c>
      <c r="C10" s="2" t="s">
        <v>4</v>
      </c>
      <c r="D10" s="2" t="s">
        <v>20</v>
      </c>
      <c r="E10" s="2" t="s">
        <v>36</v>
      </c>
      <c r="F10" s="2">
        <v>2</v>
      </c>
      <c r="G10">
        <v>915</v>
      </c>
    </row>
    <row r="11" spans="1:8">
      <c r="A11" s="5">
        <v>45566</v>
      </c>
      <c r="B11" s="4" t="s">
        <v>8</v>
      </c>
      <c r="C11" s="4" t="s">
        <v>9</v>
      </c>
      <c r="D11" s="4" t="s">
        <v>37</v>
      </c>
      <c r="E11" s="4" t="s">
        <v>38</v>
      </c>
      <c r="F11" s="4">
        <v>10</v>
      </c>
      <c r="G11">
        <v>370</v>
      </c>
    </row>
    <row r="12" spans="1:8">
      <c r="A12" s="3">
        <v>45597</v>
      </c>
      <c r="B12" s="2" t="s">
        <v>3</v>
      </c>
      <c r="C12" s="2" t="s">
        <v>4</v>
      </c>
      <c r="D12" s="2" t="s">
        <v>20</v>
      </c>
      <c r="E12" s="2" t="s">
        <v>39</v>
      </c>
      <c r="F12" s="2">
        <v>13</v>
      </c>
      <c r="G12">
        <v>555</v>
      </c>
    </row>
    <row r="13" spans="1:8">
      <c r="A13" s="5">
        <v>45627</v>
      </c>
      <c r="B13" s="4" t="s">
        <v>13</v>
      </c>
      <c r="C13" s="4" t="s">
        <v>4</v>
      </c>
      <c r="D13" s="4" t="s">
        <v>20</v>
      </c>
      <c r="E13" s="4" t="s">
        <v>40</v>
      </c>
      <c r="F13" s="4">
        <v>6</v>
      </c>
      <c r="G13">
        <v>561</v>
      </c>
    </row>
    <row r="14" spans="1:8">
      <c r="A14" s="2" t="s">
        <v>41</v>
      </c>
      <c r="B14" s="2" t="s">
        <v>15</v>
      </c>
      <c r="C14" s="2" t="s">
        <v>4</v>
      </c>
      <c r="D14" s="2" t="s">
        <v>20</v>
      </c>
      <c r="E14" s="2" t="s">
        <v>42</v>
      </c>
      <c r="F14" s="2">
        <v>12</v>
      </c>
      <c r="G14">
        <v>826</v>
      </c>
    </row>
    <row r="15" spans="1:8">
      <c r="A15" s="4" t="s">
        <v>43</v>
      </c>
      <c r="B15" s="4" t="s">
        <v>15</v>
      </c>
      <c r="C15" s="4" t="s">
        <v>4</v>
      </c>
      <c r="D15" s="4" t="s">
        <v>20</v>
      </c>
      <c r="E15" s="4" t="s">
        <v>44</v>
      </c>
      <c r="F15" s="4">
        <v>12</v>
      </c>
      <c r="G15">
        <v>351</v>
      </c>
    </row>
    <row r="16" spans="1:8">
      <c r="A16" s="2" t="s">
        <v>45</v>
      </c>
      <c r="B16" s="2" t="s">
        <v>15</v>
      </c>
      <c r="C16" s="2" t="s">
        <v>9</v>
      </c>
      <c r="D16" s="2" t="s">
        <v>21</v>
      </c>
      <c r="E16" s="2" t="s">
        <v>46</v>
      </c>
      <c r="F16" s="2">
        <v>11</v>
      </c>
      <c r="G16">
        <v>801</v>
      </c>
    </row>
    <row r="17" spans="1:7">
      <c r="A17" s="4" t="s">
        <v>47</v>
      </c>
      <c r="B17" s="4" t="s">
        <v>8</v>
      </c>
      <c r="C17" s="4" t="s">
        <v>6</v>
      </c>
      <c r="D17" s="4" t="s">
        <v>29</v>
      </c>
      <c r="E17" s="4" t="s">
        <v>48</v>
      </c>
      <c r="F17" s="4">
        <v>7</v>
      </c>
      <c r="G17">
        <v>395</v>
      </c>
    </row>
    <row r="18" spans="1:7">
      <c r="A18" s="2" t="s">
        <v>49</v>
      </c>
      <c r="B18" s="2" t="s">
        <v>13</v>
      </c>
      <c r="C18" s="2" t="s">
        <v>4</v>
      </c>
      <c r="D18" s="2" t="s">
        <v>21</v>
      </c>
      <c r="E18" s="2" t="s">
        <v>50</v>
      </c>
      <c r="F18" s="2">
        <v>1</v>
      </c>
      <c r="G18">
        <v>824</v>
      </c>
    </row>
    <row r="19" spans="1:7">
      <c r="A19" s="4" t="s">
        <v>51</v>
      </c>
      <c r="B19" s="4" t="s">
        <v>3</v>
      </c>
      <c r="C19" s="4" t="s">
        <v>4</v>
      </c>
      <c r="D19" s="4" t="s">
        <v>21</v>
      </c>
      <c r="E19" s="4" t="s">
        <v>52</v>
      </c>
      <c r="F19" s="4">
        <v>1</v>
      </c>
      <c r="G19">
        <v>819</v>
      </c>
    </row>
    <row r="20" spans="1:7">
      <c r="A20" s="2" t="s">
        <v>53</v>
      </c>
      <c r="B20" s="2" t="s">
        <v>11</v>
      </c>
      <c r="C20" s="2" t="s">
        <v>5</v>
      </c>
      <c r="D20" s="2" t="s">
        <v>21</v>
      </c>
      <c r="E20" s="2" t="s">
        <v>54</v>
      </c>
      <c r="F20" s="2">
        <v>13</v>
      </c>
      <c r="G20">
        <v>848</v>
      </c>
    </row>
    <row r="21" spans="1:7">
      <c r="A21" s="4" t="s">
        <v>55</v>
      </c>
      <c r="B21" s="4" t="s">
        <v>3</v>
      </c>
      <c r="C21" s="4" t="s">
        <v>4</v>
      </c>
      <c r="D21" s="4" t="s">
        <v>20</v>
      </c>
      <c r="E21" s="4" t="s">
        <v>56</v>
      </c>
      <c r="F21" s="4">
        <v>9</v>
      </c>
      <c r="G21">
        <v>437</v>
      </c>
    </row>
    <row r="22" spans="1:7">
      <c r="A22" s="2" t="s">
        <v>57</v>
      </c>
      <c r="B22" s="2" t="s">
        <v>11</v>
      </c>
      <c r="C22" s="2" t="s">
        <v>5</v>
      </c>
      <c r="D22" s="2" t="s">
        <v>37</v>
      </c>
      <c r="E22" s="2" t="s">
        <v>58</v>
      </c>
      <c r="F22" s="2">
        <v>3</v>
      </c>
      <c r="G22">
        <v>978</v>
      </c>
    </row>
    <row r="23" spans="1:7">
      <c r="A23" s="4" t="s">
        <v>59</v>
      </c>
      <c r="B23" s="4" t="s">
        <v>3</v>
      </c>
      <c r="C23" s="4" t="s">
        <v>6</v>
      </c>
      <c r="D23" s="4" t="s">
        <v>29</v>
      </c>
      <c r="E23" s="4" t="s">
        <v>60</v>
      </c>
      <c r="F23" s="4">
        <v>7</v>
      </c>
      <c r="G23">
        <v>152</v>
      </c>
    </row>
    <row r="24" spans="1:7">
      <c r="A24" s="2" t="s">
        <v>61</v>
      </c>
      <c r="B24" s="2" t="s">
        <v>13</v>
      </c>
      <c r="C24" s="2" t="s">
        <v>9</v>
      </c>
      <c r="D24" s="2" t="s">
        <v>37</v>
      </c>
      <c r="E24" s="2" t="s">
        <v>62</v>
      </c>
      <c r="F24" s="2">
        <v>6</v>
      </c>
      <c r="G24">
        <v>891</v>
      </c>
    </row>
    <row r="25" spans="1:7">
      <c r="A25" s="4" t="s">
        <v>63</v>
      </c>
      <c r="B25" s="4" t="s">
        <v>11</v>
      </c>
      <c r="C25" s="4" t="s">
        <v>9</v>
      </c>
      <c r="D25" s="4" t="s">
        <v>21</v>
      </c>
      <c r="E25" s="4" t="s">
        <v>64</v>
      </c>
      <c r="F25" s="4">
        <v>8</v>
      </c>
      <c r="G25">
        <v>316</v>
      </c>
    </row>
    <row r="26" spans="1:7">
      <c r="A26" s="2" t="s">
        <v>65</v>
      </c>
      <c r="B26" s="2" t="s">
        <v>8</v>
      </c>
      <c r="C26" s="2" t="s">
        <v>6</v>
      </c>
      <c r="D26" s="2" t="s">
        <v>21</v>
      </c>
      <c r="E26" s="2" t="s">
        <v>66</v>
      </c>
      <c r="F26" s="2">
        <v>9</v>
      </c>
    </row>
    <row r="27" spans="1:7">
      <c r="A27" s="4" t="s">
        <v>67</v>
      </c>
      <c r="B27" s="4" t="s">
        <v>3</v>
      </c>
      <c r="C27" s="4" t="s">
        <v>9</v>
      </c>
      <c r="D27" s="4" t="s">
        <v>37</v>
      </c>
      <c r="E27" s="4" t="s">
        <v>68</v>
      </c>
      <c r="F27" s="4">
        <v>5</v>
      </c>
    </row>
    <row r="28" spans="1:7">
      <c r="A28" s="2" t="s">
        <v>69</v>
      </c>
      <c r="B28" s="2" t="s">
        <v>3</v>
      </c>
      <c r="C28" s="2" t="s">
        <v>6</v>
      </c>
      <c r="D28" s="2" t="s">
        <v>37</v>
      </c>
      <c r="E28" s="2" t="s">
        <v>70</v>
      </c>
      <c r="F28" s="2">
        <v>1</v>
      </c>
    </row>
    <row r="29" spans="1:7">
      <c r="A29" s="4" t="s">
        <v>71</v>
      </c>
      <c r="B29" s="4" t="s">
        <v>11</v>
      </c>
      <c r="C29" s="4" t="s">
        <v>6</v>
      </c>
      <c r="D29" s="4" t="s">
        <v>37</v>
      </c>
      <c r="E29" s="4" t="s">
        <v>72</v>
      </c>
      <c r="F29" s="4">
        <v>19</v>
      </c>
    </row>
    <row r="30" spans="1:7">
      <c r="A30" s="2" t="s">
        <v>73</v>
      </c>
      <c r="B30" s="2" t="s">
        <v>8</v>
      </c>
      <c r="C30" s="2" t="s">
        <v>6</v>
      </c>
      <c r="D30" s="2" t="s">
        <v>21</v>
      </c>
      <c r="E30" s="2" t="s">
        <v>74</v>
      </c>
      <c r="F30" s="2">
        <v>10</v>
      </c>
    </row>
    <row r="31" spans="1:7">
      <c r="A31" s="4" t="s">
        <v>75</v>
      </c>
      <c r="B31" s="4" t="s">
        <v>8</v>
      </c>
      <c r="C31" s="4" t="s">
        <v>9</v>
      </c>
      <c r="D31" s="4" t="s">
        <v>21</v>
      </c>
      <c r="E31" s="4" t="s">
        <v>76</v>
      </c>
      <c r="F31" s="4">
        <v>12</v>
      </c>
    </row>
    <row r="32" spans="1:7">
      <c r="A32" s="2" t="s">
        <v>77</v>
      </c>
      <c r="B32" s="2" t="s">
        <v>13</v>
      </c>
      <c r="C32" s="2" t="s">
        <v>5</v>
      </c>
      <c r="D32" s="2" t="s">
        <v>29</v>
      </c>
      <c r="E32" s="2" t="s">
        <v>78</v>
      </c>
      <c r="F32" s="2">
        <v>15</v>
      </c>
    </row>
    <row r="33" spans="1:6">
      <c r="A33" s="5">
        <v>45293</v>
      </c>
      <c r="B33" s="4" t="s">
        <v>8</v>
      </c>
      <c r="C33" s="4" t="s">
        <v>6</v>
      </c>
      <c r="D33" s="4" t="s">
        <v>29</v>
      </c>
      <c r="E33" s="4" t="s">
        <v>79</v>
      </c>
      <c r="F33" s="4">
        <v>9</v>
      </c>
    </row>
    <row r="34" spans="1:6">
      <c r="A34" s="3">
        <v>45324</v>
      </c>
      <c r="B34" s="2" t="s">
        <v>8</v>
      </c>
      <c r="C34" s="2" t="s">
        <v>4</v>
      </c>
      <c r="D34" s="2" t="s">
        <v>21</v>
      </c>
      <c r="E34" s="2" t="s">
        <v>80</v>
      </c>
      <c r="F34" s="2">
        <v>17</v>
      </c>
    </row>
    <row r="35" spans="1:6">
      <c r="A35" s="5">
        <v>45353</v>
      </c>
      <c r="B35" s="4" t="s">
        <v>8</v>
      </c>
      <c r="C35" s="4" t="s">
        <v>9</v>
      </c>
      <c r="D35" s="4" t="s">
        <v>37</v>
      </c>
      <c r="E35" s="4" t="s">
        <v>81</v>
      </c>
      <c r="F35" s="4">
        <v>17</v>
      </c>
    </row>
    <row r="36" spans="1:6">
      <c r="A36" s="3">
        <v>45384</v>
      </c>
      <c r="B36" s="2" t="s">
        <v>15</v>
      </c>
      <c r="C36" s="2" t="s">
        <v>6</v>
      </c>
      <c r="D36" s="2" t="s">
        <v>37</v>
      </c>
      <c r="E36" s="2" t="s">
        <v>82</v>
      </c>
      <c r="F36" s="2">
        <v>12</v>
      </c>
    </row>
    <row r="37" spans="1:6">
      <c r="A37" s="5">
        <v>45414</v>
      </c>
      <c r="B37" s="4" t="s">
        <v>13</v>
      </c>
      <c r="C37" s="4" t="s">
        <v>6</v>
      </c>
      <c r="D37" s="4" t="s">
        <v>29</v>
      </c>
      <c r="E37" s="4" t="s">
        <v>83</v>
      </c>
      <c r="F37" s="4">
        <v>7</v>
      </c>
    </row>
    <row r="38" spans="1:6">
      <c r="A38" s="3">
        <v>45445</v>
      </c>
      <c r="B38" s="2" t="s">
        <v>3</v>
      </c>
      <c r="C38" s="2" t="s">
        <v>4</v>
      </c>
      <c r="D38" s="2" t="s">
        <v>21</v>
      </c>
      <c r="E38" s="2" t="s">
        <v>84</v>
      </c>
      <c r="F38" s="2">
        <v>2</v>
      </c>
    </row>
    <row r="39" spans="1:6">
      <c r="A39" s="5">
        <v>45475</v>
      </c>
      <c r="B39" s="4" t="s">
        <v>11</v>
      </c>
      <c r="C39" s="4" t="s">
        <v>5</v>
      </c>
      <c r="D39" s="4" t="s">
        <v>29</v>
      </c>
      <c r="E39" s="4" t="s">
        <v>85</v>
      </c>
      <c r="F39" s="4">
        <v>3</v>
      </c>
    </row>
    <row r="40" spans="1:6">
      <c r="A40" s="3">
        <v>45506</v>
      </c>
      <c r="B40" s="2" t="s">
        <v>3</v>
      </c>
      <c r="C40" s="2" t="s">
        <v>5</v>
      </c>
      <c r="D40" s="2" t="s">
        <v>29</v>
      </c>
      <c r="E40" s="2" t="s">
        <v>86</v>
      </c>
      <c r="F40" s="2">
        <v>17</v>
      </c>
    </row>
    <row r="41" spans="1:6">
      <c r="A41" s="5">
        <v>45537</v>
      </c>
      <c r="B41" s="4" t="s">
        <v>13</v>
      </c>
      <c r="C41" s="4" t="s">
        <v>5</v>
      </c>
      <c r="D41" s="4" t="s">
        <v>20</v>
      </c>
      <c r="E41" s="4" t="s">
        <v>87</v>
      </c>
      <c r="F41" s="4">
        <v>5</v>
      </c>
    </row>
    <row r="42" spans="1:6">
      <c r="A42" s="3">
        <v>45567</v>
      </c>
      <c r="B42" s="2" t="s">
        <v>11</v>
      </c>
      <c r="C42" s="2" t="s">
        <v>6</v>
      </c>
      <c r="D42" s="2" t="s">
        <v>20</v>
      </c>
      <c r="E42" s="2" t="s">
        <v>88</v>
      </c>
      <c r="F42" s="2">
        <v>17</v>
      </c>
    </row>
    <row r="43" spans="1:6">
      <c r="A43" s="5">
        <v>45598</v>
      </c>
      <c r="B43" s="4" t="s">
        <v>13</v>
      </c>
      <c r="C43" s="4" t="s">
        <v>6</v>
      </c>
      <c r="D43" s="4" t="s">
        <v>20</v>
      </c>
      <c r="E43" s="4" t="s">
        <v>89</v>
      </c>
      <c r="F43" s="4">
        <v>17</v>
      </c>
    </row>
    <row r="44" spans="1:6">
      <c r="A44" s="3">
        <v>45628</v>
      </c>
      <c r="B44" s="2" t="s">
        <v>8</v>
      </c>
      <c r="C44" s="2" t="s">
        <v>6</v>
      </c>
      <c r="D44" s="2" t="s">
        <v>37</v>
      </c>
      <c r="E44" s="2" t="s">
        <v>90</v>
      </c>
      <c r="F44" s="2">
        <v>17</v>
      </c>
    </row>
    <row r="45" spans="1:6">
      <c r="A45" s="4" t="s">
        <v>91</v>
      </c>
      <c r="B45" s="4" t="s">
        <v>11</v>
      </c>
      <c r="C45" s="4" t="s">
        <v>9</v>
      </c>
      <c r="D45" s="4" t="s">
        <v>21</v>
      </c>
      <c r="E45" s="4" t="s">
        <v>92</v>
      </c>
      <c r="F45" s="4">
        <v>2</v>
      </c>
    </row>
    <row r="46" spans="1:6">
      <c r="A46" s="2" t="s">
        <v>93</v>
      </c>
      <c r="B46" s="2" t="s">
        <v>8</v>
      </c>
      <c r="C46" s="2" t="s">
        <v>4</v>
      </c>
      <c r="D46" s="2" t="s">
        <v>21</v>
      </c>
      <c r="E46" s="2" t="s">
        <v>94</v>
      </c>
      <c r="F46" s="2">
        <v>2</v>
      </c>
    </row>
    <row r="47" spans="1:6">
      <c r="A47" s="4" t="s">
        <v>95</v>
      </c>
      <c r="B47" s="4" t="s">
        <v>3</v>
      </c>
      <c r="C47" s="4" t="s">
        <v>6</v>
      </c>
      <c r="D47" s="4" t="s">
        <v>21</v>
      </c>
      <c r="E47" s="4" t="s">
        <v>96</v>
      </c>
      <c r="F47" s="4">
        <v>5</v>
      </c>
    </row>
    <row r="48" spans="1:6">
      <c r="A48" s="2" t="s">
        <v>97</v>
      </c>
      <c r="B48" s="2" t="s">
        <v>3</v>
      </c>
      <c r="C48" s="2" t="s">
        <v>4</v>
      </c>
      <c r="D48" s="2" t="s">
        <v>21</v>
      </c>
      <c r="E48" s="2" t="s">
        <v>98</v>
      </c>
      <c r="F48" s="2">
        <v>1</v>
      </c>
    </row>
    <row r="49" spans="1:6">
      <c r="A49" s="4" t="s">
        <v>99</v>
      </c>
      <c r="B49" s="4" t="s">
        <v>11</v>
      </c>
      <c r="C49" s="4" t="s">
        <v>4</v>
      </c>
      <c r="D49" s="4" t="s">
        <v>20</v>
      </c>
      <c r="E49" s="4" t="s">
        <v>100</v>
      </c>
      <c r="F49" s="4">
        <v>1</v>
      </c>
    </row>
    <row r="50" spans="1:6">
      <c r="A50" s="2" t="s">
        <v>101</v>
      </c>
      <c r="B50" s="2" t="s">
        <v>11</v>
      </c>
      <c r="C50" s="2" t="s">
        <v>5</v>
      </c>
      <c r="D50" s="2" t="s">
        <v>37</v>
      </c>
      <c r="E50" s="2" t="s">
        <v>102</v>
      </c>
      <c r="F50" s="2">
        <v>19</v>
      </c>
    </row>
    <row r="51" spans="1:6">
      <c r="A51" s="4" t="s">
        <v>103</v>
      </c>
      <c r="B51" s="4" t="s">
        <v>13</v>
      </c>
      <c r="C51" s="4" t="s">
        <v>9</v>
      </c>
      <c r="D51" s="4" t="s">
        <v>37</v>
      </c>
      <c r="E51" s="4" t="s">
        <v>104</v>
      </c>
      <c r="F51" s="4">
        <v>2</v>
      </c>
    </row>
    <row r="52" spans="1:6">
      <c r="A52" s="2" t="s">
        <v>105</v>
      </c>
      <c r="B52" s="2" t="s">
        <v>13</v>
      </c>
      <c r="C52" s="2" t="s">
        <v>6</v>
      </c>
      <c r="D52" s="2" t="s">
        <v>20</v>
      </c>
      <c r="E52" s="2" t="s">
        <v>106</v>
      </c>
      <c r="F52" s="2">
        <v>12</v>
      </c>
    </row>
    <row r="53" spans="1:6">
      <c r="A53" s="4" t="s">
        <v>107</v>
      </c>
      <c r="B53" s="4" t="s">
        <v>8</v>
      </c>
      <c r="C53" s="4" t="s">
        <v>5</v>
      </c>
      <c r="D53" s="4" t="s">
        <v>37</v>
      </c>
      <c r="E53" s="4" t="s">
        <v>108</v>
      </c>
      <c r="F53" s="4">
        <v>6</v>
      </c>
    </row>
    <row r="54" spans="1:6">
      <c r="A54" s="2" t="s">
        <v>109</v>
      </c>
      <c r="B54" s="2" t="s">
        <v>11</v>
      </c>
      <c r="C54" s="2" t="s">
        <v>5</v>
      </c>
      <c r="D54" s="2" t="s">
        <v>20</v>
      </c>
      <c r="E54" s="2" t="s">
        <v>74</v>
      </c>
      <c r="F54" s="2">
        <v>4</v>
      </c>
    </row>
    <row r="55" spans="1:6">
      <c r="A55" s="4" t="s">
        <v>110</v>
      </c>
      <c r="B55" s="4" t="s">
        <v>3</v>
      </c>
      <c r="C55" s="4" t="s">
        <v>6</v>
      </c>
      <c r="D55" s="4" t="s">
        <v>21</v>
      </c>
      <c r="E55" s="4" t="s">
        <v>111</v>
      </c>
      <c r="F55" s="4">
        <v>11</v>
      </c>
    </row>
    <row r="56" spans="1:6">
      <c r="A56" s="2" t="s">
        <v>112</v>
      </c>
      <c r="B56" s="2" t="s">
        <v>13</v>
      </c>
      <c r="C56" s="2" t="s">
        <v>4</v>
      </c>
      <c r="D56" s="2" t="s">
        <v>20</v>
      </c>
      <c r="E56" s="2" t="s">
        <v>113</v>
      </c>
      <c r="F56" s="2">
        <v>17</v>
      </c>
    </row>
    <row r="57" spans="1:6">
      <c r="A57" s="4" t="s">
        <v>114</v>
      </c>
      <c r="B57" s="4" t="s">
        <v>13</v>
      </c>
      <c r="C57" s="4" t="s">
        <v>5</v>
      </c>
      <c r="D57" s="4" t="s">
        <v>21</v>
      </c>
      <c r="E57" s="4" t="s">
        <v>115</v>
      </c>
      <c r="F57" s="4">
        <v>6</v>
      </c>
    </row>
    <row r="58" spans="1:6">
      <c r="A58" s="2" t="s">
        <v>116</v>
      </c>
      <c r="B58" s="2" t="s">
        <v>3</v>
      </c>
      <c r="C58" s="2" t="s">
        <v>4</v>
      </c>
      <c r="D58" s="2" t="s">
        <v>21</v>
      </c>
      <c r="E58" s="2" t="s">
        <v>117</v>
      </c>
      <c r="F58" s="2">
        <v>5</v>
      </c>
    </row>
    <row r="59" spans="1:6">
      <c r="A59" s="4" t="s">
        <v>118</v>
      </c>
      <c r="B59" s="4" t="s">
        <v>13</v>
      </c>
      <c r="C59" s="4" t="s">
        <v>9</v>
      </c>
      <c r="D59" s="4" t="s">
        <v>29</v>
      </c>
      <c r="E59" s="4" t="s">
        <v>119</v>
      </c>
      <c r="F59" s="4">
        <v>2</v>
      </c>
    </row>
    <row r="60" spans="1:6">
      <c r="A60" s="2" t="s">
        <v>120</v>
      </c>
      <c r="B60" s="2" t="s">
        <v>8</v>
      </c>
      <c r="C60" s="2" t="s">
        <v>4</v>
      </c>
      <c r="D60" s="2" t="s">
        <v>20</v>
      </c>
      <c r="E60" s="2" t="s">
        <v>121</v>
      </c>
      <c r="F60" s="2">
        <v>6</v>
      </c>
    </row>
    <row r="61" spans="1:6">
      <c r="A61" s="4" t="s">
        <v>122</v>
      </c>
      <c r="B61" s="4" t="s">
        <v>11</v>
      </c>
      <c r="C61" s="4" t="s">
        <v>9</v>
      </c>
      <c r="D61" s="4" t="s">
        <v>29</v>
      </c>
      <c r="E61" s="4" t="s">
        <v>123</v>
      </c>
      <c r="F61" s="4">
        <v>11</v>
      </c>
    </row>
    <row r="62" spans="1:6">
      <c r="A62" s="3">
        <v>45294</v>
      </c>
      <c r="B62" s="2" t="s">
        <v>3</v>
      </c>
      <c r="C62" s="2" t="s">
        <v>4</v>
      </c>
      <c r="D62" s="2" t="s">
        <v>20</v>
      </c>
      <c r="E62" s="2" t="s">
        <v>124</v>
      </c>
      <c r="F62" s="2">
        <v>16</v>
      </c>
    </row>
    <row r="63" spans="1:6">
      <c r="A63" s="5">
        <v>45325</v>
      </c>
      <c r="B63" s="4" t="s">
        <v>11</v>
      </c>
      <c r="C63" s="4" t="s">
        <v>5</v>
      </c>
      <c r="D63" s="4" t="s">
        <v>20</v>
      </c>
      <c r="E63" s="4" t="s">
        <v>125</v>
      </c>
      <c r="F63" s="4">
        <v>16</v>
      </c>
    </row>
    <row r="64" spans="1:6">
      <c r="A64" s="3">
        <v>45354</v>
      </c>
      <c r="B64" s="2" t="s">
        <v>13</v>
      </c>
      <c r="C64" s="2" t="s">
        <v>5</v>
      </c>
      <c r="D64" s="2" t="s">
        <v>29</v>
      </c>
      <c r="E64" s="2" t="s">
        <v>126</v>
      </c>
      <c r="F64" s="2">
        <v>1</v>
      </c>
    </row>
    <row r="65" spans="1:6">
      <c r="A65" s="5">
        <v>45385</v>
      </c>
      <c r="B65" s="4" t="s">
        <v>13</v>
      </c>
      <c r="C65" s="4" t="s">
        <v>9</v>
      </c>
      <c r="D65" s="4" t="s">
        <v>29</v>
      </c>
      <c r="E65" s="4" t="s">
        <v>127</v>
      </c>
      <c r="F65" s="4">
        <v>9</v>
      </c>
    </row>
    <row r="66" spans="1:6">
      <c r="A66" s="3">
        <v>45415</v>
      </c>
      <c r="B66" s="2" t="s">
        <v>3</v>
      </c>
      <c r="C66" s="2" t="s">
        <v>6</v>
      </c>
      <c r="D66" s="2" t="s">
        <v>20</v>
      </c>
      <c r="E66" s="2" t="s">
        <v>128</v>
      </c>
      <c r="F66" s="2">
        <v>6</v>
      </c>
    </row>
    <row r="67" spans="1:6">
      <c r="A67" s="5">
        <v>45446</v>
      </c>
      <c r="B67" s="4" t="s">
        <v>8</v>
      </c>
      <c r="C67" s="4" t="s">
        <v>9</v>
      </c>
      <c r="D67" s="4" t="s">
        <v>37</v>
      </c>
      <c r="E67" s="4" t="s">
        <v>129</v>
      </c>
      <c r="F67" s="4">
        <v>16</v>
      </c>
    </row>
    <row r="68" spans="1:6">
      <c r="A68" s="3">
        <v>45476</v>
      </c>
      <c r="B68" s="2" t="s">
        <v>15</v>
      </c>
      <c r="C68" s="2" t="s">
        <v>9</v>
      </c>
      <c r="D68" s="2" t="s">
        <v>21</v>
      </c>
      <c r="E68" s="2" t="s">
        <v>130</v>
      </c>
      <c r="F68" s="2">
        <v>3</v>
      </c>
    </row>
    <row r="69" spans="1:6">
      <c r="A69" s="5">
        <v>45507</v>
      </c>
      <c r="B69" s="4" t="s">
        <v>3</v>
      </c>
      <c r="C69" s="4" t="s">
        <v>4</v>
      </c>
      <c r="D69" s="4" t="s">
        <v>29</v>
      </c>
      <c r="E69" s="4" t="s">
        <v>131</v>
      </c>
      <c r="F69" s="4">
        <v>4</v>
      </c>
    </row>
    <row r="70" spans="1:6">
      <c r="A70" s="3">
        <v>45538</v>
      </c>
      <c r="B70" s="2" t="s">
        <v>15</v>
      </c>
      <c r="C70" s="2" t="s">
        <v>4</v>
      </c>
      <c r="D70" s="2" t="s">
        <v>21</v>
      </c>
      <c r="E70" s="2" t="s">
        <v>132</v>
      </c>
      <c r="F70" s="2">
        <v>19</v>
      </c>
    </row>
    <row r="71" spans="1:6">
      <c r="A71" s="5">
        <v>45568</v>
      </c>
      <c r="B71" s="4" t="s">
        <v>15</v>
      </c>
      <c r="C71" s="4" t="s">
        <v>9</v>
      </c>
      <c r="D71" s="4" t="s">
        <v>37</v>
      </c>
      <c r="E71" s="4" t="s">
        <v>133</v>
      </c>
      <c r="F71" s="4">
        <v>3</v>
      </c>
    </row>
    <row r="72" spans="1:6">
      <c r="A72" s="3">
        <v>45599</v>
      </c>
      <c r="B72" s="2" t="s">
        <v>8</v>
      </c>
      <c r="C72" s="2" t="s">
        <v>5</v>
      </c>
      <c r="D72" s="2" t="s">
        <v>37</v>
      </c>
      <c r="E72" s="2" t="s">
        <v>134</v>
      </c>
      <c r="F72" s="2">
        <v>19</v>
      </c>
    </row>
    <row r="73" spans="1:6">
      <c r="A73" s="5">
        <v>45629</v>
      </c>
      <c r="B73" s="4" t="s">
        <v>15</v>
      </c>
      <c r="C73" s="4" t="s">
        <v>4</v>
      </c>
      <c r="D73" s="4" t="s">
        <v>37</v>
      </c>
      <c r="E73" s="4" t="s">
        <v>135</v>
      </c>
      <c r="F73" s="4">
        <v>7</v>
      </c>
    </row>
    <row r="74" spans="1:6">
      <c r="A74" s="2" t="s">
        <v>136</v>
      </c>
      <c r="B74" s="2" t="s">
        <v>15</v>
      </c>
      <c r="C74" s="2" t="s">
        <v>6</v>
      </c>
      <c r="D74" s="2" t="s">
        <v>29</v>
      </c>
      <c r="E74" s="2" t="s">
        <v>40</v>
      </c>
      <c r="F74" s="2">
        <v>9</v>
      </c>
    </row>
    <row r="75" spans="1:6">
      <c r="A75" s="4" t="s">
        <v>137</v>
      </c>
      <c r="B75" s="4" t="s">
        <v>8</v>
      </c>
      <c r="C75" s="4" t="s">
        <v>4</v>
      </c>
      <c r="D75" s="4" t="s">
        <v>37</v>
      </c>
      <c r="E75" s="4" t="s">
        <v>138</v>
      </c>
      <c r="F75" s="4">
        <v>1</v>
      </c>
    </row>
    <row r="76" spans="1:6">
      <c r="A76" s="2" t="s">
        <v>139</v>
      </c>
      <c r="B76" s="2" t="s">
        <v>15</v>
      </c>
      <c r="C76" s="2" t="s">
        <v>4</v>
      </c>
      <c r="D76" s="2" t="s">
        <v>29</v>
      </c>
      <c r="E76" s="2" t="s">
        <v>140</v>
      </c>
      <c r="F76" s="2">
        <v>8</v>
      </c>
    </row>
    <row r="77" spans="1:6">
      <c r="A77" s="4" t="s">
        <v>141</v>
      </c>
      <c r="B77" s="4" t="s">
        <v>15</v>
      </c>
      <c r="C77" s="4" t="s">
        <v>6</v>
      </c>
      <c r="D77" s="4" t="s">
        <v>37</v>
      </c>
      <c r="E77" s="4" t="s">
        <v>142</v>
      </c>
      <c r="F77" s="4">
        <v>7</v>
      </c>
    </row>
    <row r="78" spans="1:6">
      <c r="A78" s="2" t="s">
        <v>143</v>
      </c>
      <c r="B78" s="2" t="s">
        <v>15</v>
      </c>
      <c r="C78" s="2" t="s">
        <v>9</v>
      </c>
      <c r="D78" s="2" t="s">
        <v>21</v>
      </c>
      <c r="E78" s="2" t="s">
        <v>144</v>
      </c>
      <c r="F78" s="2">
        <v>18</v>
      </c>
    </row>
    <row r="79" spans="1:6">
      <c r="A79" s="4" t="s">
        <v>145</v>
      </c>
      <c r="B79" s="4" t="s">
        <v>3</v>
      </c>
      <c r="C79" s="4" t="s">
        <v>6</v>
      </c>
      <c r="D79" s="4" t="s">
        <v>21</v>
      </c>
      <c r="E79" s="4" t="s">
        <v>124</v>
      </c>
      <c r="F79" s="4">
        <v>8</v>
      </c>
    </row>
    <row r="80" spans="1:6">
      <c r="A80" s="2" t="s">
        <v>146</v>
      </c>
      <c r="B80" s="2" t="s">
        <v>3</v>
      </c>
      <c r="C80" s="2" t="s">
        <v>9</v>
      </c>
      <c r="D80" s="2" t="s">
        <v>20</v>
      </c>
      <c r="E80" s="2" t="s">
        <v>147</v>
      </c>
      <c r="F80" s="2">
        <v>1</v>
      </c>
    </row>
    <row r="81" spans="1:6">
      <c r="A81" s="4" t="s">
        <v>148</v>
      </c>
      <c r="B81" s="4" t="s">
        <v>3</v>
      </c>
      <c r="C81" s="4" t="s">
        <v>9</v>
      </c>
      <c r="D81" s="4" t="s">
        <v>21</v>
      </c>
      <c r="E81" s="4" t="s">
        <v>149</v>
      </c>
      <c r="F81" s="4">
        <v>11</v>
      </c>
    </row>
    <row r="82" spans="1:6">
      <c r="A82" s="2" t="s">
        <v>150</v>
      </c>
      <c r="B82" s="2" t="s">
        <v>8</v>
      </c>
      <c r="C82" s="2" t="s">
        <v>9</v>
      </c>
      <c r="D82" s="2" t="s">
        <v>20</v>
      </c>
      <c r="E82" s="2" t="s">
        <v>151</v>
      </c>
      <c r="F82" s="2">
        <v>18</v>
      </c>
    </row>
    <row r="83" spans="1:6">
      <c r="A83" s="4" t="s">
        <v>152</v>
      </c>
      <c r="B83" s="4" t="s">
        <v>13</v>
      </c>
      <c r="C83" s="4" t="s">
        <v>6</v>
      </c>
      <c r="D83" s="4" t="s">
        <v>21</v>
      </c>
      <c r="E83" s="4" t="s">
        <v>153</v>
      </c>
      <c r="F83" s="4">
        <v>10</v>
      </c>
    </row>
    <row r="84" spans="1:6">
      <c r="A84" s="2" t="s">
        <v>154</v>
      </c>
      <c r="B84" s="2" t="s">
        <v>15</v>
      </c>
      <c r="C84" s="2" t="s">
        <v>9</v>
      </c>
      <c r="D84" s="2" t="s">
        <v>29</v>
      </c>
      <c r="E84" s="2" t="s">
        <v>155</v>
      </c>
      <c r="F84" s="2">
        <v>3</v>
      </c>
    </row>
    <row r="85" spans="1:6">
      <c r="A85" s="4" t="s">
        <v>156</v>
      </c>
      <c r="B85" s="4" t="s">
        <v>15</v>
      </c>
      <c r="C85" s="4" t="s">
        <v>5</v>
      </c>
      <c r="D85" s="4" t="s">
        <v>21</v>
      </c>
      <c r="E85" s="4" t="s">
        <v>157</v>
      </c>
      <c r="F85" s="4">
        <v>7</v>
      </c>
    </row>
    <row r="86" spans="1:6">
      <c r="A86" s="2" t="s">
        <v>158</v>
      </c>
      <c r="B86" s="2" t="s">
        <v>8</v>
      </c>
      <c r="C86" s="2" t="s">
        <v>6</v>
      </c>
      <c r="D86" s="2" t="s">
        <v>20</v>
      </c>
      <c r="E86" s="2" t="s">
        <v>78</v>
      </c>
      <c r="F86" s="2">
        <v>16</v>
      </c>
    </row>
    <row r="87" spans="1:6">
      <c r="A87" s="4" t="s">
        <v>159</v>
      </c>
      <c r="B87" s="4" t="s">
        <v>15</v>
      </c>
      <c r="C87" s="4" t="s">
        <v>5</v>
      </c>
      <c r="D87" s="4" t="s">
        <v>20</v>
      </c>
      <c r="E87" s="4" t="s">
        <v>160</v>
      </c>
      <c r="F87" s="4">
        <v>16</v>
      </c>
    </row>
    <row r="88" spans="1:6">
      <c r="A88" s="2" t="s">
        <v>161</v>
      </c>
      <c r="B88" s="2" t="s">
        <v>3</v>
      </c>
      <c r="C88" s="2" t="s">
        <v>9</v>
      </c>
      <c r="D88" s="2" t="s">
        <v>37</v>
      </c>
      <c r="E88" s="2" t="s">
        <v>162</v>
      </c>
      <c r="F88" s="2">
        <v>17</v>
      </c>
    </row>
    <row r="89" spans="1:6">
      <c r="A89" s="4" t="s">
        <v>163</v>
      </c>
      <c r="B89" s="4" t="s">
        <v>13</v>
      </c>
      <c r="C89" s="4" t="s">
        <v>4</v>
      </c>
      <c r="D89" s="4" t="s">
        <v>29</v>
      </c>
      <c r="E89" s="4" t="s">
        <v>164</v>
      </c>
      <c r="F89" s="4">
        <v>2</v>
      </c>
    </row>
    <row r="90" spans="1:6">
      <c r="A90" s="2" t="s">
        <v>165</v>
      </c>
      <c r="B90" s="2" t="s">
        <v>11</v>
      </c>
      <c r="C90" s="2" t="s">
        <v>9</v>
      </c>
      <c r="D90" s="2" t="s">
        <v>21</v>
      </c>
      <c r="E90" s="2" t="s">
        <v>166</v>
      </c>
      <c r="F90" s="2">
        <v>1</v>
      </c>
    </row>
    <row r="91" spans="1:6">
      <c r="A91" s="4" t="s">
        <v>167</v>
      </c>
      <c r="B91" s="4" t="s">
        <v>15</v>
      </c>
      <c r="C91" s="4" t="s">
        <v>5</v>
      </c>
      <c r="D91" s="4" t="s">
        <v>37</v>
      </c>
      <c r="E91" s="4" t="s">
        <v>168</v>
      </c>
      <c r="F91" s="4">
        <v>16</v>
      </c>
    </row>
    <row r="92" spans="1:6">
      <c r="A92" s="2" t="s">
        <v>169</v>
      </c>
      <c r="B92" s="2" t="s">
        <v>3</v>
      </c>
      <c r="C92" s="2" t="s">
        <v>5</v>
      </c>
      <c r="D92" s="2" t="s">
        <v>21</v>
      </c>
      <c r="E92" s="2" t="s">
        <v>170</v>
      </c>
      <c r="F92" s="2">
        <v>12</v>
      </c>
    </row>
    <row r="93" spans="1:6">
      <c r="A93" s="5">
        <v>45295</v>
      </c>
      <c r="B93" s="4" t="s">
        <v>11</v>
      </c>
      <c r="C93" s="4" t="s">
        <v>6</v>
      </c>
      <c r="D93" s="4" t="s">
        <v>21</v>
      </c>
      <c r="E93" s="4" t="s">
        <v>171</v>
      </c>
      <c r="F93" s="4">
        <v>5</v>
      </c>
    </row>
    <row r="94" spans="1:6">
      <c r="A94" s="3">
        <v>45326</v>
      </c>
      <c r="B94" s="2" t="s">
        <v>13</v>
      </c>
      <c r="C94" s="2" t="s">
        <v>4</v>
      </c>
      <c r="D94" s="2" t="s">
        <v>37</v>
      </c>
      <c r="E94" s="2" t="s">
        <v>172</v>
      </c>
      <c r="F94" s="2">
        <v>5</v>
      </c>
    </row>
    <row r="95" spans="1:6">
      <c r="A95" s="5">
        <v>45355</v>
      </c>
      <c r="B95" s="4" t="s">
        <v>11</v>
      </c>
      <c r="C95" s="4" t="s">
        <v>6</v>
      </c>
      <c r="D95" s="4" t="s">
        <v>37</v>
      </c>
      <c r="E95" s="4" t="s">
        <v>173</v>
      </c>
      <c r="F95" s="4">
        <v>9</v>
      </c>
    </row>
    <row r="96" spans="1:6">
      <c r="A96" s="3">
        <v>45386</v>
      </c>
      <c r="B96" s="2" t="s">
        <v>3</v>
      </c>
      <c r="C96" s="2" t="s">
        <v>5</v>
      </c>
      <c r="D96" s="2" t="s">
        <v>37</v>
      </c>
      <c r="E96" s="2" t="s">
        <v>174</v>
      </c>
      <c r="F96" s="2">
        <v>9</v>
      </c>
    </row>
    <row r="97" spans="1:6">
      <c r="A97" s="5">
        <v>45416</v>
      </c>
      <c r="B97" s="4" t="s">
        <v>11</v>
      </c>
      <c r="C97" s="4" t="s">
        <v>9</v>
      </c>
      <c r="D97" s="4" t="s">
        <v>37</v>
      </c>
      <c r="E97" s="4" t="s">
        <v>175</v>
      </c>
      <c r="F97" s="4">
        <v>3</v>
      </c>
    </row>
    <row r="98" spans="1:6">
      <c r="A98" s="3">
        <v>45447</v>
      </c>
      <c r="B98" s="2" t="s">
        <v>8</v>
      </c>
      <c r="C98" s="2" t="s">
        <v>4</v>
      </c>
      <c r="D98" s="2" t="s">
        <v>37</v>
      </c>
      <c r="E98" s="2" t="s">
        <v>176</v>
      </c>
      <c r="F98" s="2">
        <v>19</v>
      </c>
    </row>
    <row r="99" spans="1:6">
      <c r="A99" s="5">
        <v>45477</v>
      </c>
      <c r="B99" s="4" t="s">
        <v>11</v>
      </c>
      <c r="C99" s="4" t="s">
        <v>9</v>
      </c>
      <c r="D99" s="4" t="s">
        <v>21</v>
      </c>
      <c r="E99" s="4" t="s">
        <v>177</v>
      </c>
      <c r="F99" s="4">
        <v>16</v>
      </c>
    </row>
    <row r="100" spans="1:6">
      <c r="A100" s="3">
        <v>45508</v>
      </c>
      <c r="B100" s="2" t="s">
        <v>15</v>
      </c>
      <c r="C100" s="2" t="s">
        <v>9</v>
      </c>
      <c r="D100" s="2" t="s">
        <v>37</v>
      </c>
      <c r="E100" s="2" t="s">
        <v>178</v>
      </c>
      <c r="F100" s="2">
        <v>16</v>
      </c>
    </row>
    <row r="101" spans="1:6">
      <c r="A101" s="5">
        <v>45539</v>
      </c>
      <c r="B101" s="4" t="s">
        <v>15</v>
      </c>
      <c r="C101" s="4" t="s">
        <v>4</v>
      </c>
      <c r="D101" s="4" t="s">
        <v>29</v>
      </c>
      <c r="E101" s="4" t="s">
        <v>125</v>
      </c>
      <c r="F101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2026-03-29T13:36:50Z</dcterms:created>
  <dcterms:modified xsi:type="dcterms:W3CDTF">2026-04-01T08:43:43Z</dcterms:modified>
  <cp:category/>
  <cp:contentStatus/>
</cp:coreProperties>
</file>