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4631F6A0-7104-4383-A74A-92F561E94C1D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Pivot 1 - Most Sales" sheetId="3" r:id="rId1"/>
    <sheet name="Pivot 2 - Highest Region" sheetId="6" r:id="rId2"/>
    <sheet name="Chocolate Sales - Raw Data" sheetId="1" r:id="rId3"/>
  </sheets>
  <definedNames>
    <definedName name="Slicer_Clean_Amount">#N/A</definedName>
    <definedName name="Slicer_Country">#N/A</definedName>
    <definedName name="Slicer_Sales_Person">#N/A</definedName>
    <definedName name="Slicer_Sales_Person1">#N/A</definedName>
  </definedNames>
  <calcPr calcId="191028"/>
  <pivotCaches>
    <pivotCache cacheId="279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F2" i="1"/>
  <c r="H2" i="1" s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F166" i="1"/>
  <c r="H166" i="1" s="1"/>
  <c r="F167" i="1"/>
  <c r="H167" i="1" s="1"/>
  <c r="F168" i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F193" i="1"/>
  <c r="H193" i="1" s="1"/>
  <c r="F194" i="1"/>
  <c r="H194" i="1" s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F233" i="1"/>
  <c r="H233" i="1" s="1"/>
  <c r="F234" i="1"/>
  <c r="H234" i="1" s="1"/>
  <c r="F235" i="1"/>
  <c r="H235" i="1" s="1"/>
  <c r="F236" i="1"/>
  <c r="H236" i="1" s="1"/>
  <c r="F237" i="1"/>
  <c r="F238" i="1"/>
  <c r="H238" i="1" s="1"/>
  <c r="F239" i="1"/>
  <c r="H239" i="1" s="1"/>
  <c r="F240" i="1"/>
  <c r="H240" i="1" s="1"/>
  <c r="F241" i="1"/>
  <c r="H241" i="1" s="1"/>
  <c r="F242" i="1"/>
  <c r="H242" i="1" s="1"/>
  <c r="F243" i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50" i="1"/>
  <c r="H250" i="1" s="1"/>
  <c r="F251" i="1"/>
  <c r="H251" i="1" s="1"/>
  <c r="F252" i="1"/>
  <c r="H252" i="1" s="1"/>
  <c r="F253" i="1"/>
  <c r="H253" i="1" s="1"/>
  <c r="F254" i="1"/>
  <c r="H254" i="1" s="1"/>
  <c r="F255" i="1"/>
  <c r="H255" i="1" s="1"/>
  <c r="F256" i="1"/>
  <c r="H256" i="1" s="1"/>
  <c r="F257" i="1"/>
  <c r="H257" i="1" s="1"/>
  <c r="F258" i="1"/>
  <c r="H258" i="1" s="1"/>
  <c r="F259" i="1"/>
  <c r="H259" i="1" s="1"/>
  <c r="F260" i="1"/>
  <c r="F261" i="1"/>
  <c r="H261" i="1" s="1"/>
  <c r="F262" i="1"/>
  <c r="H262" i="1" s="1"/>
  <c r="F263" i="1"/>
  <c r="H263" i="1" s="1"/>
  <c r="F264" i="1"/>
  <c r="H264" i="1" s="1"/>
  <c r="F265" i="1"/>
  <c r="H265" i="1" s="1"/>
  <c r="F266" i="1"/>
  <c r="H266" i="1" s="1"/>
  <c r="F267" i="1"/>
  <c r="H267" i="1" s="1"/>
  <c r="F268" i="1"/>
  <c r="H268" i="1" s="1"/>
  <c r="F269" i="1"/>
  <c r="H269" i="1" s="1"/>
  <c r="F270" i="1"/>
  <c r="H270" i="1" s="1"/>
  <c r="F271" i="1"/>
  <c r="H271" i="1" s="1"/>
  <c r="F272" i="1"/>
  <c r="H272" i="1" s="1"/>
  <c r="F273" i="1"/>
  <c r="H273" i="1" s="1"/>
  <c r="F274" i="1"/>
  <c r="H274" i="1" s="1"/>
  <c r="F275" i="1"/>
  <c r="H275" i="1" s="1"/>
  <c r="F276" i="1"/>
  <c r="H276" i="1" s="1"/>
  <c r="F277" i="1"/>
  <c r="H277" i="1" s="1"/>
  <c r="F278" i="1"/>
  <c r="H278" i="1" s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H285" i="1" s="1"/>
  <c r="F286" i="1"/>
  <c r="H286" i="1" s="1"/>
  <c r="F287" i="1"/>
  <c r="H287" i="1" s="1"/>
  <c r="F288" i="1"/>
  <c r="H288" i="1" s="1"/>
  <c r="F289" i="1"/>
  <c r="H289" i="1" s="1"/>
  <c r="F290" i="1"/>
  <c r="H290" i="1" s="1"/>
  <c r="F291" i="1"/>
  <c r="F292" i="1"/>
  <c r="F293" i="1"/>
  <c r="H293" i="1" s="1"/>
  <c r="F294" i="1"/>
  <c r="H294" i="1" s="1"/>
  <c r="F295" i="1"/>
  <c r="H295" i="1" s="1"/>
  <c r="F296" i="1"/>
  <c r="H296" i="1" s="1"/>
  <c r="F297" i="1"/>
  <c r="H297" i="1" s="1"/>
  <c r="F298" i="1"/>
  <c r="H298" i="1" s="1"/>
  <c r="F299" i="1"/>
  <c r="H299" i="1" s="1"/>
  <c r="F300" i="1"/>
  <c r="H300" i="1" s="1"/>
  <c r="F301" i="1"/>
  <c r="H301" i="1" s="1"/>
  <c r="F302" i="1"/>
  <c r="H302" i="1" s="1"/>
  <c r="F303" i="1"/>
  <c r="F304" i="1"/>
  <c r="H304" i="1" s="1"/>
  <c r="F305" i="1"/>
  <c r="H305" i="1" s="1"/>
  <c r="F306" i="1"/>
  <c r="H306" i="1" s="1"/>
  <c r="F307" i="1"/>
  <c r="H307" i="1" s="1"/>
  <c r="F308" i="1"/>
  <c r="F309" i="1"/>
  <c r="H309" i="1" s="1"/>
  <c r="F310" i="1"/>
  <c r="H310" i="1" s="1"/>
  <c r="F311" i="1"/>
  <c r="H311" i="1" s="1"/>
  <c r="F312" i="1"/>
  <c r="H312" i="1" s="1"/>
  <c r="F313" i="1"/>
  <c r="H313" i="1" s="1"/>
  <c r="F314" i="1"/>
  <c r="H314" i="1" s="1"/>
  <c r="F315" i="1"/>
  <c r="H315" i="1" s="1"/>
  <c r="F316" i="1"/>
  <c r="H316" i="1" s="1"/>
  <c r="F317" i="1"/>
  <c r="H317" i="1" s="1"/>
  <c r="F318" i="1"/>
  <c r="H318" i="1" s="1"/>
  <c r="F319" i="1"/>
  <c r="H319" i="1" s="1"/>
  <c r="F320" i="1"/>
  <c r="H320" i="1" s="1"/>
  <c r="F321" i="1"/>
  <c r="H321" i="1" s="1"/>
  <c r="F322" i="1"/>
  <c r="H322" i="1" s="1"/>
  <c r="F323" i="1"/>
  <c r="H323" i="1" s="1"/>
  <c r="F324" i="1"/>
  <c r="H324" i="1" s="1"/>
  <c r="F325" i="1"/>
  <c r="H325" i="1" s="1"/>
  <c r="F326" i="1"/>
  <c r="H326" i="1" s="1"/>
  <c r="F327" i="1"/>
  <c r="H327" i="1" s="1"/>
  <c r="F328" i="1"/>
  <c r="H328" i="1" s="1"/>
  <c r="F329" i="1"/>
  <c r="H329" i="1" s="1"/>
  <c r="F330" i="1"/>
  <c r="H330" i="1" s="1"/>
  <c r="F331" i="1"/>
  <c r="H331" i="1" s="1"/>
  <c r="F332" i="1"/>
  <c r="H332" i="1" s="1"/>
  <c r="F333" i="1"/>
  <c r="H333" i="1" s="1"/>
  <c r="F334" i="1"/>
  <c r="H334" i="1" s="1"/>
  <c r="F335" i="1"/>
  <c r="H335" i="1" s="1"/>
  <c r="F336" i="1"/>
  <c r="H336" i="1" s="1"/>
  <c r="F337" i="1"/>
  <c r="H337" i="1" s="1"/>
  <c r="F338" i="1"/>
  <c r="H338" i="1" s="1"/>
  <c r="F339" i="1"/>
  <c r="H339" i="1" s="1"/>
  <c r="F340" i="1"/>
  <c r="H340" i="1" s="1"/>
  <c r="F341" i="1"/>
  <c r="H341" i="1" s="1"/>
  <c r="F342" i="1"/>
  <c r="H342" i="1" s="1"/>
  <c r="F343" i="1"/>
  <c r="H343" i="1" s="1"/>
  <c r="F344" i="1"/>
  <c r="H344" i="1" s="1"/>
  <c r="F345" i="1"/>
  <c r="H345" i="1" s="1"/>
  <c r="F346" i="1"/>
  <c r="H346" i="1" s="1"/>
  <c r="F347" i="1"/>
  <c r="H347" i="1" s="1"/>
  <c r="F348" i="1"/>
  <c r="H348" i="1" s="1"/>
  <c r="F349" i="1"/>
  <c r="F350" i="1"/>
  <c r="H350" i="1" s="1"/>
  <c r="F351" i="1"/>
  <c r="H351" i="1" s="1"/>
  <c r="F352" i="1"/>
  <c r="H352" i="1" s="1"/>
  <c r="F353" i="1"/>
  <c r="H353" i="1" s="1"/>
  <c r="F354" i="1"/>
  <c r="H354" i="1" s="1"/>
  <c r="F355" i="1"/>
  <c r="H355" i="1" s="1"/>
  <c r="F356" i="1"/>
  <c r="H356" i="1" s="1"/>
  <c r="F357" i="1"/>
  <c r="H357" i="1" s="1"/>
  <c r="F358" i="1"/>
  <c r="H358" i="1" s="1"/>
  <c r="F359" i="1"/>
  <c r="H359" i="1" s="1"/>
  <c r="F360" i="1"/>
  <c r="H360" i="1" s="1"/>
  <c r="F361" i="1"/>
  <c r="H361" i="1" s="1"/>
  <c r="F362" i="1"/>
  <c r="H362" i="1" s="1"/>
  <c r="F363" i="1"/>
  <c r="H363" i="1" s="1"/>
  <c r="F364" i="1"/>
  <c r="H364" i="1" s="1"/>
  <c r="F365" i="1"/>
  <c r="H365" i="1" s="1"/>
  <c r="F366" i="1"/>
  <c r="H366" i="1" s="1"/>
  <c r="F367" i="1"/>
  <c r="H367" i="1" s="1"/>
  <c r="F368" i="1"/>
  <c r="H368" i="1" s="1"/>
  <c r="F369" i="1"/>
  <c r="H369" i="1" s="1"/>
  <c r="F370" i="1"/>
  <c r="F371" i="1"/>
  <c r="H371" i="1" s="1"/>
  <c r="F372" i="1"/>
  <c r="H372" i="1" s="1"/>
  <c r="F373" i="1"/>
  <c r="H373" i="1" s="1"/>
  <c r="F374" i="1"/>
  <c r="H374" i="1" s="1"/>
  <c r="F375" i="1"/>
  <c r="H375" i="1" s="1"/>
  <c r="F376" i="1"/>
  <c r="H376" i="1" s="1"/>
  <c r="F377" i="1"/>
  <c r="H377" i="1" s="1"/>
  <c r="F378" i="1"/>
  <c r="H378" i="1" s="1"/>
  <c r="F379" i="1"/>
  <c r="H379" i="1" s="1"/>
  <c r="F380" i="1"/>
  <c r="H380" i="1" s="1"/>
  <c r="F381" i="1"/>
  <c r="H381" i="1" s="1"/>
  <c r="F382" i="1"/>
  <c r="F383" i="1"/>
  <c r="H383" i="1" s="1"/>
  <c r="F384" i="1"/>
  <c r="H384" i="1" s="1"/>
  <c r="F385" i="1"/>
  <c r="H385" i="1" s="1"/>
  <c r="F386" i="1"/>
  <c r="H386" i="1" s="1"/>
  <c r="F387" i="1"/>
  <c r="H387" i="1" s="1"/>
  <c r="F388" i="1"/>
  <c r="H388" i="1" s="1"/>
  <c r="F389" i="1"/>
  <c r="H389" i="1" s="1"/>
  <c r="F390" i="1"/>
  <c r="H390" i="1" s="1"/>
  <c r="F391" i="1"/>
  <c r="H391" i="1" s="1"/>
  <c r="F392" i="1"/>
  <c r="H392" i="1" s="1"/>
  <c r="F393" i="1"/>
  <c r="H393" i="1" s="1"/>
  <c r="F394" i="1"/>
  <c r="H394" i="1" s="1"/>
  <c r="F395" i="1"/>
  <c r="H395" i="1" s="1"/>
  <c r="F396" i="1"/>
  <c r="H396" i="1" s="1"/>
  <c r="F397" i="1"/>
  <c r="H397" i="1" s="1"/>
  <c r="F398" i="1"/>
  <c r="H398" i="1" s="1"/>
  <c r="F399" i="1"/>
  <c r="H399" i="1" s="1"/>
  <c r="F400" i="1"/>
  <c r="H400" i="1" s="1"/>
  <c r="F401" i="1"/>
  <c r="H401" i="1" s="1"/>
  <c r="F402" i="1"/>
  <c r="H402" i="1" s="1"/>
  <c r="F403" i="1"/>
  <c r="H403" i="1" s="1"/>
  <c r="F404" i="1"/>
  <c r="H404" i="1" s="1"/>
  <c r="F405" i="1"/>
  <c r="H405" i="1" s="1"/>
  <c r="F406" i="1"/>
  <c r="H406" i="1" s="1"/>
  <c r="F407" i="1"/>
  <c r="H407" i="1" s="1"/>
  <c r="F408" i="1"/>
  <c r="H408" i="1" s="1"/>
  <c r="F409" i="1"/>
  <c r="H409" i="1" s="1"/>
  <c r="F410" i="1"/>
  <c r="H410" i="1" s="1"/>
  <c r="F411" i="1"/>
  <c r="F412" i="1"/>
  <c r="F413" i="1"/>
  <c r="H413" i="1" s="1"/>
  <c r="F414" i="1"/>
  <c r="H414" i="1" s="1"/>
  <c r="F415" i="1"/>
  <c r="H415" i="1" s="1"/>
  <c r="F416" i="1"/>
  <c r="H416" i="1" s="1"/>
  <c r="F417" i="1"/>
  <c r="H417" i="1" s="1"/>
  <c r="F418" i="1"/>
  <c r="H418" i="1" s="1"/>
  <c r="F419" i="1"/>
  <c r="H419" i="1" s="1"/>
  <c r="F420" i="1"/>
  <c r="H420" i="1" s="1"/>
  <c r="F421" i="1"/>
  <c r="H421" i="1" s="1"/>
  <c r="F422" i="1"/>
  <c r="H422" i="1" s="1"/>
  <c r="F423" i="1"/>
  <c r="H423" i="1" s="1"/>
  <c r="F424" i="1"/>
  <c r="H424" i="1" s="1"/>
  <c r="F425" i="1"/>
  <c r="H425" i="1" s="1"/>
  <c r="F426" i="1"/>
  <c r="H426" i="1" s="1"/>
  <c r="F427" i="1"/>
  <c r="F428" i="1"/>
  <c r="H428" i="1" s="1"/>
  <c r="F429" i="1"/>
  <c r="F430" i="1"/>
  <c r="H430" i="1" s="1"/>
  <c r="F431" i="1"/>
  <c r="H431" i="1" s="1"/>
  <c r="F432" i="1"/>
  <c r="H432" i="1" s="1"/>
  <c r="F433" i="1"/>
  <c r="H433" i="1" s="1"/>
  <c r="F434" i="1"/>
  <c r="H434" i="1" s="1"/>
  <c r="F435" i="1"/>
  <c r="H435" i="1" s="1"/>
  <c r="F436" i="1"/>
  <c r="H436" i="1" s="1"/>
  <c r="F437" i="1"/>
  <c r="H437" i="1" s="1"/>
  <c r="F438" i="1"/>
  <c r="H438" i="1" s="1"/>
  <c r="F439" i="1"/>
  <c r="H439" i="1" s="1"/>
  <c r="F440" i="1"/>
  <c r="H440" i="1" s="1"/>
  <c r="F441" i="1"/>
  <c r="H441" i="1" s="1"/>
  <c r="F442" i="1"/>
  <c r="H442" i="1" s="1"/>
  <c r="F443" i="1"/>
  <c r="H443" i="1" s="1"/>
  <c r="F444" i="1"/>
  <c r="H444" i="1" s="1"/>
  <c r="F445" i="1"/>
  <c r="H445" i="1" s="1"/>
  <c r="F446" i="1"/>
  <c r="H446" i="1" s="1"/>
  <c r="F447" i="1"/>
  <c r="H447" i="1" s="1"/>
  <c r="F448" i="1"/>
  <c r="H448" i="1" s="1"/>
  <c r="F449" i="1"/>
  <c r="H449" i="1" s="1"/>
  <c r="F450" i="1"/>
  <c r="H450" i="1" s="1"/>
  <c r="F451" i="1"/>
  <c r="H451" i="1" s="1"/>
  <c r="F452" i="1"/>
  <c r="H452" i="1" s="1"/>
  <c r="F453" i="1"/>
  <c r="H453" i="1" s="1"/>
  <c r="F454" i="1"/>
  <c r="H454" i="1" s="1"/>
  <c r="F455" i="1"/>
  <c r="H455" i="1" s="1"/>
  <c r="F456" i="1"/>
  <c r="H456" i="1" s="1"/>
  <c r="F457" i="1"/>
  <c r="H457" i="1" s="1"/>
  <c r="F458" i="1"/>
  <c r="H458" i="1" s="1"/>
  <c r="F459" i="1"/>
  <c r="H459" i="1" s="1"/>
  <c r="F460" i="1"/>
  <c r="H460" i="1" s="1"/>
  <c r="F461" i="1"/>
  <c r="H461" i="1" s="1"/>
  <c r="F462" i="1"/>
  <c r="H462" i="1" s="1"/>
  <c r="F463" i="1"/>
  <c r="H463" i="1" s="1"/>
  <c r="F464" i="1"/>
  <c r="H464" i="1" s="1"/>
  <c r="F465" i="1"/>
  <c r="H465" i="1" s="1"/>
  <c r="F466" i="1"/>
  <c r="H466" i="1" s="1"/>
  <c r="F467" i="1"/>
  <c r="H467" i="1" s="1"/>
  <c r="F468" i="1"/>
  <c r="H468" i="1" s="1"/>
  <c r="F469" i="1"/>
  <c r="H469" i="1" s="1"/>
  <c r="F470" i="1"/>
  <c r="H470" i="1" s="1"/>
  <c r="F471" i="1"/>
  <c r="H471" i="1" s="1"/>
  <c r="F472" i="1"/>
  <c r="H472" i="1" s="1"/>
  <c r="F473" i="1"/>
  <c r="H473" i="1" s="1"/>
  <c r="F474" i="1"/>
  <c r="F475" i="1"/>
  <c r="H475" i="1" s="1"/>
  <c r="F476" i="1"/>
  <c r="H476" i="1" s="1"/>
  <c r="F477" i="1"/>
  <c r="H477" i="1" s="1"/>
  <c r="F478" i="1"/>
  <c r="H478" i="1" s="1"/>
  <c r="F479" i="1"/>
  <c r="H479" i="1" s="1"/>
  <c r="F480" i="1"/>
  <c r="H480" i="1" s="1"/>
  <c r="F481" i="1"/>
  <c r="H481" i="1" s="1"/>
  <c r="F482" i="1"/>
  <c r="H482" i="1" s="1"/>
  <c r="F483" i="1"/>
  <c r="H483" i="1" s="1"/>
  <c r="F484" i="1"/>
  <c r="H484" i="1" s="1"/>
  <c r="F485" i="1"/>
  <c r="H485" i="1" s="1"/>
  <c r="F486" i="1"/>
  <c r="H486" i="1" s="1"/>
  <c r="F487" i="1"/>
  <c r="H487" i="1" s="1"/>
  <c r="F488" i="1"/>
  <c r="H488" i="1" s="1"/>
  <c r="F489" i="1"/>
  <c r="H489" i="1" s="1"/>
  <c r="F490" i="1"/>
  <c r="H490" i="1" s="1"/>
  <c r="F491" i="1"/>
  <c r="H491" i="1" s="1"/>
  <c r="F492" i="1"/>
  <c r="H492" i="1" s="1"/>
  <c r="F493" i="1"/>
  <c r="H493" i="1" s="1"/>
  <c r="F494" i="1"/>
  <c r="H494" i="1" s="1"/>
  <c r="F495" i="1"/>
  <c r="H495" i="1" s="1"/>
  <c r="F496" i="1"/>
  <c r="H496" i="1" s="1"/>
  <c r="F497" i="1"/>
  <c r="H497" i="1" s="1"/>
  <c r="F498" i="1"/>
  <c r="H498" i="1" s="1"/>
  <c r="F499" i="1"/>
  <c r="H499" i="1" s="1"/>
  <c r="F500" i="1"/>
  <c r="H500" i="1" s="1"/>
  <c r="F501" i="1"/>
  <c r="H501" i="1" s="1"/>
  <c r="F502" i="1"/>
  <c r="H502" i="1" s="1"/>
  <c r="F503" i="1"/>
  <c r="H503" i="1" s="1"/>
  <c r="F504" i="1"/>
  <c r="H504" i="1" s="1"/>
  <c r="F505" i="1"/>
  <c r="H505" i="1" s="1"/>
  <c r="F506" i="1"/>
  <c r="H506" i="1" s="1"/>
  <c r="F507" i="1"/>
  <c r="H507" i="1" s="1"/>
  <c r="F508" i="1"/>
  <c r="H508" i="1" s="1"/>
  <c r="F509" i="1"/>
  <c r="H509" i="1" s="1"/>
  <c r="F510" i="1"/>
  <c r="F511" i="1"/>
  <c r="H511" i="1" s="1"/>
  <c r="F512" i="1"/>
  <c r="H512" i="1" s="1"/>
  <c r="F513" i="1"/>
  <c r="H513" i="1" s="1"/>
  <c r="F514" i="1"/>
  <c r="H514" i="1" s="1"/>
  <c r="F515" i="1"/>
  <c r="H515" i="1" s="1"/>
  <c r="F516" i="1"/>
  <c r="H516" i="1" s="1"/>
  <c r="F517" i="1"/>
  <c r="H517" i="1" s="1"/>
  <c r="F518" i="1"/>
  <c r="H518" i="1" s="1"/>
  <c r="F519" i="1"/>
  <c r="H519" i="1" s="1"/>
  <c r="F520" i="1"/>
  <c r="H520" i="1" s="1"/>
  <c r="F521" i="1"/>
  <c r="H521" i="1" s="1"/>
  <c r="F522" i="1"/>
  <c r="H522" i="1" s="1"/>
  <c r="F523" i="1"/>
  <c r="H523" i="1" s="1"/>
  <c r="F524" i="1"/>
  <c r="H524" i="1" s="1"/>
  <c r="F525" i="1"/>
  <c r="H525" i="1" s="1"/>
  <c r="F526" i="1"/>
  <c r="H526" i="1" s="1"/>
  <c r="F527" i="1"/>
  <c r="H527" i="1" s="1"/>
  <c r="F528" i="1"/>
  <c r="H528" i="1" s="1"/>
  <c r="F529" i="1"/>
  <c r="H529" i="1" s="1"/>
  <c r="F530" i="1"/>
  <c r="H530" i="1" s="1"/>
  <c r="F531" i="1"/>
  <c r="H531" i="1" s="1"/>
  <c r="F532" i="1"/>
  <c r="H532" i="1" s="1"/>
  <c r="F533" i="1"/>
  <c r="H533" i="1" s="1"/>
  <c r="F534" i="1"/>
  <c r="H534" i="1" s="1"/>
  <c r="F535" i="1"/>
  <c r="H535" i="1" s="1"/>
  <c r="F536" i="1"/>
  <c r="H536" i="1" s="1"/>
  <c r="F537" i="1"/>
  <c r="H537" i="1" s="1"/>
  <c r="F538" i="1"/>
  <c r="H538" i="1" s="1"/>
  <c r="F539" i="1"/>
  <c r="H539" i="1" s="1"/>
  <c r="F540" i="1"/>
  <c r="H540" i="1" s="1"/>
  <c r="F541" i="1"/>
  <c r="H541" i="1" s="1"/>
  <c r="F542" i="1"/>
  <c r="H542" i="1" s="1"/>
  <c r="F543" i="1"/>
  <c r="H543" i="1" s="1"/>
  <c r="F544" i="1"/>
  <c r="H544" i="1" s="1"/>
  <c r="F545" i="1"/>
  <c r="H545" i="1" s="1"/>
  <c r="F546" i="1"/>
  <c r="H546" i="1" s="1"/>
  <c r="F547" i="1"/>
  <c r="H547" i="1" s="1"/>
  <c r="F548" i="1"/>
  <c r="H548" i="1" s="1"/>
  <c r="F549" i="1"/>
  <c r="H549" i="1" s="1"/>
  <c r="F550" i="1"/>
  <c r="H550" i="1" s="1"/>
  <c r="F551" i="1"/>
  <c r="H551" i="1" s="1"/>
  <c r="F552" i="1"/>
  <c r="F553" i="1"/>
  <c r="H553" i="1" s="1"/>
  <c r="F554" i="1"/>
  <c r="H554" i="1" s="1"/>
  <c r="F555" i="1"/>
  <c r="H555" i="1" s="1"/>
  <c r="F556" i="1"/>
  <c r="H556" i="1" s="1"/>
  <c r="F557" i="1"/>
  <c r="H557" i="1" s="1"/>
  <c r="F558" i="1"/>
  <c r="F559" i="1"/>
  <c r="H559" i="1" s="1"/>
  <c r="F560" i="1"/>
  <c r="H560" i="1" s="1"/>
  <c r="F561" i="1"/>
  <c r="H561" i="1" s="1"/>
  <c r="F562" i="1"/>
  <c r="H562" i="1" s="1"/>
  <c r="F563" i="1"/>
  <c r="H563" i="1" s="1"/>
  <c r="F564" i="1"/>
  <c r="H564" i="1" s="1"/>
  <c r="F565" i="1"/>
  <c r="H565" i="1" s="1"/>
  <c r="F566" i="1"/>
  <c r="H566" i="1" s="1"/>
  <c r="F567" i="1"/>
  <c r="H567" i="1" s="1"/>
  <c r="F568" i="1"/>
  <c r="H568" i="1" s="1"/>
  <c r="F569" i="1"/>
  <c r="H569" i="1" s="1"/>
  <c r="F570" i="1"/>
  <c r="H570" i="1" s="1"/>
  <c r="F571" i="1"/>
  <c r="H571" i="1" s="1"/>
  <c r="F572" i="1"/>
  <c r="H572" i="1" s="1"/>
  <c r="F573" i="1"/>
  <c r="H573" i="1" s="1"/>
  <c r="F574" i="1"/>
  <c r="H574" i="1" s="1"/>
  <c r="F575" i="1"/>
  <c r="H575" i="1" s="1"/>
  <c r="F576" i="1"/>
  <c r="H576" i="1" s="1"/>
  <c r="F577" i="1"/>
  <c r="H577" i="1" s="1"/>
  <c r="F578" i="1"/>
  <c r="H578" i="1" s="1"/>
  <c r="F579" i="1"/>
  <c r="H579" i="1" s="1"/>
  <c r="F580" i="1"/>
  <c r="H580" i="1" s="1"/>
  <c r="F581" i="1"/>
  <c r="H581" i="1" s="1"/>
  <c r="F582" i="1"/>
  <c r="H582" i="1" s="1"/>
  <c r="F583" i="1"/>
  <c r="H583" i="1" s="1"/>
  <c r="F584" i="1"/>
  <c r="H584" i="1" s="1"/>
  <c r="F585" i="1"/>
  <c r="H585" i="1" s="1"/>
  <c r="F586" i="1"/>
  <c r="H586" i="1" s="1"/>
  <c r="F587" i="1"/>
  <c r="F588" i="1"/>
  <c r="H588" i="1" s="1"/>
  <c r="F589" i="1"/>
  <c r="H589" i="1" s="1"/>
  <c r="F590" i="1"/>
  <c r="H590" i="1" s="1"/>
  <c r="F591" i="1"/>
  <c r="H591" i="1" s="1"/>
  <c r="F592" i="1"/>
  <c r="H592" i="1" s="1"/>
  <c r="F593" i="1"/>
  <c r="H593" i="1" s="1"/>
  <c r="F594" i="1"/>
  <c r="H594" i="1" s="1"/>
  <c r="F595" i="1"/>
  <c r="H595" i="1" s="1"/>
  <c r="F596" i="1"/>
  <c r="H596" i="1" s="1"/>
  <c r="F597" i="1"/>
  <c r="H597" i="1" s="1"/>
  <c r="F598" i="1"/>
  <c r="H598" i="1" s="1"/>
  <c r="F599" i="1"/>
  <c r="H599" i="1" s="1"/>
  <c r="F600" i="1"/>
  <c r="H600" i="1" s="1"/>
  <c r="F601" i="1"/>
  <c r="H601" i="1" s="1"/>
  <c r="F602" i="1"/>
  <c r="H602" i="1" s="1"/>
  <c r="F603" i="1"/>
  <c r="H603" i="1" s="1"/>
  <c r="F604" i="1"/>
  <c r="H604" i="1" s="1"/>
  <c r="F605" i="1"/>
  <c r="H605" i="1" s="1"/>
  <c r="F606" i="1"/>
  <c r="H606" i="1" s="1"/>
  <c r="F607" i="1"/>
  <c r="H607" i="1" s="1"/>
  <c r="F608" i="1"/>
  <c r="H608" i="1" s="1"/>
  <c r="F609" i="1"/>
  <c r="H609" i="1" s="1"/>
  <c r="F610" i="1"/>
  <c r="H610" i="1" s="1"/>
  <c r="F611" i="1"/>
  <c r="H611" i="1" s="1"/>
  <c r="F612" i="1"/>
  <c r="H612" i="1" s="1"/>
  <c r="F613" i="1"/>
  <c r="H613" i="1" s="1"/>
  <c r="F614" i="1"/>
  <c r="H614" i="1" s="1"/>
  <c r="F615" i="1"/>
  <c r="H615" i="1" s="1"/>
  <c r="F616" i="1"/>
  <c r="H616" i="1" s="1"/>
  <c r="F617" i="1"/>
  <c r="H617" i="1" s="1"/>
  <c r="F618" i="1"/>
  <c r="H618" i="1" s="1"/>
  <c r="F619" i="1"/>
  <c r="H619" i="1" s="1"/>
  <c r="F620" i="1"/>
  <c r="H620" i="1" s="1"/>
  <c r="F621" i="1"/>
  <c r="H621" i="1" s="1"/>
  <c r="F622" i="1"/>
  <c r="H622" i="1" s="1"/>
  <c r="F623" i="1"/>
  <c r="H623" i="1" s="1"/>
  <c r="F624" i="1"/>
  <c r="H624" i="1" s="1"/>
  <c r="F625" i="1"/>
  <c r="H625" i="1" s="1"/>
  <c r="F626" i="1"/>
  <c r="H626" i="1" s="1"/>
  <c r="F627" i="1"/>
  <c r="H627" i="1" s="1"/>
  <c r="F628" i="1"/>
  <c r="H628" i="1" s="1"/>
  <c r="F629" i="1"/>
  <c r="H629" i="1" s="1"/>
  <c r="F630" i="1"/>
  <c r="H630" i="1" s="1"/>
  <c r="F631" i="1"/>
  <c r="H631" i="1" s="1"/>
  <c r="F632" i="1"/>
  <c r="H632" i="1" s="1"/>
  <c r="F633" i="1"/>
  <c r="H633" i="1" s="1"/>
  <c r="F634" i="1"/>
  <c r="H634" i="1" s="1"/>
  <c r="F635" i="1"/>
  <c r="H635" i="1" s="1"/>
  <c r="F636" i="1"/>
  <c r="H636" i="1" s="1"/>
  <c r="F637" i="1"/>
  <c r="H637" i="1" s="1"/>
  <c r="F638" i="1"/>
  <c r="H638" i="1" s="1"/>
  <c r="F639" i="1"/>
  <c r="H639" i="1" s="1"/>
  <c r="F640" i="1"/>
  <c r="H640" i="1" s="1"/>
  <c r="F641" i="1"/>
  <c r="H641" i="1" s="1"/>
  <c r="F642" i="1"/>
  <c r="H642" i="1" s="1"/>
  <c r="F643" i="1"/>
  <c r="H643" i="1" s="1"/>
  <c r="F644" i="1"/>
  <c r="H644" i="1" s="1"/>
  <c r="F645" i="1"/>
  <c r="H645" i="1" s="1"/>
  <c r="F646" i="1"/>
  <c r="H646" i="1" s="1"/>
  <c r="F647" i="1"/>
  <c r="H647" i="1" s="1"/>
  <c r="F648" i="1"/>
  <c r="H648" i="1" s="1"/>
  <c r="F649" i="1"/>
  <c r="H649" i="1" s="1"/>
  <c r="F650" i="1"/>
  <c r="H650" i="1" s="1"/>
  <c r="F651" i="1"/>
  <c r="H651" i="1" s="1"/>
  <c r="F652" i="1"/>
  <c r="H652" i="1" s="1"/>
  <c r="F653" i="1"/>
  <c r="H653" i="1" s="1"/>
  <c r="F654" i="1"/>
  <c r="H654" i="1" s="1"/>
  <c r="F655" i="1"/>
  <c r="H655" i="1" s="1"/>
  <c r="F656" i="1"/>
  <c r="H656" i="1" s="1"/>
  <c r="F657" i="1"/>
  <c r="H657" i="1" s="1"/>
  <c r="F658" i="1"/>
  <c r="H658" i="1" s="1"/>
  <c r="F659" i="1"/>
  <c r="H659" i="1" s="1"/>
  <c r="F660" i="1"/>
  <c r="H660" i="1" s="1"/>
  <c r="F661" i="1"/>
  <c r="H661" i="1" s="1"/>
  <c r="F662" i="1"/>
  <c r="H662" i="1" s="1"/>
  <c r="F663" i="1"/>
  <c r="H663" i="1" s="1"/>
  <c r="F664" i="1"/>
  <c r="H664" i="1" s="1"/>
  <c r="F665" i="1"/>
  <c r="H665" i="1" s="1"/>
  <c r="F666" i="1"/>
  <c r="H666" i="1" s="1"/>
  <c r="F667" i="1"/>
  <c r="H667" i="1" s="1"/>
  <c r="F668" i="1"/>
  <c r="H668" i="1" s="1"/>
  <c r="F669" i="1"/>
  <c r="H669" i="1" s="1"/>
  <c r="F670" i="1"/>
  <c r="H670" i="1" s="1"/>
  <c r="F671" i="1"/>
  <c r="H671" i="1" s="1"/>
  <c r="F672" i="1"/>
  <c r="H672" i="1" s="1"/>
  <c r="F673" i="1"/>
  <c r="H673" i="1" s="1"/>
  <c r="F674" i="1"/>
  <c r="H674" i="1" s="1"/>
  <c r="F675" i="1"/>
  <c r="H675" i="1" s="1"/>
  <c r="F676" i="1"/>
  <c r="H676" i="1" s="1"/>
  <c r="F677" i="1"/>
  <c r="H677" i="1" s="1"/>
  <c r="F678" i="1"/>
  <c r="H678" i="1" s="1"/>
  <c r="F679" i="1"/>
  <c r="H679" i="1" s="1"/>
  <c r="F680" i="1"/>
  <c r="H680" i="1" s="1"/>
  <c r="F681" i="1"/>
  <c r="H681" i="1" s="1"/>
  <c r="F682" i="1"/>
  <c r="H682" i="1" s="1"/>
  <c r="F683" i="1"/>
  <c r="H683" i="1" s="1"/>
  <c r="F684" i="1"/>
  <c r="H684" i="1" s="1"/>
  <c r="F685" i="1"/>
  <c r="H685" i="1" s="1"/>
  <c r="F686" i="1"/>
  <c r="H686" i="1" s="1"/>
  <c r="F687" i="1"/>
  <c r="F688" i="1"/>
  <c r="H688" i="1" s="1"/>
  <c r="F689" i="1"/>
  <c r="H689" i="1" s="1"/>
  <c r="F690" i="1"/>
  <c r="H690" i="1" s="1"/>
  <c r="F691" i="1"/>
  <c r="H691" i="1" s="1"/>
  <c r="F692" i="1"/>
  <c r="H692" i="1" s="1"/>
  <c r="F693" i="1"/>
  <c r="H693" i="1" s="1"/>
  <c r="F694" i="1"/>
  <c r="H694" i="1" s="1"/>
  <c r="F695" i="1"/>
  <c r="H695" i="1" s="1"/>
  <c r="F696" i="1"/>
  <c r="H696" i="1" s="1"/>
  <c r="F697" i="1"/>
  <c r="F698" i="1"/>
  <c r="H698" i="1" s="1"/>
  <c r="F699" i="1"/>
  <c r="H699" i="1" s="1"/>
  <c r="F700" i="1"/>
  <c r="H700" i="1" s="1"/>
  <c r="F701" i="1"/>
  <c r="H701" i="1" s="1"/>
  <c r="F702" i="1"/>
  <c r="H702" i="1" s="1"/>
  <c r="F703" i="1"/>
  <c r="H703" i="1" s="1"/>
  <c r="F704" i="1"/>
  <c r="H704" i="1" s="1"/>
  <c r="F705" i="1"/>
  <c r="H705" i="1" s="1"/>
  <c r="F706" i="1"/>
  <c r="H706" i="1" s="1"/>
  <c r="F707" i="1"/>
  <c r="H707" i="1" s="1"/>
  <c r="F708" i="1"/>
  <c r="H708" i="1" s="1"/>
  <c r="F709" i="1"/>
  <c r="H709" i="1" s="1"/>
  <c r="F710" i="1"/>
  <c r="H710" i="1" s="1"/>
  <c r="F711" i="1"/>
  <c r="H711" i="1" s="1"/>
  <c r="F712" i="1"/>
  <c r="H712" i="1" s="1"/>
  <c r="F713" i="1"/>
  <c r="H713" i="1" s="1"/>
  <c r="F714" i="1"/>
  <c r="H714" i="1" s="1"/>
  <c r="F715" i="1"/>
  <c r="H715" i="1" s="1"/>
  <c r="F716" i="1"/>
  <c r="H716" i="1" s="1"/>
  <c r="F717" i="1"/>
  <c r="H717" i="1" s="1"/>
  <c r="F718" i="1"/>
  <c r="H718" i="1" s="1"/>
  <c r="F719" i="1"/>
  <c r="H719" i="1" s="1"/>
  <c r="F720" i="1"/>
  <c r="H720" i="1" s="1"/>
  <c r="F721" i="1"/>
  <c r="H721" i="1" s="1"/>
  <c r="F722" i="1"/>
  <c r="H722" i="1" s="1"/>
  <c r="F723" i="1"/>
  <c r="H723" i="1" s="1"/>
  <c r="F724" i="1"/>
  <c r="H724" i="1" s="1"/>
  <c r="F725" i="1"/>
  <c r="H725" i="1" s="1"/>
  <c r="F726" i="1"/>
  <c r="H726" i="1" s="1"/>
  <c r="F727" i="1"/>
  <c r="H727" i="1" s="1"/>
  <c r="F728" i="1"/>
  <c r="H728" i="1" s="1"/>
  <c r="F729" i="1"/>
  <c r="H729" i="1" s="1"/>
  <c r="F730" i="1"/>
  <c r="H730" i="1" s="1"/>
  <c r="F731" i="1"/>
  <c r="H731" i="1" s="1"/>
  <c r="F732" i="1"/>
  <c r="H732" i="1" s="1"/>
  <c r="F733" i="1"/>
  <c r="H733" i="1" s="1"/>
  <c r="F734" i="1"/>
  <c r="H734" i="1" s="1"/>
  <c r="F735" i="1"/>
  <c r="H735" i="1" s="1"/>
  <c r="F736" i="1"/>
  <c r="H736" i="1" s="1"/>
  <c r="F737" i="1"/>
  <c r="H737" i="1" s="1"/>
  <c r="F738" i="1"/>
  <c r="H738" i="1" s="1"/>
  <c r="F739" i="1"/>
  <c r="H739" i="1" s="1"/>
  <c r="F740" i="1"/>
  <c r="H740" i="1" s="1"/>
  <c r="F741" i="1"/>
  <c r="H741" i="1" s="1"/>
  <c r="F742" i="1"/>
  <c r="H742" i="1" s="1"/>
  <c r="F743" i="1"/>
  <c r="H743" i="1" s="1"/>
  <c r="F744" i="1"/>
  <c r="H744" i="1" s="1"/>
  <c r="F745" i="1"/>
  <c r="H745" i="1" s="1"/>
  <c r="F746" i="1"/>
  <c r="H746" i="1" s="1"/>
  <c r="F747" i="1"/>
  <c r="F748" i="1"/>
  <c r="H748" i="1" s="1"/>
  <c r="F749" i="1"/>
  <c r="H749" i="1" s="1"/>
  <c r="F750" i="1"/>
  <c r="H750" i="1" s="1"/>
  <c r="F751" i="1"/>
  <c r="H751" i="1" s="1"/>
  <c r="F752" i="1"/>
  <c r="H752" i="1" s="1"/>
  <c r="F753" i="1"/>
  <c r="H753" i="1" s="1"/>
  <c r="F754" i="1"/>
  <c r="H754" i="1" s="1"/>
  <c r="F755" i="1"/>
  <c r="H755" i="1" s="1"/>
  <c r="F756" i="1"/>
  <c r="H756" i="1" s="1"/>
  <c r="F757" i="1"/>
  <c r="H757" i="1" s="1"/>
  <c r="F758" i="1"/>
  <c r="H758" i="1" s="1"/>
  <c r="F759" i="1"/>
  <c r="H759" i="1" s="1"/>
  <c r="F760" i="1"/>
  <c r="H760" i="1" s="1"/>
  <c r="F761" i="1"/>
  <c r="H761" i="1" s="1"/>
  <c r="F762" i="1"/>
  <c r="H762" i="1" s="1"/>
  <c r="F763" i="1"/>
  <c r="H763" i="1" s="1"/>
  <c r="F764" i="1"/>
  <c r="H764" i="1" s="1"/>
  <c r="F765" i="1"/>
  <c r="H765" i="1" s="1"/>
  <c r="F766" i="1"/>
  <c r="H766" i="1" s="1"/>
  <c r="F767" i="1"/>
  <c r="H767" i="1" s="1"/>
  <c r="F768" i="1"/>
  <c r="H768" i="1" s="1"/>
  <c r="F769" i="1"/>
  <c r="H769" i="1" s="1"/>
  <c r="F770" i="1"/>
  <c r="H770" i="1" s="1"/>
  <c r="F771" i="1"/>
  <c r="H771" i="1" s="1"/>
  <c r="F772" i="1"/>
  <c r="H772" i="1" s="1"/>
  <c r="F773" i="1"/>
  <c r="H773" i="1" s="1"/>
  <c r="F774" i="1"/>
  <c r="H774" i="1" s="1"/>
  <c r="F775" i="1"/>
  <c r="F776" i="1"/>
  <c r="H776" i="1" s="1"/>
  <c r="F777" i="1"/>
  <c r="H777" i="1" s="1"/>
  <c r="F778" i="1"/>
  <c r="H778" i="1" s="1"/>
  <c r="F779" i="1"/>
  <c r="H779" i="1" s="1"/>
  <c r="F780" i="1"/>
  <c r="H780" i="1" s="1"/>
  <c r="F781" i="1"/>
  <c r="H781" i="1" s="1"/>
  <c r="F782" i="1"/>
  <c r="H782" i="1" s="1"/>
  <c r="F783" i="1"/>
  <c r="H783" i="1" s="1"/>
  <c r="F784" i="1"/>
  <c r="H784" i="1" s="1"/>
  <c r="F785" i="1"/>
  <c r="H785" i="1" s="1"/>
  <c r="F786" i="1"/>
  <c r="H786" i="1" s="1"/>
  <c r="F787" i="1"/>
  <c r="H787" i="1" s="1"/>
  <c r="F788" i="1"/>
  <c r="H788" i="1" s="1"/>
  <c r="F789" i="1"/>
  <c r="H789" i="1" s="1"/>
  <c r="F790" i="1"/>
  <c r="H790" i="1" s="1"/>
  <c r="F791" i="1"/>
  <c r="H791" i="1" s="1"/>
  <c r="F792" i="1"/>
  <c r="H792" i="1" s="1"/>
  <c r="F793" i="1"/>
  <c r="H793" i="1" s="1"/>
  <c r="F794" i="1"/>
  <c r="H794" i="1" s="1"/>
  <c r="F795" i="1"/>
  <c r="H795" i="1" s="1"/>
  <c r="F796" i="1"/>
  <c r="H796" i="1" s="1"/>
  <c r="F797" i="1"/>
  <c r="H797" i="1" s="1"/>
  <c r="F798" i="1"/>
  <c r="H798" i="1" s="1"/>
  <c r="F799" i="1"/>
  <c r="H799" i="1" s="1"/>
  <c r="F800" i="1"/>
  <c r="F801" i="1"/>
  <c r="H801" i="1" s="1"/>
  <c r="F802" i="1"/>
  <c r="H802" i="1" s="1"/>
  <c r="F803" i="1"/>
  <c r="H803" i="1" s="1"/>
  <c r="F804" i="1"/>
  <c r="H804" i="1" s="1"/>
  <c r="F805" i="1"/>
  <c r="H805" i="1" s="1"/>
  <c r="F806" i="1"/>
  <c r="H806" i="1" s="1"/>
  <c r="F807" i="1"/>
  <c r="H807" i="1" s="1"/>
  <c r="F808" i="1"/>
  <c r="H808" i="1" s="1"/>
  <c r="F809" i="1"/>
  <c r="H809" i="1" s="1"/>
  <c r="F810" i="1"/>
  <c r="H810" i="1" s="1"/>
  <c r="F811" i="1"/>
  <c r="H811" i="1" s="1"/>
  <c r="F812" i="1"/>
  <c r="H812" i="1" s="1"/>
  <c r="F813" i="1"/>
  <c r="H813" i="1" s="1"/>
  <c r="F814" i="1"/>
  <c r="H814" i="1" s="1"/>
  <c r="F815" i="1"/>
  <c r="H815" i="1" s="1"/>
  <c r="F816" i="1"/>
  <c r="H816" i="1" s="1"/>
  <c r="F817" i="1"/>
  <c r="F818" i="1"/>
  <c r="H818" i="1" s="1"/>
  <c r="F819" i="1"/>
  <c r="H819" i="1" s="1"/>
  <c r="F820" i="1"/>
  <c r="H820" i="1" s="1"/>
  <c r="F821" i="1"/>
  <c r="H821" i="1" s="1"/>
  <c r="F822" i="1"/>
  <c r="H822" i="1" s="1"/>
  <c r="F823" i="1"/>
  <c r="H823" i="1" s="1"/>
  <c r="F824" i="1"/>
  <c r="H824" i="1" s="1"/>
  <c r="F825" i="1"/>
  <c r="H825" i="1" s="1"/>
  <c r="F826" i="1"/>
  <c r="H826" i="1" s="1"/>
  <c r="F827" i="1"/>
  <c r="H827" i="1" s="1"/>
  <c r="F828" i="1"/>
  <c r="H828" i="1" s="1"/>
  <c r="F829" i="1"/>
  <c r="H829" i="1" s="1"/>
  <c r="F830" i="1"/>
  <c r="H830" i="1" s="1"/>
  <c r="F831" i="1"/>
  <c r="H831" i="1" s="1"/>
  <c r="F832" i="1"/>
  <c r="H832" i="1" s="1"/>
  <c r="F833" i="1"/>
  <c r="H833" i="1" s="1"/>
  <c r="F834" i="1"/>
  <c r="H834" i="1" s="1"/>
  <c r="F835" i="1"/>
  <c r="F836" i="1"/>
  <c r="F837" i="1"/>
  <c r="H837" i="1" s="1"/>
  <c r="F838" i="1"/>
  <c r="H838" i="1" s="1"/>
  <c r="F839" i="1"/>
  <c r="H839" i="1" s="1"/>
  <c r="F840" i="1"/>
  <c r="H840" i="1" s="1"/>
  <c r="F841" i="1"/>
  <c r="H841" i="1" s="1"/>
  <c r="F842" i="1"/>
  <c r="H842" i="1" s="1"/>
  <c r="F843" i="1"/>
  <c r="H843" i="1" s="1"/>
  <c r="F844" i="1"/>
  <c r="H844" i="1" s="1"/>
  <c r="F845" i="1"/>
  <c r="H845" i="1" s="1"/>
  <c r="F846" i="1"/>
  <c r="H846" i="1" s="1"/>
  <c r="F847" i="1"/>
  <c r="H847" i="1" s="1"/>
  <c r="F848" i="1"/>
  <c r="H848" i="1" s="1"/>
  <c r="F849" i="1"/>
  <c r="H849" i="1" s="1"/>
  <c r="F850" i="1"/>
  <c r="H850" i="1" s="1"/>
  <c r="F851" i="1"/>
  <c r="H851" i="1" s="1"/>
  <c r="F852" i="1"/>
  <c r="H852" i="1" s="1"/>
  <c r="F853" i="1"/>
  <c r="H853" i="1" s="1"/>
  <c r="F854" i="1"/>
  <c r="H854" i="1" s="1"/>
  <c r="F855" i="1"/>
  <c r="H855" i="1" s="1"/>
  <c r="F856" i="1"/>
  <c r="H856" i="1" s="1"/>
  <c r="F857" i="1"/>
  <c r="H857" i="1" s="1"/>
  <c r="F858" i="1"/>
  <c r="H858" i="1" s="1"/>
  <c r="F859" i="1"/>
  <c r="F860" i="1"/>
  <c r="H860" i="1" s="1"/>
  <c r="F861" i="1"/>
  <c r="H861" i="1" s="1"/>
  <c r="F862" i="1"/>
  <c r="H862" i="1" s="1"/>
  <c r="F863" i="1"/>
  <c r="H863" i="1" s="1"/>
  <c r="F864" i="1"/>
  <c r="H864" i="1" s="1"/>
  <c r="F865" i="1"/>
  <c r="H865" i="1" s="1"/>
  <c r="F866" i="1"/>
  <c r="H866" i="1" s="1"/>
  <c r="F867" i="1"/>
  <c r="H867" i="1" s="1"/>
  <c r="F868" i="1"/>
  <c r="H868" i="1" s="1"/>
  <c r="F869" i="1"/>
  <c r="H869" i="1" s="1"/>
  <c r="F870" i="1"/>
  <c r="H870" i="1" s="1"/>
  <c r="F871" i="1"/>
  <c r="H871" i="1" s="1"/>
  <c r="F872" i="1"/>
  <c r="H872" i="1" s="1"/>
  <c r="F873" i="1"/>
  <c r="H873" i="1" s="1"/>
  <c r="F874" i="1"/>
  <c r="H874" i="1" s="1"/>
  <c r="F875" i="1"/>
  <c r="H875" i="1" s="1"/>
  <c r="F876" i="1"/>
  <c r="H876" i="1" s="1"/>
  <c r="F877" i="1"/>
  <c r="H877" i="1" s="1"/>
  <c r="F878" i="1"/>
  <c r="H878" i="1" s="1"/>
  <c r="F879" i="1"/>
  <c r="H879" i="1" s="1"/>
  <c r="F880" i="1"/>
  <c r="H880" i="1" s="1"/>
  <c r="F881" i="1"/>
  <c r="H881" i="1" s="1"/>
  <c r="F882" i="1"/>
  <c r="H882" i="1" s="1"/>
  <c r="F883" i="1"/>
  <c r="H883" i="1" s="1"/>
  <c r="F884" i="1"/>
  <c r="H884" i="1" s="1"/>
  <c r="F885" i="1"/>
  <c r="H885" i="1" s="1"/>
  <c r="F886" i="1"/>
  <c r="H886" i="1" s="1"/>
  <c r="F887" i="1"/>
  <c r="H887" i="1" s="1"/>
  <c r="F888" i="1"/>
  <c r="H888" i="1" s="1"/>
  <c r="F889" i="1"/>
  <c r="H889" i="1" s="1"/>
  <c r="F890" i="1"/>
  <c r="H890" i="1" s="1"/>
  <c r="F891" i="1"/>
  <c r="H891" i="1" s="1"/>
  <c r="F892" i="1"/>
  <c r="H892" i="1" s="1"/>
  <c r="F893" i="1"/>
  <c r="H893" i="1" s="1"/>
  <c r="F894" i="1"/>
  <c r="H894" i="1" s="1"/>
  <c r="F895" i="1"/>
  <c r="H895" i="1" s="1"/>
  <c r="F896" i="1"/>
  <c r="H896" i="1" s="1"/>
  <c r="F897" i="1"/>
  <c r="H897" i="1" s="1"/>
  <c r="F898" i="1"/>
  <c r="H898" i="1" s="1"/>
  <c r="F899" i="1"/>
  <c r="H899" i="1" s="1"/>
  <c r="F900" i="1"/>
  <c r="H900" i="1" s="1"/>
  <c r="F901" i="1"/>
  <c r="H901" i="1" s="1"/>
  <c r="F902" i="1"/>
  <c r="H902" i="1" s="1"/>
  <c r="F903" i="1"/>
  <c r="H903" i="1" s="1"/>
  <c r="F904" i="1"/>
  <c r="H904" i="1" s="1"/>
  <c r="F905" i="1"/>
  <c r="H905" i="1" s="1"/>
  <c r="F906" i="1"/>
  <c r="H906" i="1" s="1"/>
  <c r="F907" i="1"/>
  <c r="H907" i="1" s="1"/>
  <c r="F908" i="1"/>
  <c r="H908" i="1" s="1"/>
  <c r="F909" i="1"/>
  <c r="H909" i="1" s="1"/>
  <c r="F910" i="1"/>
  <c r="H910" i="1" s="1"/>
  <c r="F911" i="1"/>
  <c r="H911" i="1" s="1"/>
  <c r="F912" i="1"/>
  <c r="H912" i="1" s="1"/>
  <c r="F913" i="1"/>
  <c r="H913" i="1" s="1"/>
  <c r="F914" i="1"/>
  <c r="H914" i="1" s="1"/>
  <c r="F915" i="1"/>
  <c r="H915" i="1" s="1"/>
  <c r="F916" i="1"/>
  <c r="H916" i="1" s="1"/>
  <c r="F917" i="1"/>
  <c r="H917" i="1" s="1"/>
  <c r="F918" i="1"/>
  <c r="H918" i="1" s="1"/>
  <c r="F919" i="1"/>
  <c r="F920" i="1"/>
  <c r="H920" i="1" s="1"/>
  <c r="F921" i="1"/>
  <c r="H921" i="1" s="1"/>
  <c r="F922" i="1"/>
  <c r="H922" i="1" s="1"/>
  <c r="F923" i="1"/>
  <c r="H923" i="1" s="1"/>
  <c r="F924" i="1"/>
  <c r="H924" i="1" s="1"/>
  <c r="F925" i="1"/>
  <c r="H925" i="1" s="1"/>
  <c r="F926" i="1"/>
  <c r="H926" i="1" s="1"/>
  <c r="F927" i="1"/>
  <c r="H927" i="1" s="1"/>
  <c r="F928" i="1"/>
  <c r="H928" i="1" s="1"/>
  <c r="F929" i="1"/>
  <c r="H929" i="1" s="1"/>
  <c r="F930" i="1"/>
  <c r="H930" i="1" s="1"/>
  <c r="F931" i="1"/>
  <c r="H931" i="1" s="1"/>
  <c r="F932" i="1"/>
  <c r="H932" i="1" s="1"/>
  <c r="F933" i="1"/>
  <c r="H933" i="1" s="1"/>
  <c r="F934" i="1"/>
  <c r="H934" i="1" s="1"/>
  <c r="F935" i="1"/>
  <c r="H935" i="1" s="1"/>
  <c r="F936" i="1"/>
  <c r="H936" i="1" s="1"/>
  <c r="F937" i="1"/>
  <c r="H937" i="1" s="1"/>
  <c r="F938" i="1"/>
  <c r="H938" i="1" s="1"/>
  <c r="F939" i="1"/>
  <c r="H939" i="1" s="1"/>
  <c r="F940" i="1"/>
  <c r="H940" i="1" s="1"/>
  <c r="F941" i="1"/>
  <c r="H941" i="1" s="1"/>
  <c r="F942" i="1"/>
  <c r="H942" i="1" s="1"/>
  <c r="F943" i="1"/>
  <c r="H943" i="1" s="1"/>
  <c r="F944" i="1"/>
  <c r="H944" i="1" s="1"/>
  <c r="F945" i="1"/>
  <c r="H945" i="1" s="1"/>
  <c r="F946" i="1"/>
  <c r="H946" i="1" s="1"/>
  <c r="F947" i="1"/>
  <c r="H947" i="1" s="1"/>
  <c r="F948" i="1"/>
  <c r="H948" i="1" s="1"/>
  <c r="F949" i="1"/>
  <c r="H949" i="1" s="1"/>
  <c r="F950" i="1"/>
  <c r="H950" i="1" s="1"/>
  <c r="F951" i="1"/>
  <c r="H951" i="1" s="1"/>
  <c r="F952" i="1"/>
  <c r="H952" i="1" s="1"/>
  <c r="F953" i="1"/>
  <c r="H953" i="1" s="1"/>
  <c r="F954" i="1"/>
  <c r="H954" i="1" s="1"/>
  <c r="F955" i="1"/>
  <c r="H955" i="1" s="1"/>
  <c r="F956" i="1"/>
  <c r="H956" i="1" s="1"/>
  <c r="F957" i="1"/>
  <c r="H957" i="1" s="1"/>
  <c r="F958" i="1"/>
  <c r="H958" i="1" s="1"/>
  <c r="F959" i="1"/>
  <c r="H959" i="1" s="1"/>
  <c r="F960" i="1"/>
  <c r="F961" i="1"/>
  <c r="H961" i="1" s="1"/>
  <c r="F962" i="1"/>
  <c r="H962" i="1" s="1"/>
  <c r="F963" i="1"/>
  <c r="H963" i="1" s="1"/>
  <c r="F964" i="1"/>
  <c r="H964" i="1" s="1"/>
  <c r="F965" i="1"/>
  <c r="H965" i="1" s="1"/>
  <c r="F966" i="1"/>
  <c r="H966" i="1" s="1"/>
  <c r="F967" i="1"/>
  <c r="H967" i="1" s="1"/>
  <c r="F968" i="1"/>
  <c r="H968" i="1" s="1"/>
  <c r="F969" i="1"/>
  <c r="H969" i="1" s="1"/>
  <c r="F970" i="1"/>
  <c r="H970" i="1" s="1"/>
  <c r="F971" i="1"/>
  <c r="H971" i="1" s="1"/>
  <c r="F972" i="1"/>
  <c r="H972" i="1" s="1"/>
  <c r="F973" i="1"/>
  <c r="H973" i="1" s="1"/>
  <c r="F974" i="1"/>
  <c r="H974" i="1" s="1"/>
  <c r="F975" i="1"/>
  <c r="H975" i="1" s="1"/>
  <c r="F976" i="1"/>
  <c r="H976" i="1" s="1"/>
  <c r="F977" i="1"/>
  <c r="H977" i="1" s="1"/>
  <c r="F978" i="1"/>
  <c r="H978" i="1" s="1"/>
  <c r="F979" i="1"/>
  <c r="H979" i="1" s="1"/>
  <c r="F980" i="1"/>
  <c r="F981" i="1"/>
  <c r="H981" i="1" s="1"/>
  <c r="F982" i="1"/>
  <c r="H982" i="1" s="1"/>
  <c r="F983" i="1"/>
  <c r="H983" i="1" s="1"/>
  <c r="F984" i="1"/>
  <c r="H984" i="1" s="1"/>
  <c r="F985" i="1"/>
  <c r="H985" i="1" s="1"/>
  <c r="F986" i="1"/>
  <c r="H986" i="1" s="1"/>
  <c r="F987" i="1"/>
  <c r="H987" i="1" s="1"/>
  <c r="F988" i="1"/>
  <c r="H988" i="1" s="1"/>
  <c r="F989" i="1"/>
  <c r="H989" i="1" s="1"/>
  <c r="F990" i="1"/>
  <c r="H990" i="1" s="1"/>
  <c r="F991" i="1"/>
  <c r="H991" i="1" s="1"/>
  <c r="F992" i="1"/>
  <c r="F993" i="1"/>
  <c r="H993" i="1" s="1"/>
  <c r="F994" i="1"/>
  <c r="H994" i="1" s="1"/>
  <c r="F995" i="1"/>
  <c r="H995" i="1" s="1"/>
  <c r="F996" i="1"/>
  <c r="H996" i="1" s="1"/>
  <c r="F997" i="1"/>
  <c r="H997" i="1" s="1"/>
  <c r="F998" i="1"/>
  <c r="H998" i="1" s="1"/>
  <c r="F999" i="1"/>
  <c r="H999" i="1" s="1"/>
  <c r="F1000" i="1"/>
  <c r="H1000" i="1" s="1"/>
  <c r="F1001" i="1"/>
  <c r="H1001" i="1" s="1"/>
  <c r="F1002" i="1"/>
  <c r="H1002" i="1" s="1"/>
  <c r="F1003" i="1"/>
  <c r="H1003" i="1" s="1"/>
  <c r="F1004" i="1"/>
  <c r="H1004" i="1" s="1"/>
  <c r="F1005" i="1"/>
  <c r="H1005" i="1" s="1"/>
  <c r="F1006" i="1"/>
  <c r="H1006" i="1" s="1"/>
  <c r="F1007" i="1"/>
  <c r="H1007" i="1" s="1"/>
  <c r="F1008" i="1"/>
  <c r="H1008" i="1" s="1"/>
  <c r="F1009" i="1"/>
  <c r="H1009" i="1" s="1"/>
  <c r="F1010" i="1"/>
  <c r="H1010" i="1" s="1"/>
  <c r="F1011" i="1"/>
  <c r="H1011" i="1" s="1"/>
  <c r="F1012" i="1"/>
  <c r="H1012" i="1" s="1"/>
  <c r="F1013" i="1"/>
  <c r="H1013" i="1" s="1"/>
  <c r="F1014" i="1"/>
  <c r="H1014" i="1" s="1"/>
  <c r="F1015" i="1"/>
  <c r="H1015" i="1" s="1"/>
  <c r="F1016" i="1"/>
  <c r="H1016" i="1" s="1"/>
  <c r="F1017" i="1"/>
  <c r="F1018" i="1"/>
  <c r="H1018" i="1" s="1"/>
  <c r="F1019" i="1"/>
  <c r="H1019" i="1" s="1"/>
  <c r="F1020" i="1"/>
  <c r="H1020" i="1" s="1"/>
  <c r="F1021" i="1"/>
  <c r="H1021" i="1" s="1"/>
  <c r="F1022" i="1"/>
  <c r="H1022" i="1" s="1"/>
  <c r="F1023" i="1"/>
  <c r="H1023" i="1" s="1"/>
  <c r="F1024" i="1"/>
  <c r="H1024" i="1" s="1"/>
  <c r="F1025" i="1"/>
  <c r="H1025" i="1" s="1"/>
  <c r="F1026" i="1"/>
  <c r="H1026" i="1" s="1"/>
  <c r="F1027" i="1"/>
  <c r="H1027" i="1" s="1"/>
  <c r="F1028" i="1"/>
  <c r="H1028" i="1" s="1"/>
  <c r="F1029" i="1"/>
  <c r="H1029" i="1" s="1"/>
  <c r="F1030" i="1"/>
  <c r="H1030" i="1" s="1"/>
  <c r="F1031" i="1"/>
  <c r="H1031" i="1" s="1"/>
  <c r="F1032" i="1"/>
  <c r="H1032" i="1" s="1"/>
  <c r="F1033" i="1"/>
  <c r="H1033" i="1" s="1"/>
  <c r="F1034" i="1"/>
  <c r="H1034" i="1" s="1"/>
  <c r="F1035" i="1"/>
  <c r="H1035" i="1" s="1"/>
  <c r="F1036" i="1"/>
  <c r="H1036" i="1" s="1"/>
  <c r="F1037" i="1"/>
  <c r="H1037" i="1" s="1"/>
  <c r="F1038" i="1"/>
  <c r="H1038" i="1" s="1"/>
  <c r="F1039" i="1"/>
  <c r="F1040" i="1"/>
  <c r="H1040" i="1" s="1"/>
  <c r="F1041" i="1"/>
  <c r="H1041" i="1" s="1"/>
  <c r="F1042" i="1"/>
  <c r="H1042" i="1" s="1"/>
  <c r="F1043" i="1"/>
  <c r="H1043" i="1" s="1"/>
  <c r="F1044" i="1"/>
  <c r="H1044" i="1" s="1"/>
  <c r="F1045" i="1"/>
  <c r="H1045" i="1" s="1"/>
  <c r="F1046" i="1"/>
  <c r="H1046" i="1" s="1"/>
  <c r="F1047" i="1"/>
  <c r="H1047" i="1" s="1"/>
  <c r="F1048" i="1"/>
  <c r="H1048" i="1" s="1"/>
  <c r="F1049" i="1"/>
  <c r="H1049" i="1" s="1"/>
  <c r="F1050" i="1"/>
  <c r="H1050" i="1" s="1"/>
  <c r="F1051" i="1"/>
  <c r="H1051" i="1" s="1"/>
  <c r="F1052" i="1"/>
  <c r="H1052" i="1" s="1"/>
  <c r="F1053" i="1"/>
  <c r="H1053" i="1" s="1"/>
  <c r="F1054" i="1"/>
  <c r="H1054" i="1" s="1"/>
  <c r="F1055" i="1"/>
  <c r="H1055" i="1" s="1"/>
  <c r="F1056" i="1"/>
  <c r="H1056" i="1" s="1"/>
  <c r="F1057" i="1"/>
  <c r="H1057" i="1" s="1"/>
  <c r="F1058" i="1"/>
  <c r="H1058" i="1" s="1"/>
  <c r="F1059" i="1"/>
  <c r="H1059" i="1" s="1"/>
  <c r="F1060" i="1"/>
  <c r="H1060" i="1" s="1"/>
  <c r="F1061" i="1"/>
  <c r="H1061" i="1" s="1"/>
  <c r="F1062" i="1"/>
  <c r="H1062" i="1" s="1"/>
  <c r="F1063" i="1"/>
  <c r="H1063" i="1" s="1"/>
  <c r="F1064" i="1"/>
  <c r="H1064" i="1" s="1"/>
  <c r="F1065" i="1"/>
  <c r="H1065" i="1" s="1"/>
  <c r="F1066" i="1"/>
  <c r="H1066" i="1" s="1"/>
  <c r="F1067" i="1"/>
  <c r="H1067" i="1" s="1"/>
  <c r="F1068" i="1"/>
  <c r="H1068" i="1" s="1"/>
  <c r="F1069" i="1"/>
  <c r="H1069" i="1" s="1"/>
  <c r="F1070" i="1"/>
  <c r="H1070" i="1" s="1"/>
  <c r="F1071" i="1"/>
  <c r="H1071" i="1" s="1"/>
  <c r="F1072" i="1"/>
  <c r="H1072" i="1" s="1"/>
  <c r="F1073" i="1"/>
  <c r="H1073" i="1" s="1"/>
  <c r="F1074" i="1"/>
  <c r="F1075" i="1"/>
  <c r="H1075" i="1" s="1"/>
  <c r="F1076" i="1"/>
  <c r="H1076" i="1" s="1"/>
  <c r="F1077" i="1"/>
  <c r="H1077" i="1" s="1"/>
  <c r="F1078" i="1"/>
  <c r="H1078" i="1" s="1"/>
  <c r="F1079" i="1"/>
  <c r="H1079" i="1" s="1"/>
  <c r="F1080" i="1"/>
  <c r="H1080" i="1" s="1"/>
  <c r="F1081" i="1"/>
  <c r="H1081" i="1" s="1"/>
  <c r="F1082" i="1"/>
  <c r="H1082" i="1" s="1"/>
  <c r="F1083" i="1"/>
  <c r="H1083" i="1" s="1"/>
  <c r="F1084" i="1"/>
  <c r="H1084" i="1" s="1"/>
  <c r="F1085" i="1"/>
  <c r="H1085" i="1" s="1"/>
  <c r="F1086" i="1"/>
  <c r="H1086" i="1" s="1"/>
  <c r="F1087" i="1"/>
  <c r="H1087" i="1" s="1"/>
  <c r="F1088" i="1"/>
  <c r="H1088" i="1" s="1"/>
  <c r="F1089" i="1"/>
  <c r="H1089" i="1" s="1"/>
  <c r="F1090" i="1"/>
  <c r="H1090" i="1" s="1"/>
  <c r="F1091" i="1"/>
  <c r="H1091" i="1" s="1"/>
  <c r="F1092" i="1"/>
  <c r="H1092" i="1" s="1"/>
  <c r="F1093" i="1"/>
  <c r="H1093" i="1" s="1"/>
  <c r="F1094" i="1"/>
  <c r="H1094" i="1" s="1"/>
  <c r="F1095" i="1"/>
  <c r="H1095" i="1" s="1"/>
  <c r="F1096" i="1"/>
  <c r="H1096" i="1" s="1"/>
  <c r="F1097" i="1"/>
  <c r="H1097" i="1" s="1"/>
  <c r="F1098" i="1"/>
  <c r="H1098" i="1" s="1"/>
  <c r="F1099" i="1"/>
  <c r="H1099" i="1" s="1"/>
  <c r="F1100" i="1"/>
  <c r="H1100" i="1" s="1"/>
  <c r="F1101" i="1"/>
  <c r="H1101" i="1" s="1"/>
  <c r="F1102" i="1"/>
  <c r="H1102" i="1" s="1"/>
  <c r="F1103" i="1"/>
  <c r="H1103" i="1" s="1"/>
  <c r="F1104" i="1"/>
  <c r="H1104" i="1" s="1"/>
  <c r="F1105" i="1"/>
  <c r="H1105" i="1" s="1"/>
  <c r="F1106" i="1"/>
  <c r="H1106" i="1" s="1"/>
  <c r="F1107" i="1"/>
  <c r="H1107" i="1" s="1"/>
  <c r="F1108" i="1"/>
  <c r="F1109" i="1"/>
  <c r="H1109" i="1" s="1"/>
  <c r="F1110" i="1"/>
  <c r="H1110" i="1" s="1"/>
  <c r="F1111" i="1"/>
  <c r="H1111" i="1" s="1"/>
  <c r="F1112" i="1"/>
  <c r="H1112" i="1" s="1"/>
  <c r="F1113" i="1"/>
  <c r="H1113" i="1" s="1"/>
  <c r="F1114" i="1"/>
  <c r="H1114" i="1" s="1"/>
  <c r="F1115" i="1"/>
  <c r="H1115" i="1" s="1"/>
  <c r="F1116" i="1"/>
  <c r="H1116" i="1" s="1"/>
  <c r="F1117" i="1"/>
  <c r="H1117" i="1" s="1"/>
  <c r="F1118" i="1"/>
  <c r="H1118" i="1" s="1"/>
  <c r="F1119" i="1"/>
  <c r="H1119" i="1" s="1"/>
  <c r="F1120" i="1"/>
  <c r="H1120" i="1" s="1"/>
  <c r="F1121" i="1"/>
  <c r="H1121" i="1" s="1"/>
  <c r="F1122" i="1"/>
  <c r="H1122" i="1" s="1"/>
  <c r="F1123" i="1"/>
  <c r="H1123" i="1" s="1"/>
  <c r="F1124" i="1"/>
  <c r="H1124" i="1" s="1"/>
  <c r="F1125" i="1"/>
  <c r="H1125" i="1" s="1"/>
  <c r="F1126" i="1"/>
  <c r="H1126" i="1" s="1"/>
  <c r="F1127" i="1"/>
  <c r="H1127" i="1" s="1"/>
  <c r="F1128" i="1"/>
  <c r="H1128" i="1" s="1"/>
  <c r="F1129" i="1"/>
  <c r="H1129" i="1" s="1"/>
  <c r="F1130" i="1"/>
  <c r="H1130" i="1" s="1"/>
  <c r="F1131" i="1"/>
  <c r="H1131" i="1" s="1"/>
  <c r="F1132" i="1"/>
  <c r="H1132" i="1" s="1"/>
  <c r="F1133" i="1"/>
  <c r="H1133" i="1" s="1"/>
  <c r="F1134" i="1"/>
  <c r="H1134" i="1" s="1"/>
  <c r="F1135" i="1"/>
  <c r="H1135" i="1" s="1"/>
  <c r="F1136" i="1"/>
  <c r="H1136" i="1" s="1"/>
  <c r="F1137" i="1"/>
  <c r="H1137" i="1" s="1"/>
  <c r="F1138" i="1"/>
  <c r="F1139" i="1"/>
  <c r="H1139" i="1" s="1"/>
  <c r="F1140" i="1"/>
  <c r="H1140" i="1" s="1"/>
  <c r="F1141" i="1"/>
  <c r="H1141" i="1" s="1"/>
  <c r="F1142" i="1"/>
  <c r="H1142" i="1" s="1"/>
  <c r="F1143" i="1"/>
  <c r="H1143" i="1" s="1"/>
  <c r="F1144" i="1"/>
  <c r="H1144" i="1" s="1"/>
  <c r="F1145" i="1"/>
  <c r="H1145" i="1" s="1"/>
  <c r="F1146" i="1"/>
  <c r="H1146" i="1" s="1"/>
  <c r="F1147" i="1"/>
  <c r="H1147" i="1" s="1"/>
  <c r="F1148" i="1"/>
  <c r="H1148" i="1" s="1"/>
  <c r="F1149" i="1"/>
  <c r="H1149" i="1" s="1"/>
  <c r="F1150" i="1"/>
  <c r="H1150" i="1" s="1"/>
  <c r="F1151" i="1"/>
  <c r="H1151" i="1" s="1"/>
  <c r="F1152" i="1"/>
  <c r="H1152" i="1" s="1"/>
  <c r="F1153" i="1"/>
  <c r="H1153" i="1" s="1"/>
  <c r="F1154" i="1"/>
  <c r="H1154" i="1" s="1"/>
  <c r="F1155" i="1"/>
  <c r="H1155" i="1" s="1"/>
  <c r="F1156" i="1"/>
  <c r="H1156" i="1" s="1"/>
  <c r="F1157" i="1"/>
  <c r="H1157" i="1" s="1"/>
  <c r="F1158" i="1"/>
  <c r="H1158" i="1" s="1"/>
  <c r="F1159" i="1"/>
  <c r="H1159" i="1" s="1"/>
  <c r="F1160" i="1"/>
  <c r="H1160" i="1" s="1"/>
  <c r="F1161" i="1"/>
  <c r="H1161" i="1" s="1"/>
  <c r="F1162" i="1"/>
  <c r="H1162" i="1" s="1"/>
  <c r="F1163" i="1"/>
  <c r="H1163" i="1" s="1"/>
  <c r="F1164" i="1"/>
  <c r="H1164" i="1" s="1"/>
  <c r="F1165" i="1"/>
  <c r="H1165" i="1" s="1"/>
  <c r="F1166" i="1"/>
  <c r="H1166" i="1" s="1"/>
  <c r="F1167" i="1"/>
  <c r="H1167" i="1" s="1"/>
  <c r="F1168" i="1"/>
  <c r="H1168" i="1" s="1"/>
  <c r="F1169" i="1"/>
  <c r="H1169" i="1" s="1"/>
  <c r="F1170" i="1"/>
  <c r="H1170" i="1" s="1"/>
  <c r="F1171" i="1"/>
  <c r="H1171" i="1" s="1"/>
  <c r="F1172" i="1"/>
  <c r="H1172" i="1" s="1"/>
  <c r="F1173" i="1"/>
  <c r="H1173" i="1" s="1"/>
  <c r="F1174" i="1"/>
  <c r="H1174" i="1" s="1"/>
  <c r="F1175" i="1"/>
  <c r="H1175" i="1" s="1"/>
  <c r="F1176" i="1"/>
  <c r="H1176" i="1" s="1"/>
  <c r="F1177" i="1"/>
  <c r="H1177" i="1" s="1"/>
  <c r="F1178" i="1"/>
  <c r="H1178" i="1" s="1"/>
  <c r="F1179" i="1"/>
  <c r="H1179" i="1" s="1"/>
  <c r="F1180" i="1"/>
  <c r="H1180" i="1" s="1"/>
  <c r="F1181" i="1"/>
  <c r="H1181" i="1" s="1"/>
  <c r="F1182" i="1"/>
  <c r="H1182" i="1" s="1"/>
  <c r="F1183" i="1"/>
  <c r="H1183" i="1" s="1"/>
  <c r="F1184" i="1"/>
  <c r="H1184" i="1" s="1"/>
  <c r="F1185" i="1"/>
  <c r="H1185" i="1" s="1"/>
  <c r="F1186" i="1"/>
  <c r="H1186" i="1" s="1"/>
  <c r="F1187" i="1"/>
  <c r="H1187" i="1" s="1"/>
  <c r="F1188" i="1"/>
  <c r="H1188" i="1" s="1"/>
  <c r="F1189" i="1"/>
  <c r="H1189" i="1" s="1"/>
  <c r="F1190" i="1"/>
  <c r="H1190" i="1" s="1"/>
  <c r="F1191" i="1"/>
  <c r="H1191" i="1" s="1"/>
  <c r="F1192" i="1"/>
  <c r="H1192" i="1" s="1"/>
  <c r="F1193" i="1"/>
  <c r="H1193" i="1" s="1"/>
  <c r="F1194" i="1"/>
  <c r="H1194" i="1" s="1"/>
  <c r="F1195" i="1"/>
  <c r="H1195" i="1" s="1"/>
  <c r="F1196" i="1"/>
  <c r="H1196" i="1" s="1"/>
  <c r="F1197" i="1"/>
  <c r="H1197" i="1" s="1"/>
  <c r="F1198" i="1"/>
  <c r="H1198" i="1" s="1"/>
  <c r="F1199" i="1"/>
  <c r="H1199" i="1" s="1"/>
  <c r="F1200" i="1"/>
  <c r="H1200" i="1" s="1"/>
  <c r="F1201" i="1"/>
  <c r="H1201" i="1" s="1"/>
  <c r="F1202" i="1"/>
  <c r="H1202" i="1" s="1"/>
  <c r="F1203" i="1"/>
  <c r="H1203" i="1" s="1"/>
  <c r="F1204" i="1"/>
  <c r="H1204" i="1" s="1"/>
  <c r="F1205" i="1"/>
  <c r="H1205" i="1" s="1"/>
  <c r="F1206" i="1"/>
  <c r="H1206" i="1" s="1"/>
  <c r="F1207" i="1"/>
  <c r="H1207" i="1" s="1"/>
  <c r="F1208" i="1"/>
  <c r="H1208" i="1" s="1"/>
  <c r="F1209" i="1"/>
  <c r="H1209" i="1" s="1"/>
  <c r="F1210" i="1"/>
  <c r="H1210" i="1" s="1"/>
  <c r="F1211" i="1"/>
  <c r="H1211" i="1" s="1"/>
  <c r="F1212" i="1"/>
  <c r="H1212" i="1" s="1"/>
  <c r="F1213" i="1"/>
  <c r="H1213" i="1" s="1"/>
  <c r="F1214" i="1"/>
  <c r="H1214" i="1" s="1"/>
  <c r="F1215" i="1"/>
  <c r="H1215" i="1" s="1"/>
  <c r="F1216" i="1"/>
  <c r="H1216" i="1" s="1"/>
  <c r="F1217" i="1"/>
  <c r="H1217" i="1" s="1"/>
  <c r="F1218" i="1"/>
  <c r="H1218" i="1" s="1"/>
  <c r="F1219" i="1"/>
  <c r="H1219" i="1" s="1"/>
  <c r="F1220" i="1"/>
  <c r="H1220" i="1" s="1"/>
  <c r="F1221" i="1"/>
  <c r="H1221" i="1" s="1"/>
  <c r="F1222" i="1"/>
  <c r="H1222" i="1" s="1"/>
  <c r="F1223" i="1"/>
  <c r="H1223" i="1" s="1"/>
  <c r="F1224" i="1"/>
  <c r="H1224" i="1" s="1"/>
  <c r="F1225" i="1"/>
  <c r="H1225" i="1" s="1"/>
  <c r="F1226" i="1"/>
  <c r="H1226" i="1" s="1"/>
  <c r="F1227" i="1"/>
  <c r="H1227" i="1" s="1"/>
  <c r="F1228" i="1"/>
  <c r="H1228" i="1" s="1"/>
  <c r="F1229" i="1"/>
  <c r="H1229" i="1" s="1"/>
  <c r="F1230" i="1"/>
  <c r="H1230" i="1" s="1"/>
  <c r="F1231" i="1"/>
  <c r="H1231" i="1" s="1"/>
  <c r="F1232" i="1"/>
  <c r="H1232" i="1" s="1"/>
  <c r="F1233" i="1"/>
  <c r="H1233" i="1" s="1"/>
  <c r="F1234" i="1"/>
  <c r="H1234" i="1" s="1"/>
  <c r="F1235" i="1"/>
  <c r="H1235" i="1" s="1"/>
  <c r="F1236" i="1"/>
  <c r="H1236" i="1" s="1"/>
  <c r="F1237" i="1"/>
  <c r="H1237" i="1" s="1"/>
  <c r="F1238" i="1"/>
  <c r="H1238" i="1" s="1"/>
  <c r="F1239" i="1"/>
  <c r="H1239" i="1" s="1"/>
  <c r="F1240" i="1"/>
  <c r="H1240" i="1" s="1"/>
  <c r="F1241" i="1"/>
  <c r="H1241" i="1" s="1"/>
  <c r="F1242" i="1"/>
  <c r="H1242" i="1" s="1"/>
  <c r="F1243" i="1"/>
  <c r="H1243" i="1" s="1"/>
  <c r="F1244" i="1"/>
  <c r="H1244" i="1" s="1"/>
  <c r="F1245" i="1"/>
  <c r="H1245" i="1" s="1"/>
  <c r="F1246" i="1"/>
  <c r="H1246" i="1" s="1"/>
  <c r="F1247" i="1"/>
  <c r="H1247" i="1" s="1"/>
  <c r="F1248" i="1"/>
  <c r="H1248" i="1" s="1"/>
  <c r="F1249" i="1"/>
  <c r="H1249" i="1" s="1"/>
  <c r="F1250" i="1"/>
  <c r="H1250" i="1" s="1"/>
  <c r="F1251" i="1"/>
  <c r="H1251" i="1" s="1"/>
  <c r="F1252" i="1"/>
  <c r="H1252" i="1" s="1"/>
  <c r="F1253" i="1"/>
  <c r="H1253" i="1" s="1"/>
  <c r="F1254" i="1"/>
  <c r="H1254" i="1" s="1"/>
  <c r="F1255" i="1"/>
  <c r="H1255" i="1" s="1"/>
  <c r="F1256" i="1"/>
  <c r="H1256" i="1" s="1"/>
  <c r="F1257" i="1"/>
  <c r="H1257" i="1" s="1"/>
  <c r="F1258" i="1"/>
  <c r="H1258" i="1" s="1"/>
  <c r="F1259" i="1"/>
  <c r="F1260" i="1"/>
  <c r="H1260" i="1" s="1"/>
  <c r="F1261" i="1"/>
  <c r="H1261" i="1" s="1"/>
  <c r="F1262" i="1"/>
  <c r="F1263" i="1"/>
  <c r="H1263" i="1" s="1"/>
  <c r="F1264" i="1"/>
  <c r="H1264" i="1" s="1"/>
  <c r="F1265" i="1"/>
  <c r="H1265" i="1" s="1"/>
  <c r="F1266" i="1"/>
  <c r="H1266" i="1" s="1"/>
  <c r="F1267" i="1"/>
  <c r="H1267" i="1" s="1"/>
  <c r="F1268" i="1"/>
  <c r="H1268" i="1" s="1"/>
  <c r="F1269" i="1"/>
  <c r="H1269" i="1" s="1"/>
  <c r="F1270" i="1"/>
  <c r="H1270" i="1" s="1"/>
  <c r="F1271" i="1"/>
  <c r="H1271" i="1" s="1"/>
  <c r="F1272" i="1"/>
  <c r="H1272" i="1" s="1"/>
  <c r="F1273" i="1"/>
  <c r="H1273" i="1" s="1"/>
  <c r="F1274" i="1"/>
  <c r="H1274" i="1" s="1"/>
  <c r="F1275" i="1"/>
  <c r="H1275" i="1" s="1"/>
  <c r="F1276" i="1"/>
  <c r="H1276" i="1" s="1"/>
  <c r="F1277" i="1"/>
  <c r="H1277" i="1" s="1"/>
  <c r="F1278" i="1"/>
  <c r="H1278" i="1" s="1"/>
  <c r="F1279" i="1"/>
  <c r="H1279" i="1" s="1"/>
  <c r="F1280" i="1"/>
  <c r="H1280" i="1" s="1"/>
  <c r="F1281" i="1"/>
  <c r="H1281" i="1" s="1"/>
  <c r="F1282" i="1"/>
  <c r="H1282" i="1" s="1"/>
  <c r="F1283" i="1"/>
  <c r="H1283" i="1" s="1"/>
  <c r="F1284" i="1"/>
  <c r="H1284" i="1" s="1"/>
  <c r="F1285" i="1"/>
  <c r="H1285" i="1" s="1"/>
  <c r="F1286" i="1"/>
  <c r="H1286" i="1" s="1"/>
  <c r="F1287" i="1"/>
  <c r="H1287" i="1" s="1"/>
  <c r="F1288" i="1"/>
  <c r="H1288" i="1" s="1"/>
  <c r="F1289" i="1"/>
  <c r="H1289" i="1" s="1"/>
  <c r="F1290" i="1"/>
  <c r="H1290" i="1" s="1"/>
  <c r="F1291" i="1"/>
  <c r="H1291" i="1" s="1"/>
  <c r="F1292" i="1"/>
  <c r="H1292" i="1" s="1"/>
  <c r="F1293" i="1"/>
  <c r="H1293" i="1" s="1"/>
  <c r="F1294" i="1"/>
  <c r="H1294" i="1" s="1"/>
  <c r="F1295" i="1"/>
  <c r="H1295" i="1" s="1"/>
  <c r="F1296" i="1"/>
  <c r="H1296" i="1" s="1"/>
  <c r="F1297" i="1"/>
  <c r="H1297" i="1" s="1"/>
  <c r="F1298" i="1"/>
  <c r="H1298" i="1" s="1"/>
  <c r="F1299" i="1"/>
  <c r="H1299" i="1" s="1"/>
  <c r="F1300" i="1"/>
  <c r="F1301" i="1"/>
  <c r="H1301" i="1" s="1"/>
  <c r="F1302" i="1"/>
  <c r="H1302" i="1" s="1"/>
  <c r="F1303" i="1"/>
  <c r="H1303" i="1" s="1"/>
  <c r="F1304" i="1"/>
  <c r="H1304" i="1" s="1"/>
  <c r="F1305" i="1"/>
  <c r="H1305" i="1" s="1"/>
  <c r="F1306" i="1"/>
  <c r="H1306" i="1" s="1"/>
  <c r="F1307" i="1"/>
  <c r="H1307" i="1" s="1"/>
  <c r="F1308" i="1"/>
  <c r="H1308" i="1" s="1"/>
  <c r="F1309" i="1"/>
  <c r="H1309" i="1" s="1"/>
  <c r="F1310" i="1"/>
  <c r="H1310" i="1" s="1"/>
  <c r="F1311" i="1"/>
  <c r="H1311" i="1" s="1"/>
  <c r="F1312" i="1"/>
  <c r="H1312" i="1" s="1"/>
  <c r="F1313" i="1"/>
  <c r="H1313" i="1" s="1"/>
  <c r="F1314" i="1"/>
  <c r="H1314" i="1" s="1"/>
  <c r="F1315" i="1"/>
  <c r="H1315" i="1" s="1"/>
  <c r="F1316" i="1"/>
  <c r="H1316" i="1" s="1"/>
  <c r="F1317" i="1"/>
  <c r="H1317" i="1" s="1"/>
  <c r="F1318" i="1"/>
  <c r="H1318" i="1" s="1"/>
  <c r="F1319" i="1"/>
  <c r="H1319" i="1" s="1"/>
  <c r="F1320" i="1"/>
  <c r="H1320" i="1" s="1"/>
  <c r="F1321" i="1"/>
  <c r="H1321" i="1" s="1"/>
  <c r="F1322" i="1"/>
  <c r="H1322" i="1" s="1"/>
  <c r="F1323" i="1"/>
  <c r="H1323" i="1" s="1"/>
  <c r="F1324" i="1"/>
  <c r="H1324" i="1" s="1"/>
  <c r="F1325" i="1"/>
  <c r="H1325" i="1" s="1"/>
  <c r="F1326" i="1"/>
  <c r="F1327" i="1"/>
  <c r="H1327" i="1" s="1"/>
  <c r="F1328" i="1"/>
  <c r="H1328" i="1" s="1"/>
  <c r="F1329" i="1"/>
  <c r="H1329" i="1" s="1"/>
  <c r="F1330" i="1"/>
  <c r="H1330" i="1" s="1"/>
  <c r="F1331" i="1"/>
  <c r="F1332" i="1"/>
  <c r="H1332" i="1" s="1"/>
  <c r="F1333" i="1"/>
  <c r="H1333" i="1" s="1"/>
  <c r="F1334" i="1"/>
  <c r="H1334" i="1" s="1"/>
  <c r="F1335" i="1"/>
  <c r="H1335" i="1" s="1"/>
  <c r="F1336" i="1"/>
  <c r="H1336" i="1" s="1"/>
  <c r="F1337" i="1"/>
  <c r="F1338" i="1"/>
  <c r="H1338" i="1" s="1"/>
  <c r="F1339" i="1"/>
  <c r="H1339" i="1" s="1"/>
  <c r="F1340" i="1"/>
  <c r="H1340" i="1" s="1"/>
  <c r="F1341" i="1"/>
  <c r="H1341" i="1" s="1"/>
  <c r="F1342" i="1"/>
  <c r="H1342" i="1" s="1"/>
  <c r="F1343" i="1"/>
  <c r="H1343" i="1" s="1"/>
  <c r="F1344" i="1"/>
  <c r="H1344" i="1" s="1"/>
  <c r="F1345" i="1"/>
  <c r="H1345" i="1" s="1"/>
  <c r="F1346" i="1"/>
  <c r="H1346" i="1" s="1"/>
  <c r="F1347" i="1"/>
  <c r="H1347" i="1" s="1"/>
  <c r="F1348" i="1"/>
  <c r="H1348" i="1" s="1"/>
  <c r="F1349" i="1"/>
  <c r="H1349" i="1" s="1"/>
  <c r="F1350" i="1"/>
  <c r="H1350" i="1" s="1"/>
  <c r="F1351" i="1"/>
  <c r="H1351" i="1" s="1"/>
  <c r="F1352" i="1"/>
  <c r="H1352" i="1" s="1"/>
  <c r="F1353" i="1"/>
  <c r="H1353" i="1" s="1"/>
  <c r="F1354" i="1"/>
  <c r="F1355" i="1"/>
  <c r="H1355" i="1" s="1"/>
  <c r="F1356" i="1"/>
  <c r="H1356" i="1" s="1"/>
  <c r="F1357" i="1"/>
  <c r="H1357" i="1" s="1"/>
  <c r="F1358" i="1"/>
  <c r="H1358" i="1" s="1"/>
  <c r="F1359" i="1"/>
  <c r="H1359" i="1" s="1"/>
  <c r="F1360" i="1"/>
  <c r="H1360" i="1" s="1"/>
  <c r="F1361" i="1"/>
  <c r="H1361" i="1" s="1"/>
  <c r="F1362" i="1"/>
  <c r="H1362" i="1" s="1"/>
  <c r="F1363" i="1"/>
  <c r="H1363" i="1" s="1"/>
  <c r="F1364" i="1"/>
  <c r="H1364" i="1" s="1"/>
  <c r="F1365" i="1"/>
  <c r="H1365" i="1" s="1"/>
  <c r="F1366" i="1"/>
  <c r="H1366" i="1" s="1"/>
  <c r="F1367" i="1"/>
  <c r="H1367" i="1" s="1"/>
  <c r="F1368" i="1"/>
  <c r="H1368" i="1" s="1"/>
  <c r="F1369" i="1"/>
  <c r="H1369" i="1" s="1"/>
  <c r="F1370" i="1"/>
  <c r="H1370" i="1" s="1"/>
  <c r="F1371" i="1"/>
  <c r="H1371" i="1" s="1"/>
  <c r="F1372" i="1"/>
  <c r="H1372" i="1" s="1"/>
  <c r="F1373" i="1"/>
  <c r="H1373" i="1" s="1"/>
  <c r="F1374" i="1"/>
  <c r="H1374" i="1" s="1"/>
  <c r="F1375" i="1"/>
  <c r="H1375" i="1" s="1"/>
  <c r="F1376" i="1"/>
  <c r="H1376" i="1" s="1"/>
  <c r="F1377" i="1"/>
  <c r="H1377" i="1" s="1"/>
  <c r="F1378" i="1"/>
  <c r="H1378" i="1" s="1"/>
  <c r="F1379" i="1"/>
  <c r="H1379" i="1" s="1"/>
  <c r="F1380" i="1"/>
  <c r="H1380" i="1" s="1"/>
  <c r="F1381" i="1"/>
  <c r="H1381" i="1" s="1"/>
  <c r="F1382" i="1"/>
  <c r="H1382" i="1" s="1"/>
  <c r="F1383" i="1"/>
  <c r="H1383" i="1" s="1"/>
  <c r="F1384" i="1"/>
  <c r="H1384" i="1" s="1"/>
  <c r="F1385" i="1"/>
  <c r="F1386" i="1"/>
  <c r="F1387" i="1"/>
  <c r="H1387" i="1" s="1"/>
  <c r="F1388" i="1"/>
  <c r="H1388" i="1" s="1"/>
  <c r="F1389" i="1"/>
  <c r="H1389" i="1" s="1"/>
  <c r="F1390" i="1"/>
  <c r="H1390" i="1" s="1"/>
  <c r="F1391" i="1"/>
  <c r="H1391" i="1" s="1"/>
  <c r="F1392" i="1"/>
  <c r="H1392" i="1" s="1"/>
  <c r="F1393" i="1"/>
  <c r="H1393" i="1" s="1"/>
  <c r="F1394" i="1"/>
  <c r="H1394" i="1" s="1"/>
  <c r="F1395" i="1"/>
  <c r="H1395" i="1" s="1"/>
  <c r="F1396" i="1"/>
  <c r="H1396" i="1" s="1"/>
  <c r="F1397" i="1"/>
  <c r="F1398" i="1"/>
  <c r="H1398" i="1" s="1"/>
  <c r="F1399" i="1"/>
  <c r="H1399" i="1" s="1"/>
  <c r="F1400" i="1"/>
  <c r="H1400" i="1" s="1"/>
  <c r="F1401" i="1"/>
  <c r="H1401" i="1" s="1"/>
  <c r="F1402" i="1"/>
  <c r="F1403" i="1"/>
  <c r="H1403" i="1" s="1"/>
  <c r="F1404" i="1"/>
  <c r="H1404" i="1" s="1"/>
  <c r="F1405" i="1"/>
  <c r="H1405" i="1" s="1"/>
  <c r="F1406" i="1"/>
  <c r="H1406" i="1" s="1"/>
  <c r="F1407" i="1"/>
  <c r="H1407" i="1" s="1"/>
  <c r="F1408" i="1"/>
  <c r="H1408" i="1" s="1"/>
  <c r="F1409" i="1"/>
  <c r="H1409" i="1" s="1"/>
  <c r="F1410" i="1"/>
  <c r="H1410" i="1" s="1"/>
  <c r="F1411" i="1"/>
  <c r="H1411" i="1" s="1"/>
  <c r="F1412" i="1"/>
  <c r="H1412" i="1" s="1"/>
  <c r="F1413" i="1"/>
  <c r="H1413" i="1" s="1"/>
  <c r="F1414" i="1"/>
  <c r="H1414" i="1" s="1"/>
  <c r="F1415" i="1"/>
  <c r="H1415" i="1" s="1"/>
  <c r="F1416" i="1"/>
  <c r="H1416" i="1" s="1"/>
  <c r="F1417" i="1"/>
  <c r="H1417" i="1" s="1"/>
  <c r="F1418" i="1"/>
  <c r="H1418" i="1" s="1"/>
  <c r="F1419" i="1"/>
  <c r="H1419" i="1" s="1"/>
  <c r="F1420" i="1"/>
  <c r="H1420" i="1" s="1"/>
  <c r="F1421" i="1"/>
  <c r="H1421" i="1" s="1"/>
  <c r="F1422" i="1"/>
  <c r="H1422" i="1" s="1"/>
  <c r="F1423" i="1"/>
  <c r="H1423" i="1" s="1"/>
  <c r="F1424" i="1"/>
  <c r="H1424" i="1" s="1"/>
  <c r="F1425" i="1"/>
  <c r="H1425" i="1" s="1"/>
  <c r="F1426" i="1"/>
  <c r="H1426" i="1" s="1"/>
  <c r="F1427" i="1"/>
  <c r="H1427" i="1" s="1"/>
  <c r="F1428" i="1"/>
  <c r="H1428" i="1" s="1"/>
  <c r="F1429" i="1"/>
  <c r="H1429" i="1" s="1"/>
  <c r="F1430" i="1"/>
  <c r="H1430" i="1" s="1"/>
  <c r="F1431" i="1"/>
  <c r="H1431" i="1" s="1"/>
  <c r="F1432" i="1"/>
  <c r="H1432" i="1" s="1"/>
  <c r="F1433" i="1"/>
  <c r="H1433" i="1" s="1"/>
  <c r="F1434" i="1"/>
  <c r="H1434" i="1" s="1"/>
  <c r="F1435" i="1"/>
  <c r="H1435" i="1" s="1"/>
  <c r="F1436" i="1"/>
  <c r="H1436" i="1" s="1"/>
  <c r="F1437" i="1"/>
  <c r="H1437" i="1" s="1"/>
  <c r="F1438" i="1"/>
  <c r="H1438" i="1" s="1"/>
  <c r="F1439" i="1"/>
  <c r="H1439" i="1" s="1"/>
  <c r="F1440" i="1"/>
  <c r="H1440" i="1" s="1"/>
  <c r="F1441" i="1"/>
  <c r="H1441" i="1" s="1"/>
  <c r="F1442" i="1"/>
  <c r="H1442" i="1" s="1"/>
  <c r="F1443" i="1"/>
  <c r="F1444" i="1"/>
  <c r="H1444" i="1" s="1"/>
  <c r="F1445" i="1"/>
  <c r="H1445" i="1" s="1"/>
  <c r="F1446" i="1"/>
  <c r="H1446" i="1" s="1"/>
  <c r="F1447" i="1"/>
  <c r="H1447" i="1" s="1"/>
  <c r="F1448" i="1"/>
  <c r="H1448" i="1" s="1"/>
  <c r="F1449" i="1"/>
  <c r="H1449" i="1" s="1"/>
  <c r="F1450" i="1"/>
  <c r="H1450" i="1" s="1"/>
  <c r="F1451" i="1"/>
  <c r="H1451" i="1" s="1"/>
  <c r="F1452" i="1"/>
  <c r="H1452" i="1" s="1"/>
  <c r="F1453" i="1"/>
  <c r="H1453" i="1" s="1"/>
  <c r="F1454" i="1"/>
  <c r="H1454" i="1" s="1"/>
  <c r="F1455" i="1"/>
  <c r="H1455" i="1" s="1"/>
  <c r="F1456" i="1"/>
  <c r="H1456" i="1" s="1"/>
  <c r="F1457" i="1"/>
  <c r="H1457" i="1" s="1"/>
  <c r="F1458" i="1"/>
  <c r="H1458" i="1" s="1"/>
  <c r="F1459" i="1"/>
  <c r="H1459" i="1" s="1"/>
  <c r="F1460" i="1"/>
  <c r="H1460" i="1" s="1"/>
  <c r="F1461" i="1"/>
  <c r="H1461" i="1" s="1"/>
  <c r="F1462" i="1"/>
  <c r="H1462" i="1" s="1"/>
  <c r="F1463" i="1"/>
  <c r="H1463" i="1" s="1"/>
  <c r="F1464" i="1"/>
  <c r="F1465" i="1"/>
  <c r="H1465" i="1" s="1"/>
  <c r="F1466" i="1"/>
  <c r="H1466" i="1" s="1"/>
  <c r="F1467" i="1"/>
  <c r="H1467" i="1" s="1"/>
  <c r="F1468" i="1"/>
  <c r="H1468" i="1" s="1"/>
  <c r="F1469" i="1"/>
  <c r="H1469" i="1" s="1"/>
  <c r="F1470" i="1"/>
  <c r="H1470" i="1" s="1"/>
  <c r="F1471" i="1"/>
  <c r="H1471" i="1" s="1"/>
  <c r="F1472" i="1"/>
  <c r="H1472" i="1" s="1"/>
  <c r="F1473" i="1"/>
  <c r="H1473" i="1" s="1"/>
  <c r="F1474" i="1"/>
  <c r="H1474" i="1" s="1"/>
  <c r="F1475" i="1"/>
  <c r="H1475" i="1" s="1"/>
  <c r="F1476" i="1"/>
  <c r="F1477" i="1"/>
  <c r="H1477" i="1" s="1"/>
  <c r="F1478" i="1"/>
  <c r="H1478" i="1" s="1"/>
  <c r="F1479" i="1"/>
  <c r="H1479" i="1" s="1"/>
  <c r="F1480" i="1"/>
  <c r="H1480" i="1" s="1"/>
  <c r="F1481" i="1"/>
  <c r="H1481" i="1" s="1"/>
  <c r="F1482" i="1"/>
  <c r="H1482" i="1" s="1"/>
  <c r="F1483" i="1"/>
  <c r="H1483" i="1" s="1"/>
  <c r="F1484" i="1"/>
  <c r="H1484" i="1" s="1"/>
  <c r="F1485" i="1"/>
  <c r="H1485" i="1" s="1"/>
  <c r="F1486" i="1"/>
  <c r="H1486" i="1" s="1"/>
  <c r="F1487" i="1"/>
  <c r="H1487" i="1" s="1"/>
  <c r="F1488" i="1"/>
  <c r="H1488" i="1" s="1"/>
  <c r="F1489" i="1"/>
  <c r="H1489" i="1" s="1"/>
  <c r="F1490" i="1"/>
  <c r="H1490" i="1" s="1"/>
  <c r="F1491" i="1"/>
  <c r="H1491" i="1" s="1"/>
  <c r="F1492" i="1"/>
  <c r="H1492" i="1" s="1"/>
  <c r="F1493" i="1"/>
  <c r="H1493" i="1" s="1"/>
  <c r="F1494" i="1"/>
  <c r="H1494" i="1" s="1"/>
  <c r="F1495" i="1"/>
  <c r="H1495" i="1" s="1"/>
  <c r="F1496" i="1"/>
  <c r="H1496" i="1" s="1"/>
  <c r="F1497" i="1"/>
  <c r="H1497" i="1" s="1"/>
  <c r="F1498" i="1"/>
  <c r="H1498" i="1" s="1"/>
  <c r="F1499" i="1"/>
  <c r="H1499" i="1" s="1"/>
  <c r="F1500" i="1"/>
  <c r="H1500" i="1" s="1"/>
  <c r="F1501" i="1"/>
  <c r="H1501" i="1" s="1"/>
  <c r="F1502" i="1"/>
  <c r="H1502" i="1" s="1"/>
  <c r="F1503" i="1"/>
  <c r="H1503" i="1" s="1"/>
  <c r="F1504" i="1"/>
  <c r="H1504" i="1" s="1"/>
  <c r="F1505" i="1"/>
  <c r="F1506" i="1"/>
  <c r="F1507" i="1"/>
  <c r="H1507" i="1" s="1"/>
  <c r="F1508" i="1"/>
  <c r="H1508" i="1" s="1"/>
  <c r="F1509" i="1"/>
  <c r="H1509" i="1" s="1"/>
  <c r="F1510" i="1"/>
  <c r="H1510" i="1" s="1"/>
  <c r="F1511" i="1"/>
  <c r="H1511" i="1" s="1"/>
  <c r="F1512" i="1"/>
  <c r="H1512" i="1" s="1"/>
  <c r="F1513" i="1"/>
  <c r="H1513" i="1" s="1"/>
  <c r="F1514" i="1"/>
  <c r="H1514" i="1" s="1"/>
  <c r="F1515" i="1"/>
  <c r="H1515" i="1" s="1"/>
  <c r="F1516" i="1"/>
  <c r="H1516" i="1" s="1"/>
  <c r="F1517" i="1"/>
  <c r="H1517" i="1" s="1"/>
  <c r="F1518" i="1"/>
  <c r="H1518" i="1" s="1"/>
  <c r="F1519" i="1"/>
  <c r="H1519" i="1" s="1"/>
  <c r="F1520" i="1"/>
  <c r="H1520" i="1" s="1"/>
  <c r="F1521" i="1"/>
  <c r="F1522" i="1"/>
  <c r="H1522" i="1" s="1"/>
  <c r="F1523" i="1"/>
  <c r="F1524" i="1"/>
  <c r="H1524" i="1" s="1"/>
  <c r="F1525" i="1"/>
  <c r="H1525" i="1" s="1"/>
  <c r="F1526" i="1"/>
  <c r="H1526" i="1" s="1"/>
  <c r="F1527" i="1"/>
  <c r="H1527" i="1" s="1"/>
  <c r="F1528" i="1"/>
  <c r="H1528" i="1" s="1"/>
  <c r="F1529" i="1"/>
  <c r="H1529" i="1" s="1"/>
  <c r="F1530" i="1"/>
  <c r="H1530" i="1" s="1"/>
  <c r="F1531" i="1"/>
  <c r="H1531" i="1" s="1"/>
  <c r="F1532" i="1"/>
  <c r="H1532" i="1" s="1"/>
  <c r="F1533" i="1"/>
  <c r="H1533" i="1" s="1"/>
  <c r="F1534" i="1"/>
  <c r="H1534" i="1" s="1"/>
  <c r="F1535" i="1"/>
  <c r="H1535" i="1" s="1"/>
  <c r="F1536" i="1"/>
  <c r="H1536" i="1" s="1"/>
  <c r="F1537" i="1"/>
  <c r="H1537" i="1" s="1"/>
  <c r="F1538" i="1"/>
  <c r="H1538" i="1" s="1"/>
  <c r="F1539" i="1"/>
  <c r="H1539" i="1" s="1"/>
  <c r="F1540" i="1"/>
  <c r="H1540" i="1" s="1"/>
  <c r="F1541" i="1"/>
  <c r="H1541" i="1" s="1"/>
  <c r="F1542" i="1"/>
  <c r="H1542" i="1" s="1"/>
  <c r="F1543" i="1"/>
  <c r="H1543" i="1" s="1"/>
  <c r="F1544" i="1"/>
  <c r="H1544" i="1" s="1"/>
  <c r="F1545" i="1"/>
  <c r="H1545" i="1" s="1"/>
  <c r="F1546" i="1"/>
  <c r="H1546" i="1" s="1"/>
  <c r="F1547" i="1"/>
  <c r="H1547" i="1" s="1"/>
  <c r="F1548" i="1"/>
  <c r="H1548" i="1" s="1"/>
  <c r="F1549" i="1"/>
  <c r="H1549" i="1" s="1"/>
  <c r="F1550" i="1"/>
  <c r="H1550" i="1" s="1"/>
  <c r="F1551" i="1"/>
  <c r="H1551" i="1" s="1"/>
  <c r="F1552" i="1"/>
  <c r="H1552" i="1" s="1"/>
  <c r="F1553" i="1"/>
  <c r="H1553" i="1" s="1"/>
  <c r="F1554" i="1"/>
  <c r="H1554" i="1" s="1"/>
  <c r="F1555" i="1"/>
  <c r="H1555" i="1" s="1"/>
  <c r="F1556" i="1"/>
  <c r="H1556" i="1" s="1"/>
  <c r="F1557" i="1"/>
  <c r="H1557" i="1" s="1"/>
  <c r="F1558" i="1"/>
  <c r="H1558" i="1" s="1"/>
  <c r="F1559" i="1"/>
  <c r="H1559" i="1" s="1"/>
  <c r="F1560" i="1"/>
  <c r="H1560" i="1" s="1"/>
  <c r="F1561" i="1"/>
  <c r="H1561" i="1" s="1"/>
  <c r="F1562" i="1"/>
  <c r="H1562" i="1" s="1"/>
  <c r="F1563" i="1"/>
  <c r="H1563" i="1" s="1"/>
  <c r="F1564" i="1"/>
  <c r="H1564" i="1" s="1"/>
  <c r="F1565" i="1"/>
  <c r="H1565" i="1" s="1"/>
  <c r="F1566" i="1"/>
  <c r="H1566" i="1" s="1"/>
  <c r="F1567" i="1"/>
  <c r="H1567" i="1" s="1"/>
  <c r="F1568" i="1"/>
  <c r="F1569" i="1"/>
  <c r="H1569" i="1" s="1"/>
  <c r="F1570" i="1"/>
  <c r="H1570" i="1" s="1"/>
  <c r="F1571" i="1"/>
  <c r="H1571" i="1" s="1"/>
  <c r="F1572" i="1"/>
  <c r="H1572" i="1" s="1"/>
  <c r="F1573" i="1"/>
  <c r="H1573" i="1" s="1"/>
  <c r="F1574" i="1"/>
  <c r="H1574" i="1" s="1"/>
  <c r="F1575" i="1"/>
  <c r="H1575" i="1" s="1"/>
  <c r="F1576" i="1"/>
  <c r="H1576" i="1" s="1"/>
  <c r="F1577" i="1"/>
  <c r="H1577" i="1" s="1"/>
  <c r="F1578" i="1"/>
  <c r="H1578" i="1" s="1"/>
  <c r="F1579" i="1"/>
  <c r="H1579" i="1" s="1"/>
  <c r="F1580" i="1"/>
  <c r="H1580" i="1" s="1"/>
  <c r="F1581" i="1"/>
  <c r="H1581" i="1" s="1"/>
  <c r="F1582" i="1"/>
  <c r="H1582" i="1" s="1"/>
  <c r="F1583" i="1"/>
  <c r="H1583" i="1" s="1"/>
  <c r="F1584" i="1"/>
  <c r="H1584" i="1" s="1"/>
  <c r="F1585" i="1"/>
  <c r="H1585" i="1" s="1"/>
  <c r="F1586" i="1"/>
  <c r="H1586" i="1" s="1"/>
  <c r="F1587" i="1"/>
  <c r="H1587" i="1" s="1"/>
  <c r="F1588" i="1"/>
  <c r="H1588" i="1" s="1"/>
  <c r="F1589" i="1"/>
  <c r="H1589" i="1" s="1"/>
  <c r="F1590" i="1"/>
  <c r="H1590" i="1" s="1"/>
  <c r="F1591" i="1"/>
  <c r="H1591" i="1" s="1"/>
  <c r="F1592" i="1"/>
  <c r="H1592" i="1" s="1"/>
  <c r="F1593" i="1"/>
  <c r="H1593" i="1" s="1"/>
  <c r="F1594" i="1"/>
  <c r="H1594" i="1" s="1"/>
  <c r="F1595" i="1"/>
  <c r="H1595" i="1" s="1"/>
  <c r="F1596" i="1"/>
  <c r="H1596" i="1" s="1"/>
  <c r="F1597" i="1"/>
  <c r="H1597" i="1" s="1"/>
  <c r="F1598" i="1"/>
  <c r="H1598" i="1" s="1"/>
  <c r="F1599" i="1"/>
  <c r="H1599" i="1" s="1"/>
  <c r="F1600" i="1"/>
  <c r="H1600" i="1" s="1"/>
  <c r="F1601" i="1"/>
  <c r="H1601" i="1" s="1"/>
  <c r="F1602" i="1"/>
  <c r="H1602" i="1" s="1"/>
  <c r="F1603" i="1"/>
  <c r="H1603" i="1" s="1"/>
  <c r="F1604" i="1"/>
  <c r="F1605" i="1"/>
  <c r="H1605" i="1" s="1"/>
  <c r="F1606" i="1"/>
  <c r="H1606" i="1" s="1"/>
  <c r="F1607" i="1"/>
  <c r="H1607" i="1" s="1"/>
  <c r="F1608" i="1"/>
  <c r="H1608" i="1" s="1"/>
  <c r="F1609" i="1"/>
  <c r="H1609" i="1" s="1"/>
  <c r="F1610" i="1"/>
  <c r="H1610" i="1" s="1"/>
  <c r="F1611" i="1"/>
  <c r="H1611" i="1" s="1"/>
  <c r="F1612" i="1"/>
  <c r="H1612" i="1" s="1"/>
  <c r="F1613" i="1"/>
  <c r="H1613" i="1" s="1"/>
  <c r="F1614" i="1"/>
  <c r="H1614" i="1" s="1"/>
  <c r="F1615" i="1"/>
  <c r="H1615" i="1" s="1"/>
  <c r="F1616" i="1"/>
  <c r="H1616" i="1" s="1"/>
  <c r="F1617" i="1"/>
  <c r="H1617" i="1" s="1"/>
  <c r="F1618" i="1"/>
  <c r="H1618" i="1" s="1"/>
  <c r="F1619" i="1"/>
  <c r="H1619" i="1" s="1"/>
  <c r="F1620" i="1"/>
  <c r="H1620" i="1" s="1"/>
  <c r="F1621" i="1"/>
  <c r="H1621" i="1" s="1"/>
  <c r="F1622" i="1"/>
  <c r="H1622" i="1" s="1"/>
  <c r="F1623" i="1"/>
  <c r="H1623" i="1" s="1"/>
  <c r="F1624" i="1"/>
  <c r="H1624" i="1" s="1"/>
  <c r="F1625" i="1"/>
  <c r="H1625" i="1" s="1"/>
  <c r="F1626" i="1"/>
  <c r="H1626" i="1" s="1"/>
  <c r="F1627" i="1"/>
  <c r="H1627" i="1" s="1"/>
  <c r="F1628" i="1"/>
  <c r="H1628" i="1" s="1"/>
  <c r="F1629" i="1"/>
  <c r="H1629" i="1" s="1"/>
  <c r="F1630" i="1"/>
  <c r="H1630" i="1" s="1"/>
  <c r="F1631" i="1"/>
  <c r="H1631" i="1" s="1"/>
  <c r="F1632" i="1"/>
  <c r="H1632" i="1" s="1"/>
  <c r="F1633" i="1"/>
  <c r="H1633" i="1" s="1"/>
  <c r="F1634" i="1"/>
  <c r="H1634" i="1" s="1"/>
  <c r="F1635" i="1"/>
  <c r="H1635" i="1" s="1"/>
  <c r="F1636" i="1"/>
  <c r="H1636" i="1" s="1"/>
  <c r="F1637" i="1"/>
  <c r="H1637" i="1" s="1"/>
  <c r="F1638" i="1"/>
  <c r="H1638" i="1" s="1"/>
  <c r="F1639" i="1"/>
  <c r="H1639" i="1" s="1"/>
  <c r="F1640" i="1"/>
  <c r="H1640" i="1" s="1"/>
  <c r="F1641" i="1"/>
  <c r="H1641" i="1" s="1"/>
  <c r="F1642" i="1"/>
  <c r="H1642" i="1" s="1"/>
  <c r="F1643" i="1"/>
  <c r="H1643" i="1" s="1"/>
  <c r="F1644" i="1"/>
  <c r="H1644" i="1" s="1"/>
  <c r="F1645" i="1"/>
  <c r="H1645" i="1" s="1"/>
  <c r="F1646" i="1"/>
  <c r="F1647" i="1"/>
  <c r="H1647" i="1" s="1"/>
  <c r="F1648" i="1"/>
  <c r="H1648" i="1" s="1"/>
  <c r="F1649" i="1"/>
  <c r="H1649" i="1" s="1"/>
  <c r="F1650" i="1"/>
  <c r="H1650" i="1" s="1"/>
  <c r="F1651" i="1"/>
  <c r="H1651" i="1" s="1"/>
  <c r="F1652" i="1"/>
  <c r="F1653" i="1"/>
  <c r="H1653" i="1" s="1"/>
  <c r="F1654" i="1"/>
  <c r="H1654" i="1" s="1"/>
  <c r="F1655" i="1"/>
  <c r="H1655" i="1" s="1"/>
  <c r="F1656" i="1"/>
  <c r="H1656" i="1" s="1"/>
  <c r="F1657" i="1"/>
  <c r="H1657" i="1" s="1"/>
  <c r="F1658" i="1"/>
  <c r="H1658" i="1" s="1"/>
  <c r="F1659" i="1"/>
  <c r="H1659" i="1" s="1"/>
  <c r="F1660" i="1"/>
  <c r="H1660" i="1" s="1"/>
  <c r="F1661" i="1"/>
  <c r="H1661" i="1" s="1"/>
  <c r="F1662" i="1"/>
  <c r="H1662" i="1" s="1"/>
  <c r="F1663" i="1"/>
  <c r="H1663" i="1" s="1"/>
  <c r="F1664" i="1"/>
  <c r="H1664" i="1" s="1"/>
  <c r="F1665" i="1"/>
  <c r="H1665" i="1" s="1"/>
  <c r="F1666" i="1"/>
  <c r="H1666" i="1" s="1"/>
  <c r="F1667" i="1"/>
  <c r="H1667" i="1" s="1"/>
  <c r="F1668" i="1"/>
  <c r="H1668" i="1" s="1"/>
  <c r="F1669" i="1"/>
  <c r="H1669" i="1" s="1"/>
  <c r="F1670" i="1"/>
  <c r="H1670" i="1" s="1"/>
  <c r="F1671" i="1"/>
  <c r="H1671" i="1" s="1"/>
  <c r="F1672" i="1"/>
  <c r="H1672" i="1" s="1"/>
  <c r="F1673" i="1"/>
  <c r="H1673" i="1" s="1"/>
  <c r="F1674" i="1"/>
  <c r="H1674" i="1" s="1"/>
  <c r="F1675" i="1"/>
  <c r="H1675" i="1" s="1"/>
  <c r="F1676" i="1"/>
  <c r="H1676" i="1" s="1"/>
  <c r="F1677" i="1"/>
  <c r="H1677" i="1" s="1"/>
  <c r="F1678" i="1"/>
  <c r="H1678" i="1" s="1"/>
  <c r="F1679" i="1"/>
  <c r="H1679" i="1" s="1"/>
  <c r="F1680" i="1"/>
  <c r="H1680" i="1" s="1"/>
  <c r="F1681" i="1"/>
  <c r="F1682" i="1"/>
  <c r="H1682" i="1" s="1"/>
  <c r="F1683" i="1"/>
  <c r="H1683" i="1" s="1"/>
  <c r="F1684" i="1"/>
  <c r="H1684" i="1" s="1"/>
  <c r="F1685" i="1"/>
  <c r="H1685" i="1" s="1"/>
  <c r="F1686" i="1"/>
  <c r="H1686" i="1" s="1"/>
  <c r="F1687" i="1"/>
  <c r="H1687" i="1" s="1"/>
  <c r="F1688" i="1"/>
  <c r="H1688" i="1" s="1"/>
  <c r="F1689" i="1"/>
  <c r="H1689" i="1" s="1"/>
  <c r="F1690" i="1"/>
  <c r="H1690" i="1" s="1"/>
  <c r="F1691" i="1"/>
  <c r="H1691" i="1" s="1"/>
  <c r="F1692" i="1"/>
  <c r="H1692" i="1" s="1"/>
  <c r="F1693" i="1"/>
  <c r="H1693" i="1" s="1"/>
  <c r="F1694" i="1"/>
  <c r="H1694" i="1" s="1"/>
  <c r="F1695" i="1"/>
  <c r="H1695" i="1" s="1"/>
  <c r="F1696" i="1"/>
  <c r="H1696" i="1" s="1"/>
  <c r="F1697" i="1"/>
  <c r="H1697" i="1" s="1"/>
  <c r="F1698" i="1"/>
  <c r="H1698" i="1" s="1"/>
  <c r="F1699" i="1"/>
  <c r="H1699" i="1" s="1"/>
  <c r="F1700" i="1"/>
  <c r="H1700" i="1" s="1"/>
  <c r="F1701" i="1"/>
  <c r="H1701" i="1" s="1"/>
  <c r="F1702" i="1"/>
  <c r="H1702" i="1" s="1"/>
  <c r="F1703" i="1"/>
  <c r="H1703" i="1" s="1"/>
  <c r="F1704" i="1"/>
  <c r="H1704" i="1" s="1"/>
  <c r="F1705" i="1"/>
  <c r="H1705" i="1" s="1"/>
  <c r="F1706" i="1"/>
  <c r="H1706" i="1" s="1"/>
  <c r="F1707" i="1"/>
  <c r="H1707" i="1" s="1"/>
  <c r="F1708" i="1"/>
  <c r="H1708" i="1" s="1"/>
  <c r="F1709" i="1"/>
  <c r="H1709" i="1" s="1"/>
  <c r="F1710" i="1"/>
  <c r="H1710" i="1" s="1"/>
  <c r="F1711" i="1"/>
  <c r="H1711" i="1" s="1"/>
  <c r="F1712" i="1"/>
  <c r="H1712" i="1" s="1"/>
  <c r="F1713" i="1"/>
  <c r="H1713" i="1" s="1"/>
  <c r="F1714" i="1"/>
  <c r="H1714" i="1" s="1"/>
  <c r="F1715" i="1"/>
  <c r="H1715" i="1" s="1"/>
  <c r="F1716" i="1"/>
  <c r="H1716" i="1" s="1"/>
  <c r="F1717" i="1"/>
  <c r="H1717" i="1" s="1"/>
  <c r="F1718" i="1"/>
  <c r="H1718" i="1" s="1"/>
  <c r="F1719" i="1"/>
  <c r="H1719" i="1" s="1"/>
  <c r="F1720" i="1"/>
  <c r="H1720" i="1" s="1"/>
  <c r="F1721" i="1"/>
  <c r="H1721" i="1" s="1"/>
  <c r="F1722" i="1"/>
  <c r="H1722" i="1" s="1"/>
  <c r="F1723" i="1"/>
  <c r="H1723" i="1" s="1"/>
  <c r="F1724" i="1"/>
  <c r="H1724" i="1" s="1"/>
  <c r="F1725" i="1"/>
  <c r="H1725" i="1" s="1"/>
  <c r="F1726" i="1"/>
  <c r="H1726" i="1" s="1"/>
  <c r="F1727" i="1"/>
  <c r="H1727" i="1" s="1"/>
  <c r="F1728" i="1"/>
  <c r="H1728" i="1" s="1"/>
  <c r="F1729" i="1"/>
  <c r="H1729" i="1" s="1"/>
  <c r="F1730" i="1"/>
  <c r="H1730" i="1" s="1"/>
  <c r="F1731" i="1"/>
  <c r="H1731" i="1" s="1"/>
  <c r="F1732" i="1"/>
  <c r="H1732" i="1" s="1"/>
  <c r="F1733" i="1"/>
  <c r="H1733" i="1" s="1"/>
  <c r="F1734" i="1"/>
  <c r="H1734" i="1" s="1"/>
  <c r="F1735" i="1"/>
  <c r="H1735" i="1" s="1"/>
  <c r="F1736" i="1"/>
  <c r="H1736" i="1" s="1"/>
  <c r="F1737" i="1"/>
  <c r="H1737" i="1" s="1"/>
  <c r="F1738" i="1"/>
  <c r="H1738" i="1" s="1"/>
  <c r="F1739" i="1"/>
  <c r="H1739" i="1" s="1"/>
  <c r="F1740" i="1"/>
  <c r="H1740" i="1" s="1"/>
  <c r="F1741" i="1"/>
  <c r="H1741" i="1" s="1"/>
  <c r="F1742" i="1"/>
  <c r="H1742" i="1" s="1"/>
  <c r="F1743" i="1"/>
  <c r="H1743" i="1" s="1"/>
  <c r="F1744" i="1"/>
  <c r="H1744" i="1" s="1"/>
  <c r="F1745" i="1"/>
  <c r="H1745" i="1" s="1"/>
  <c r="F1746" i="1"/>
  <c r="H1746" i="1" s="1"/>
  <c r="F1747" i="1"/>
  <c r="H1747" i="1" s="1"/>
  <c r="F1748" i="1"/>
  <c r="H1748" i="1" s="1"/>
  <c r="F1749" i="1"/>
  <c r="H1749" i="1" s="1"/>
  <c r="F1750" i="1"/>
  <c r="H1750" i="1" s="1"/>
  <c r="F1751" i="1"/>
  <c r="H1751" i="1" s="1"/>
  <c r="F1752" i="1"/>
  <c r="H1752" i="1" s="1"/>
  <c r="F1753" i="1"/>
  <c r="H1753" i="1" s="1"/>
  <c r="F1754" i="1"/>
  <c r="H1754" i="1" s="1"/>
  <c r="F1755" i="1"/>
  <c r="H1755" i="1" s="1"/>
  <c r="F1756" i="1"/>
  <c r="H1756" i="1" s="1"/>
  <c r="F1757" i="1"/>
  <c r="H1757" i="1" s="1"/>
  <c r="F1758" i="1"/>
  <c r="H1758" i="1" s="1"/>
  <c r="F1759" i="1"/>
  <c r="H1759" i="1" s="1"/>
  <c r="F1760" i="1"/>
  <c r="H1760" i="1" s="1"/>
  <c r="F1761" i="1"/>
  <c r="H1761" i="1" s="1"/>
  <c r="F1762" i="1"/>
  <c r="H1762" i="1" s="1"/>
  <c r="F1763" i="1"/>
  <c r="H1763" i="1" s="1"/>
  <c r="F1764" i="1"/>
  <c r="H1764" i="1" s="1"/>
  <c r="F1765" i="1"/>
  <c r="H1765" i="1" s="1"/>
  <c r="F1766" i="1"/>
  <c r="H1766" i="1" s="1"/>
  <c r="F1767" i="1"/>
  <c r="H1767" i="1" s="1"/>
  <c r="F1768" i="1"/>
  <c r="H1768" i="1" s="1"/>
  <c r="F1769" i="1"/>
  <c r="H1769" i="1" s="1"/>
  <c r="F1770" i="1"/>
  <c r="H1770" i="1" s="1"/>
  <c r="F1771" i="1"/>
  <c r="H1771" i="1" s="1"/>
  <c r="F1772" i="1"/>
  <c r="H1772" i="1" s="1"/>
  <c r="F1773" i="1"/>
  <c r="H1773" i="1" s="1"/>
  <c r="F1774" i="1"/>
  <c r="H1774" i="1" s="1"/>
  <c r="F1775" i="1"/>
  <c r="H1775" i="1" s="1"/>
  <c r="F1776" i="1"/>
  <c r="H1776" i="1" s="1"/>
  <c r="F1777" i="1"/>
  <c r="H1777" i="1" s="1"/>
  <c r="F1778" i="1"/>
  <c r="H1778" i="1" s="1"/>
  <c r="F1779" i="1"/>
  <c r="H1779" i="1" s="1"/>
  <c r="F1780" i="1"/>
  <c r="H1780" i="1" s="1"/>
  <c r="F1781" i="1"/>
  <c r="F1782" i="1"/>
  <c r="H1782" i="1" s="1"/>
  <c r="F1783" i="1"/>
  <c r="H1783" i="1" s="1"/>
  <c r="F1784" i="1"/>
  <c r="H1784" i="1" s="1"/>
  <c r="F1785" i="1"/>
  <c r="H1785" i="1" s="1"/>
  <c r="F1786" i="1"/>
  <c r="H1786" i="1" s="1"/>
  <c r="F1787" i="1"/>
  <c r="H1787" i="1" s="1"/>
  <c r="F1788" i="1"/>
  <c r="H1788" i="1" s="1"/>
  <c r="F1789" i="1"/>
  <c r="H1789" i="1" s="1"/>
  <c r="F1790" i="1"/>
  <c r="H1790" i="1" s="1"/>
  <c r="F1791" i="1"/>
  <c r="F1792" i="1"/>
  <c r="H1792" i="1" s="1"/>
  <c r="F1793" i="1"/>
  <c r="H1793" i="1" s="1"/>
  <c r="F1794" i="1"/>
  <c r="H1794" i="1" s="1"/>
  <c r="F1795" i="1"/>
  <c r="H1795" i="1" s="1"/>
  <c r="F1796" i="1"/>
  <c r="H1796" i="1" s="1"/>
  <c r="F1797" i="1"/>
  <c r="H1797" i="1" s="1"/>
  <c r="F1798" i="1"/>
  <c r="H1798" i="1" s="1"/>
  <c r="F1799" i="1"/>
  <c r="H1799" i="1" s="1"/>
  <c r="F1800" i="1"/>
  <c r="H1800" i="1" s="1"/>
  <c r="F1801" i="1"/>
  <c r="H1801" i="1" s="1"/>
  <c r="F1802" i="1"/>
  <c r="H1802" i="1" s="1"/>
  <c r="F1803" i="1"/>
  <c r="H1803" i="1" s="1"/>
  <c r="F1804" i="1"/>
  <c r="H1804" i="1" s="1"/>
  <c r="F1805" i="1"/>
  <c r="H1805" i="1" s="1"/>
  <c r="F1806" i="1"/>
  <c r="H1806" i="1" s="1"/>
  <c r="F1807" i="1"/>
  <c r="H1807" i="1" s="1"/>
  <c r="F1808" i="1"/>
  <c r="H1808" i="1" s="1"/>
  <c r="F1809" i="1"/>
  <c r="H1809" i="1" s="1"/>
  <c r="F1810" i="1"/>
  <c r="H1810" i="1" s="1"/>
  <c r="F1811" i="1"/>
  <c r="H1811" i="1" s="1"/>
  <c r="F1812" i="1"/>
  <c r="H1812" i="1" s="1"/>
  <c r="F1813" i="1"/>
  <c r="H1813" i="1" s="1"/>
  <c r="F1814" i="1"/>
  <c r="H1814" i="1" s="1"/>
  <c r="F1815" i="1"/>
  <c r="H1815" i="1" s="1"/>
  <c r="F1816" i="1"/>
  <c r="H1816" i="1" s="1"/>
  <c r="F1817" i="1"/>
  <c r="H1817" i="1" s="1"/>
  <c r="F1818" i="1"/>
  <c r="H1818" i="1" s="1"/>
  <c r="F1819" i="1"/>
  <c r="H1819" i="1" s="1"/>
  <c r="F1820" i="1"/>
  <c r="H1820" i="1" s="1"/>
  <c r="F1821" i="1"/>
  <c r="H1821" i="1" s="1"/>
  <c r="F1822" i="1"/>
  <c r="H1822" i="1" s="1"/>
  <c r="F1823" i="1"/>
  <c r="H1823" i="1" s="1"/>
  <c r="F1824" i="1"/>
  <c r="H1824" i="1" s="1"/>
  <c r="F1825" i="1"/>
  <c r="H1825" i="1" s="1"/>
  <c r="F1826" i="1"/>
  <c r="H1826" i="1" s="1"/>
  <c r="F1827" i="1"/>
  <c r="H1827" i="1" s="1"/>
  <c r="F1828" i="1"/>
  <c r="H1828" i="1" s="1"/>
  <c r="F1829" i="1"/>
  <c r="H1829" i="1" s="1"/>
  <c r="F1830" i="1"/>
  <c r="H1830" i="1" s="1"/>
  <c r="F1831" i="1"/>
  <c r="H1831" i="1" s="1"/>
  <c r="F1832" i="1"/>
  <c r="H1832" i="1" s="1"/>
  <c r="F1833" i="1"/>
  <c r="H1833" i="1" s="1"/>
  <c r="F1834" i="1"/>
  <c r="H1834" i="1" s="1"/>
  <c r="F1835" i="1"/>
  <c r="H1835" i="1" s="1"/>
  <c r="F1836" i="1"/>
  <c r="H1836" i="1" s="1"/>
  <c r="F1837" i="1"/>
  <c r="H1837" i="1" s="1"/>
  <c r="F1838" i="1"/>
  <c r="H1838" i="1" s="1"/>
  <c r="F1839" i="1"/>
  <c r="H1839" i="1" s="1"/>
  <c r="F1840" i="1"/>
  <c r="H1840" i="1" s="1"/>
  <c r="F1841" i="1"/>
  <c r="F1842" i="1"/>
  <c r="H1842" i="1" s="1"/>
  <c r="F1843" i="1"/>
  <c r="H1843" i="1" s="1"/>
  <c r="F1844" i="1"/>
  <c r="H1844" i="1" s="1"/>
  <c r="F1845" i="1"/>
  <c r="H1845" i="1" s="1"/>
  <c r="F1846" i="1"/>
  <c r="H1846" i="1" s="1"/>
  <c r="F1847" i="1"/>
  <c r="H1847" i="1" s="1"/>
  <c r="F1848" i="1"/>
  <c r="H1848" i="1" s="1"/>
  <c r="F1849" i="1"/>
  <c r="H1849" i="1" s="1"/>
  <c r="F1850" i="1"/>
  <c r="H1850" i="1" s="1"/>
  <c r="F1851" i="1"/>
  <c r="H1851" i="1" s="1"/>
  <c r="F1852" i="1"/>
  <c r="H1852" i="1" s="1"/>
  <c r="F1853" i="1"/>
  <c r="H1853" i="1" s="1"/>
  <c r="F1854" i="1"/>
  <c r="H1854" i="1" s="1"/>
  <c r="F1855" i="1"/>
  <c r="H1855" i="1" s="1"/>
  <c r="F1856" i="1"/>
  <c r="H1856" i="1" s="1"/>
  <c r="F1857" i="1"/>
  <c r="H1857" i="1" s="1"/>
  <c r="F1858" i="1"/>
  <c r="H1858" i="1" s="1"/>
  <c r="F1859" i="1"/>
  <c r="H1859" i="1" s="1"/>
  <c r="F1860" i="1"/>
  <c r="H1860" i="1" s="1"/>
  <c r="F1861" i="1"/>
  <c r="H1861" i="1" s="1"/>
  <c r="F1862" i="1"/>
  <c r="H1862" i="1" s="1"/>
  <c r="F1863" i="1"/>
  <c r="H1863" i="1" s="1"/>
  <c r="F1864" i="1"/>
  <c r="H1864" i="1" s="1"/>
  <c r="F1865" i="1"/>
  <c r="H1865" i="1" s="1"/>
  <c r="F1866" i="1"/>
  <c r="H1866" i="1" s="1"/>
  <c r="F1867" i="1"/>
  <c r="H1867" i="1" s="1"/>
  <c r="F1868" i="1"/>
  <c r="H1868" i="1" s="1"/>
  <c r="F1869" i="1"/>
  <c r="F1870" i="1"/>
  <c r="H1870" i="1" s="1"/>
  <c r="F1871" i="1"/>
  <c r="H1871" i="1" s="1"/>
  <c r="F1872" i="1"/>
  <c r="H1872" i="1" s="1"/>
  <c r="F1873" i="1"/>
  <c r="H1873" i="1" s="1"/>
  <c r="F1874" i="1"/>
  <c r="H1874" i="1" s="1"/>
  <c r="F1875" i="1"/>
  <c r="H1875" i="1" s="1"/>
  <c r="F1876" i="1"/>
  <c r="H1876" i="1" s="1"/>
  <c r="F1877" i="1"/>
  <c r="H1877" i="1" s="1"/>
  <c r="F1878" i="1"/>
  <c r="H1878" i="1" s="1"/>
  <c r="F1879" i="1"/>
  <c r="H1879" i="1" s="1"/>
  <c r="F1880" i="1"/>
  <c r="H1880" i="1" s="1"/>
  <c r="F1881" i="1"/>
  <c r="H1881" i="1" s="1"/>
  <c r="F1882" i="1"/>
  <c r="H1882" i="1" s="1"/>
  <c r="F1883" i="1"/>
  <c r="H1883" i="1" s="1"/>
  <c r="F1884" i="1"/>
  <c r="H1884" i="1" s="1"/>
  <c r="F1885" i="1"/>
  <c r="H1885" i="1" s="1"/>
  <c r="F1886" i="1"/>
  <c r="H1886" i="1" s="1"/>
  <c r="F1887" i="1"/>
  <c r="H1887" i="1" s="1"/>
  <c r="F1888" i="1"/>
  <c r="H1888" i="1" s="1"/>
  <c r="F1889" i="1"/>
  <c r="H1889" i="1" s="1"/>
  <c r="F1890" i="1"/>
  <c r="H1890" i="1" s="1"/>
  <c r="F1891" i="1"/>
  <c r="H1891" i="1" s="1"/>
  <c r="F1892" i="1"/>
  <c r="H1892" i="1" s="1"/>
  <c r="F1893" i="1"/>
  <c r="H1893" i="1" s="1"/>
  <c r="F1894" i="1"/>
  <c r="F1895" i="1"/>
  <c r="H1895" i="1" s="1"/>
  <c r="F1896" i="1"/>
  <c r="H1896" i="1" s="1"/>
  <c r="F1897" i="1"/>
  <c r="H1897" i="1" s="1"/>
  <c r="F1898" i="1"/>
  <c r="H1898" i="1" s="1"/>
  <c r="F1899" i="1"/>
  <c r="H1899" i="1" s="1"/>
  <c r="F1900" i="1"/>
  <c r="H1900" i="1" s="1"/>
  <c r="F1901" i="1"/>
  <c r="H1901" i="1" s="1"/>
  <c r="F1902" i="1"/>
  <c r="H1902" i="1" s="1"/>
  <c r="F1903" i="1"/>
  <c r="H1903" i="1" s="1"/>
  <c r="F1904" i="1"/>
  <c r="H1904" i="1" s="1"/>
  <c r="F1905" i="1"/>
  <c r="H1905" i="1" s="1"/>
  <c r="F1906" i="1"/>
  <c r="H1906" i="1" s="1"/>
  <c r="F1907" i="1"/>
  <c r="H1907" i="1" s="1"/>
  <c r="F1908" i="1"/>
  <c r="H1908" i="1" s="1"/>
  <c r="F1909" i="1"/>
  <c r="H1909" i="1" s="1"/>
  <c r="F1910" i="1"/>
  <c r="H1910" i="1" s="1"/>
  <c r="F1911" i="1"/>
  <c r="F1912" i="1"/>
  <c r="H1912" i="1" s="1"/>
  <c r="F1913" i="1"/>
  <c r="H1913" i="1" s="1"/>
  <c r="F1914" i="1"/>
  <c r="H1914" i="1" s="1"/>
  <c r="F1915" i="1"/>
  <c r="H1915" i="1" s="1"/>
  <c r="F1916" i="1"/>
  <c r="H1916" i="1" s="1"/>
  <c r="F1917" i="1"/>
  <c r="H1917" i="1" s="1"/>
  <c r="F1918" i="1"/>
  <c r="H1918" i="1" s="1"/>
  <c r="F1919" i="1"/>
  <c r="H1919" i="1" s="1"/>
  <c r="F1920" i="1"/>
  <c r="H1920" i="1" s="1"/>
  <c r="F1921" i="1"/>
  <c r="H1921" i="1" s="1"/>
  <c r="F1922" i="1"/>
  <c r="H1922" i="1" s="1"/>
  <c r="F1923" i="1"/>
  <c r="H1923" i="1" s="1"/>
  <c r="F1924" i="1"/>
  <c r="H1924" i="1" s="1"/>
  <c r="F1925" i="1"/>
  <c r="H1925" i="1" s="1"/>
  <c r="F1926" i="1"/>
  <c r="H1926" i="1" s="1"/>
  <c r="F1927" i="1"/>
  <c r="H1927" i="1" s="1"/>
  <c r="F1928" i="1"/>
  <c r="H1928" i="1" s="1"/>
  <c r="F1929" i="1"/>
  <c r="F1930" i="1"/>
  <c r="F1931" i="1"/>
  <c r="H1931" i="1" s="1"/>
  <c r="F1932" i="1"/>
  <c r="H1932" i="1" s="1"/>
  <c r="F1933" i="1"/>
  <c r="H1933" i="1" s="1"/>
  <c r="F1934" i="1"/>
  <c r="H1934" i="1" s="1"/>
  <c r="F1935" i="1"/>
  <c r="H1935" i="1" s="1"/>
  <c r="F1936" i="1"/>
  <c r="H1936" i="1" s="1"/>
  <c r="F1937" i="1"/>
  <c r="H1937" i="1" s="1"/>
  <c r="F1938" i="1"/>
  <c r="H1938" i="1" s="1"/>
  <c r="F1939" i="1"/>
  <c r="H1939" i="1" s="1"/>
  <c r="F1940" i="1"/>
  <c r="H1940" i="1" s="1"/>
  <c r="F1941" i="1"/>
  <c r="H1941" i="1" s="1"/>
  <c r="F1942" i="1"/>
  <c r="H1942" i="1" s="1"/>
  <c r="F1943" i="1"/>
  <c r="H1943" i="1" s="1"/>
  <c r="F1944" i="1"/>
  <c r="H1944" i="1" s="1"/>
  <c r="F1945" i="1"/>
  <c r="H1945" i="1" s="1"/>
  <c r="F1946" i="1"/>
  <c r="H1946" i="1" s="1"/>
  <c r="F1947" i="1"/>
  <c r="H1947" i="1" s="1"/>
  <c r="F1948" i="1"/>
  <c r="H1948" i="1" s="1"/>
  <c r="F1949" i="1"/>
  <c r="H1949" i="1" s="1"/>
  <c r="F1950" i="1"/>
  <c r="H1950" i="1" s="1"/>
  <c r="F1951" i="1"/>
  <c r="H1951" i="1" s="1"/>
  <c r="F1952" i="1"/>
  <c r="H1952" i="1" s="1"/>
  <c r="F1953" i="1"/>
  <c r="F1954" i="1"/>
  <c r="H1954" i="1" s="1"/>
  <c r="F1955" i="1"/>
  <c r="H1955" i="1" s="1"/>
  <c r="F1956" i="1"/>
  <c r="H1956" i="1" s="1"/>
  <c r="F1957" i="1"/>
  <c r="H1957" i="1" s="1"/>
  <c r="F1958" i="1"/>
  <c r="H1958" i="1" s="1"/>
  <c r="F1959" i="1"/>
  <c r="H1959" i="1" s="1"/>
  <c r="F1960" i="1"/>
  <c r="H1960" i="1" s="1"/>
  <c r="F1961" i="1"/>
  <c r="H1961" i="1" s="1"/>
  <c r="F1962" i="1"/>
  <c r="H1962" i="1" s="1"/>
  <c r="F1963" i="1"/>
  <c r="H1963" i="1" s="1"/>
  <c r="F1964" i="1"/>
  <c r="H1964" i="1" s="1"/>
  <c r="F1965" i="1"/>
  <c r="H1965" i="1" s="1"/>
  <c r="F1966" i="1"/>
  <c r="H1966" i="1" s="1"/>
  <c r="F1967" i="1"/>
  <c r="H1967" i="1" s="1"/>
  <c r="F1968" i="1"/>
  <c r="H1968" i="1" s="1"/>
  <c r="F1969" i="1"/>
  <c r="H1969" i="1" s="1"/>
  <c r="F1970" i="1"/>
  <c r="H1970" i="1" s="1"/>
  <c r="F1971" i="1"/>
  <c r="H1971" i="1" s="1"/>
  <c r="F1972" i="1"/>
  <c r="H1972" i="1" s="1"/>
  <c r="F1973" i="1"/>
  <c r="H1973" i="1" s="1"/>
  <c r="F1974" i="1"/>
  <c r="H1974" i="1" s="1"/>
  <c r="F1975" i="1"/>
  <c r="H1975" i="1" s="1"/>
  <c r="F1976" i="1"/>
  <c r="H1976" i="1" s="1"/>
  <c r="F1977" i="1"/>
  <c r="H1977" i="1" s="1"/>
  <c r="F1978" i="1"/>
  <c r="H1978" i="1" s="1"/>
  <c r="F1979" i="1"/>
  <c r="H1979" i="1" s="1"/>
  <c r="F1980" i="1"/>
  <c r="H1980" i="1" s="1"/>
  <c r="F1981" i="1"/>
  <c r="H1981" i="1" s="1"/>
  <c r="F1982" i="1"/>
  <c r="H1982" i="1" s="1"/>
  <c r="F1983" i="1"/>
  <c r="H1983" i="1" s="1"/>
  <c r="F1984" i="1"/>
  <c r="H1984" i="1" s="1"/>
  <c r="F1985" i="1"/>
  <c r="H1985" i="1" s="1"/>
  <c r="F1986" i="1"/>
  <c r="H1986" i="1" s="1"/>
  <c r="F1987" i="1"/>
  <c r="H1987" i="1" s="1"/>
  <c r="F1988" i="1"/>
  <c r="H1988" i="1" s="1"/>
  <c r="F1989" i="1"/>
  <c r="H1989" i="1" s="1"/>
  <c r="F1990" i="1"/>
  <c r="H1990" i="1" s="1"/>
  <c r="F1991" i="1"/>
  <c r="H1991" i="1" s="1"/>
  <c r="F1992" i="1"/>
  <c r="H1992" i="1" s="1"/>
  <c r="F1993" i="1"/>
  <c r="H1993" i="1" s="1"/>
  <c r="F1994" i="1"/>
  <c r="H1994" i="1" s="1"/>
  <c r="F1995" i="1"/>
  <c r="H1995" i="1" s="1"/>
  <c r="F1996" i="1"/>
  <c r="H1996" i="1" s="1"/>
  <c r="F1997" i="1"/>
  <c r="H1997" i="1" s="1"/>
  <c r="F1998" i="1"/>
  <c r="H1998" i="1" s="1"/>
  <c r="F1999" i="1"/>
  <c r="H1999" i="1" s="1"/>
  <c r="F2000" i="1"/>
  <c r="H2000" i="1" s="1"/>
  <c r="F2001" i="1"/>
  <c r="H2001" i="1" s="1"/>
  <c r="F2002" i="1"/>
  <c r="H2002" i="1" s="1"/>
  <c r="F2003" i="1"/>
  <c r="H2003" i="1" s="1"/>
  <c r="F2004" i="1"/>
  <c r="H2004" i="1" s="1"/>
  <c r="F2005" i="1"/>
  <c r="H2005" i="1" s="1"/>
  <c r="F2006" i="1"/>
  <c r="H2006" i="1" s="1"/>
  <c r="F2007" i="1"/>
  <c r="H2007" i="1" s="1"/>
  <c r="F2008" i="1"/>
  <c r="H2008" i="1" s="1"/>
  <c r="F2009" i="1"/>
  <c r="H2009" i="1" s="1"/>
  <c r="F2010" i="1"/>
  <c r="H2010" i="1" s="1"/>
  <c r="F2011" i="1"/>
  <c r="H2011" i="1" s="1"/>
  <c r="F2012" i="1"/>
  <c r="H2012" i="1" s="1"/>
  <c r="F2013" i="1"/>
  <c r="F2014" i="1"/>
  <c r="H2014" i="1" s="1"/>
  <c r="F2015" i="1"/>
  <c r="H2015" i="1" s="1"/>
  <c r="F2016" i="1"/>
  <c r="H2016" i="1" s="1"/>
  <c r="F2017" i="1"/>
  <c r="H2017" i="1" s="1"/>
  <c r="F2018" i="1"/>
  <c r="H2018" i="1" s="1"/>
  <c r="F2019" i="1"/>
  <c r="H2019" i="1" s="1"/>
  <c r="F2020" i="1"/>
  <c r="H2020" i="1" s="1"/>
  <c r="F2021" i="1"/>
  <c r="H2021" i="1" s="1"/>
  <c r="F2022" i="1"/>
  <c r="H2022" i="1" s="1"/>
  <c r="F2023" i="1"/>
  <c r="H2023" i="1" s="1"/>
  <c r="F2024" i="1"/>
  <c r="H2024" i="1" s="1"/>
  <c r="F2025" i="1"/>
  <c r="H2025" i="1" s="1"/>
  <c r="F2026" i="1"/>
  <c r="H2026" i="1" s="1"/>
  <c r="F2027" i="1"/>
  <c r="H2027" i="1" s="1"/>
  <c r="F2028" i="1"/>
  <c r="H2028" i="1" s="1"/>
  <c r="F2029" i="1"/>
  <c r="H2029" i="1" s="1"/>
  <c r="F2030" i="1"/>
  <c r="H2030" i="1" s="1"/>
  <c r="F2031" i="1"/>
  <c r="H2031" i="1" s="1"/>
  <c r="F2032" i="1"/>
  <c r="H2032" i="1" s="1"/>
  <c r="F2033" i="1"/>
  <c r="H2033" i="1" s="1"/>
  <c r="F2034" i="1"/>
  <c r="H2034" i="1" s="1"/>
  <c r="F2035" i="1"/>
  <c r="H2035" i="1" s="1"/>
  <c r="F2036" i="1"/>
  <c r="H2036" i="1" s="1"/>
  <c r="F2037" i="1"/>
  <c r="H2037" i="1" s="1"/>
  <c r="F2038" i="1"/>
  <c r="H2038" i="1" s="1"/>
  <c r="F2039" i="1"/>
  <c r="H2039" i="1" s="1"/>
  <c r="F2040" i="1"/>
  <c r="H2040" i="1" s="1"/>
  <c r="F2041" i="1"/>
  <c r="H2041" i="1" s="1"/>
  <c r="F2042" i="1"/>
  <c r="H2042" i="1" s="1"/>
  <c r="F2043" i="1"/>
  <c r="H2043" i="1" s="1"/>
  <c r="F2044" i="1"/>
  <c r="H2044" i="1" s="1"/>
  <c r="F2045" i="1"/>
  <c r="H2045" i="1" s="1"/>
  <c r="F2046" i="1"/>
  <c r="H2046" i="1" s="1"/>
  <c r="F2047" i="1"/>
  <c r="H2047" i="1" s="1"/>
  <c r="F2048" i="1"/>
  <c r="H2048" i="1" s="1"/>
  <c r="F2049" i="1"/>
  <c r="H2049" i="1" s="1"/>
  <c r="F2050" i="1"/>
  <c r="H2050" i="1" s="1"/>
  <c r="F2051" i="1"/>
  <c r="H2051" i="1" s="1"/>
  <c r="F2052" i="1"/>
  <c r="H2052" i="1" s="1"/>
  <c r="F2053" i="1"/>
  <c r="H2053" i="1" s="1"/>
  <c r="F2054" i="1"/>
  <c r="F2055" i="1"/>
  <c r="H2055" i="1" s="1"/>
  <c r="F2056" i="1"/>
  <c r="H2056" i="1" s="1"/>
  <c r="F2057" i="1"/>
  <c r="H2057" i="1" s="1"/>
  <c r="F2058" i="1"/>
  <c r="H2058" i="1" s="1"/>
  <c r="F2059" i="1"/>
  <c r="H2059" i="1" s="1"/>
  <c r="F2060" i="1"/>
  <c r="H2060" i="1" s="1"/>
  <c r="F2061" i="1"/>
  <c r="H2061" i="1" s="1"/>
  <c r="F2062" i="1"/>
  <c r="H2062" i="1" s="1"/>
  <c r="F2063" i="1"/>
  <c r="H2063" i="1" s="1"/>
  <c r="F2064" i="1"/>
  <c r="H2064" i="1" s="1"/>
  <c r="F2065" i="1"/>
  <c r="H2065" i="1" s="1"/>
  <c r="F2066" i="1"/>
  <c r="H2066" i="1" s="1"/>
  <c r="F2067" i="1"/>
  <c r="H2067" i="1" s="1"/>
  <c r="F2068" i="1"/>
  <c r="H2068" i="1" s="1"/>
  <c r="F2069" i="1"/>
  <c r="H2069" i="1" s="1"/>
  <c r="F2070" i="1"/>
  <c r="H2070" i="1" s="1"/>
  <c r="F2071" i="1"/>
  <c r="H2071" i="1" s="1"/>
  <c r="F2072" i="1"/>
  <c r="H2072" i="1" s="1"/>
  <c r="F2073" i="1"/>
  <c r="H2073" i="1" s="1"/>
  <c r="F2074" i="1"/>
  <c r="F2075" i="1"/>
  <c r="H2075" i="1" s="1"/>
  <c r="F2076" i="1"/>
  <c r="H2076" i="1" s="1"/>
  <c r="F2077" i="1"/>
  <c r="H2077" i="1" s="1"/>
  <c r="F2078" i="1"/>
  <c r="H2078" i="1" s="1"/>
  <c r="F2079" i="1"/>
  <c r="H2079" i="1" s="1"/>
  <c r="F2080" i="1"/>
  <c r="H2080" i="1" s="1"/>
  <c r="F2081" i="1"/>
  <c r="H2081" i="1" s="1"/>
  <c r="F2082" i="1"/>
  <c r="H2082" i="1" s="1"/>
  <c r="F2083" i="1"/>
  <c r="H2083" i="1" s="1"/>
  <c r="F2084" i="1"/>
  <c r="H2084" i="1" s="1"/>
  <c r="F2085" i="1"/>
  <c r="H2085" i="1" s="1"/>
  <c r="F2086" i="1"/>
  <c r="F2087" i="1"/>
  <c r="H2087" i="1" s="1"/>
  <c r="F2088" i="1"/>
  <c r="H2088" i="1" s="1"/>
  <c r="F2089" i="1"/>
  <c r="H2089" i="1" s="1"/>
  <c r="F2090" i="1"/>
  <c r="H2090" i="1" s="1"/>
  <c r="F2091" i="1"/>
  <c r="H2091" i="1" s="1"/>
  <c r="F2092" i="1"/>
  <c r="H2092" i="1" s="1"/>
  <c r="F2093" i="1"/>
  <c r="H2093" i="1" s="1"/>
  <c r="F2094" i="1"/>
  <c r="H2094" i="1" s="1"/>
  <c r="F2095" i="1"/>
  <c r="H2095" i="1" s="1"/>
  <c r="F2096" i="1"/>
  <c r="H2096" i="1" s="1"/>
  <c r="F2097" i="1"/>
  <c r="H2097" i="1" s="1"/>
  <c r="F2098" i="1"/>
  <c r="H2098" i="1" s="1"/>
  <c r="F2099" i="1"/>
  <c r="H2099" i="1" s="1"/>
  <c r="F2100" i="1"/>
  <c r="H2100" i="1" s="1"/>
  <c r="F2101" i="1"/>
  <c r="H2101" i="1" s="1"/>
  <c r="F2102" i="1"/>
  <c r="H2102" i="1" s="1"/>
  <c r="F2103" i="1"/>
  <c r="H2103" i="1" s="1"/>
  <c r="F2104" i="1"/>
  <c r="H2104" i="1" s="1"/>
  <c r="F2105" i="1"/>
  <c r="H2105" i="1" s="1"/>
  <c r="F2106" i="1"/>
  <c r="H2106" i="1" s="1"/>
  <c r="F2107" i="1"/>
  <c r="H2107" i="1" s="1"/>
  <c r="F2108" i="1"/>
  <c r="H2108" i="1" s="1"/>
  <c r="F2109" i="1"/>
  <c r="H2109" i="1" s="1"/>
  <c r="F2110" i="1"/>
  <c r="H2110" i="1" s="1"/>
  <c r="F2111" i="1"/>
  <c r="F2112" i="1"/>
  <c r="H2112" i="1" s="1"/>
  <c r="F2113" i="1"/>
  <c r="H2113" i="1" s="1"/>
  <c r="F2114" i="1"/>
  <c r="H2114" i="1" s="1"/>
  <c r="F2115" i="1"/>
  <c r="H2115" i="1" s="1"/>
  <c r="F2116" i="1"/>
  <c r="H2116" i="1" s="1"/>
  <c r="F2117" i="1"/>
  <c r="H2117" i="1" s="1"/>
  <c r="F2118" i="1"/>
  <c r="H2118" i="1" s="1"/>
  <c r="F2119" i="1"/>
  <c r="H2119" i="1" s="1"/>
  <c r="F2120" i="1"/>
  <c r="H2120" i="1" s="1"/>
  <c r="F2121" i="1"/>
  <c r="H2121" i="1" s="1"/>
  <c r="F2122" i="1"/>
  <c r="H2122" i="1" s="1"/>
  <c r="F2123" i="1"/>
  <c r="H2123" i="1" s="1"/>
  <c r="F2124" i="1"/>
  <c r="H2124" i="1" s="1"/>
  <c r="F2125" i="1"/>
  <c r="H2125" i="1" s="1"/>
  <c r="F2126" i="1"/>
  <c r="H2126" i="1" s="1"/>
  <c r="F2127" i="1"/>
  <c r="H2127" i="1" s="1"/>
  <c r="F2128" i="1"/>
  <c r="H2128" i="1" s="1"/>
  <c r="F2129" i="1"/>
  <c r="H2129" i="1" s="1"/>
  <c r="F2130" i="1"/>
  <c r="H2130" i="1" s="1"/>
  <c r="F2131" i="1"/>
  <c r="H2131" i="1" s="1"/>
  <c r="F2132" i="1"/>
  <c r="H2132" i="1" s="1"/>
  <c r="F2133" i="1"/>
  <c r="F2134" i="1"/>
  <c r="H2134" i="1" s="1"/>
  <c r="F2135" i="1"/>
  <c r="H2135" i="1" s="1"/>
  <c r="F2136" i="1"/>
  <c r="H2136" i="1" s="1"/>
  <c r="F2137" i="1"/>
  <c r="H2137" i="1" s="1"/>
  <c r="F2138" i="1"/>
  <c r="H2138" i="1" s="1"/>
  <c r="F2139" i="1"/>
  <c r="H2139" i="1" s="1"/>
  <c r="F2140" i="1"/>
  <c r="H2140" i="1" s="1"/>
  <c r="F2141" i="1"/>
  <c r="H2141" i="1" s="1"/>
  <c r="F2142" i="1"/>
  <c r="H2142" i="1" s="1"/>
  <c r="F2143" i="1"/>
  <c r="H2143" i="1" s="1"/>
  <c r="F2144" i="1"/>
  <c r="H2144" i="1" s="1"/>
  <c r="F2145" i="1"/>
  <c r="H2145" i="1" s="1"/>
  <c r="F2146" i="1"/>
  <c r="H2146" i="1" s="1"/>
  <c r="F2147" i="1"/>
  <c r="H2147" i="1" s="1"/>
  <c r="F2148" i="1"/>
  <c r="H2148" i="1" s="1"/>
  <c r="F2149" i="1"/>
  <c r="H2149" i="1" s="1"/>
  <c r="F2150" i="1"/>
  <c r="H2150" i="1" s="1"/>
  <c r="F2151" i="1"/>
  <c r="H2151" i="1" s="1"/>
  <c r="F2152" i="1"/>
  <c r="H2152" i="1" s="1"/>
  <c r="F2153" i="1"/>
  <c r="H2153" i="1" s="1"/>
  <c r="F2154" i="1"/>
  <c r="H2154" i="1" s="1"/>
  <c r="F2155" i="1"/>
  <c r="H2155" i="1" s="1"/>
  <c r="F2156" i="1"/>
  <c r="H2156" i="1" s="1"/>
  <c r="F2157" i="1"/>
  <c r="H2157" i="1" s="1"/>
  <c r="F2158" i="1"/>
  <c r="H2158" i="1" s="1"/>
  <c r="F2159" i="1"/>
  <c r="H2159" i="1" s="1"/>
  <c r="F2160" i="1"/>
  <c r="H2160" i="1" s="1"/>
  <c r="F2161" i="1"/>
  <c r="H2161" i="1" s="1"/>
  <c r="F2162" i="1"/>
  <c r="H2162" i="1" s="1"/>
  <c r="F2163" i="1"/>
  <c r="H2163" i="1" s="1"/>
  <c r="F2164" i="1"/>
  <c r="H2164" i="1" s="1"/>
  <c r="F2165" i="1"/>
  <c r="H2165" i="1" s="1"/>
  <c r="F2166" i="1"/>
  <c r="H2166" i="1" s="1"/>
  <c r="F2167" i="1"/>
  <c r="H2167" i="1" s="1"/>
  <c r="F2168" i="1"/>
  <c r="F2169" i="1"/>
  <c r="H2169" i="1" s="1"/>
  <c r="F2170" i="1"/>
  <c r="H2170" i="1" s="1"/>
  <c r="F2171" i="1"/>
  <c r="H2171" i="1" s="1"/>
  <c r="F2172" i="1"/>
  <c r="H2172" i="1" s="1"/>
  <c r="F2173" i="1"/>
  <c r="H2173" i="1" s="1"/>
  <c r="F2174" i="1"/>
  <c r="H2174" i="1" s="1"/>
  <c r="F2175" i="1"/>
  <c r="H2175" i="1" s="1"/>
  <c r="F2176" i="1"/>
  <c r="H2176" i="1" s="1"/>
  <c r="F2177" i="1"/>
  <c r="H2177" i="1" s="1"/>
  <c r="F2178" i="1"/>
  <c r="H2178" i="1" s="1"/>
  <c r="F2179" i="1"/>
  <c r="H2179" i="1" s="1"/>
  <c r="F2180" i="1"/>
  <c r="H2180" i="1" s="1"/>
  <c r="F2181" i="1"/>
  <c r="H2181" i="1" s="1"/>
  <c r="F2182" i="1"/>
  <c r="H2182" i="1" s="1"/>
  <c r="F2183" i="1"/>
  <c r="H2183" i="1" s="1"/>
  <c r="F2184" i="1"/>
  <c r="H2184" i="1" s="1"/>
  <c r="F2185" i="1"/>
  <c r="H2185" i="1" s="1"/>
  <c r="F2186" i="1"/>
  <c r="H2186" i="1" s="1"/>
  <c r="F2187" i="1"/>
  <c r="H2187" i="1" s="1"/>
  <c r="F2188" i="1"/>
  <c r="H2188" i="1" s="1"/>
  <c r="F2189" i="1"/>
  <c r="H2189" i="1" s="1"/>
  <c r="F2190" i="1"/>
  <c r="H2190" i="1" s="1"/>
  <c r="F2191" i="1"/>
  <c r="H2191" i="1" s="1"/>
  <c r="F2192" i="1"/>
  <c r="H2192" i="1" s="1"/>
  <c r="F2193" i="1"/>
  <c r="H2193" i="1" s="1"/>
  <c r="F2194" i="1"/>
  <c r="H2194" i="1" s="1"/>
  <c r="F2195" i="1"/>
  <c r="H2195" i="1" s="1"/>
  <c r="F2196" i="1"/>
  <c r="H2196" i="1" s="1"/>
  <c r="F2197" i="1"/>
  <c r="H2197" i="1" s="1"/>
  <c r="F2198" i="1"/>
  <c r="H2198" i="1" s="1"/>
  <c r="F2199" i="1"/>
  <c r="H2199" i="1" s="1"/>
  <c r="F2200" i="1"/>
  <c r="H2200" i="1" s="1"/>
  <c r="F2201" i="1"/>
  <c r="H2201" i="1" s="1"/>
  <c r="F2202" i="1"/>
  <c r="F2203" i="1"/>
  <c r="H2203" i="1" s="1"/>
  <c r="F2204" i="1"/>
  <c r="H2204" i="1" s="1"/>
  <c r="F2205" i="1"/>
  <c r="H2205" i="1" s="1"/>
  <c r="F2206" i="1"/>
  <c r="H2206" i="1" s="1"/>
  <c r="F2207" i="1"/>
  <c r="H2207" i="1" s="1"/>
  <c r="F2208" i="1"/>
  <c r="H2208" i="1" s="1"/>
  <c r="F2209" i="1"/>
  <c r="H2209" i="1" s="1"/>
  <c r="F2210" i="1"/>
  <c r="H2210" i="1" s="1"/>
  <c r="F2211" i="1"/>
  <c r="H2211" i="1" s="1"/>
  <c r="F2212" i="1"/>
  <c r="H2212" i="1" s="1"/>
  <c r="F2213" i="1"/>
  <c r="H2213" i="1" s="1"/>
  <c r="F2214" i="1"/>
  <c r="H2214" i="1" s="1"/>
  <c r="F2215" i="1"/>
  <c r="H2215" i="1" s="1"/>
  <c r="F2216" i="1"/>
  <c r="H2216" i="1" s="1"/>
  <c r="F2217" i="1"/>
  <c r="H2217" i="1" s="1"/>
  <c r="F2218" i="1"/>
  <c r="H2218" i="1" s="1"/>
  <c r="F2219" i="1"/>
  <c r="H2219" i="1" s="1"/>
  <c r="F2220" i="1"/>
  <c r="H2220" i="1" s="1"/>
  <c r="F2221" i="1"/>
  <c r="H2221" i="1" s="1"/>
  <c r="F2222" i="1"/>
  <c r="H2222" i="1" s="1"/>
  <c r="F2223" i="1"/>
  <c r="H2223" i="1" s="1"/>
  <c r="F2224" i="1"/>
  <c r="H2224" i="1" s="1"/>
  <c r="F2225" i="1"/>
  <c r="H2225" i="1" s="1"/>
  <c r="F2226" i="1"/>
  <c r="H2226" i="1" s="1"/>
  <c r="F2227" i="1"/>
  <c r="H2227" i="1" s="1"/>
  <c r="F2228" i="1"/>
  <c r="H2228" i="1" s="1"/>
  <c r="F2229" i="1"/>
  <c r="H2229" i="1" s="1"/>
  <c r="F2230" i="1"/>
  <c r="H2230" i="1" s="1"/>
  <c r="F2231" i="1"/>
  <c r="H2231" i="1" s="1"/>
  <c r="F2232" i="1"/>
  <c r="F2233" i="1"/>
  <c r="H2233" i="1" s="1"/>
  <c r="F2234" i="1"/>
  <c r="H2234" i="1" s="1"/>
  <c r="F2235" i="1"/>
  <c r="H2235" i="1" s="1"/>
  <c r="F2236" i="1"/>
  <c r="H2236" i="1" s="1"/>
  <c r="F2237" i="1"/>
  <c r="H2237" i="1" s="1"/>
  <c r="F2238" i="1"/>
  <c r="H2238" i="1" s="1"/>
  <c r="F2239" i="1"/>
  <c r="H2239" i="1" s="1"/>
  <c r="F2240" i="1"/>
  <c r="H2240" i="1" s="1"/>
  <c r="F2241" i="1"/>
  <c r="H2241" i="1" s="1"/>
  <c r="F2242" i="1"/>
  <c r="H2242" i="1" s="1"/>
  <c r="F2243" i="1"/>
  <c r="H2243" i="1" s="1"/>
  <c r="F2244" i="1"/>
  <c r="H2244" i="1" s="1"/>
  <c r="F2245" i="1"/>
  <c r="H2245" i="1" s="1"/>
  <c r="F2246" i="1"/>
  <c r="H2246" i="1" s="1"/>
  <c r="F2247" i="1"/>
  <c r="H2247" i="1" s="1"/>
  <c r="F2248" i="1"/>
  <c r="H2248" i="1" s="1"/>
  <c r="F2249" i="1"/>
  <c r="H2249" i="1" s="1"/>
  <c r="F2250" i="1"/>
  <c r="H2250" i="1" s="1"/>
  <c r="F2251" i="1"/>
  <c r="H2251" i="1" s="1"/>
  <c r="F2252" i="1"/>
  <c r="H2252" i="1" s="1"/>
  <c r="F2253" i="1"/>
  <c r="H2253" i="1" s="1"/>
  <c r="F2254" i="1"/>
  <c r="H2254" i="1" s="1"/>
  <c r="F2255" i="1"/>
  <c r="H2255" i="1" s="1"/>
  <c r="F2256" i="1"/>
  <c r="H2256" i="1" s="1"/>
  <c r="F2257" i="1"/>
  <c r="H2257" i="1" s="1"/>
  <c r="F2258" i="1"/>
  <c r="H2258" i="1" s="1"/>
  <c r="F2259" i="1"/>
  <c r="H2259" i="1" s="1"/>
  <c r="F2260" i="1"/>
  <c r="H2260" i="1" s="1"/>
  <c r="F2261" i="1"/>
  <c r="H2261" i="1" s="1"/>
  <c r="F2262" i="1"/>
  <c r="H2262" i="1" s="1"/>
  <c r="F2263" i="1"/>
  <c r="H2263" i="1" s="1"/>
  <c r="F2264" i="1"/>
  <c r="H2264" i="1" s="1"/>
  <c r="F2265" i="1"/>
  <c r="H2265" i="1" s="1"/>
  <c r="F2266" i="1"/>
  <c r="H2266" i="1" s="1"/>
  <c r="F2267" i="1"/>
  <c r="H2267" i="1" s="1"/>
  <c r="F2268" i="1"/>
  <c r="H2268" i="1" s="1"/>
  <c r="F2269" i="1"/>
  <c r="H2269" i="1" s="1"/>
  <c r="F2270" i="1"/>
  <c r="H2270" i="1" s="1"/>
  <c r="F2271" i="1"/>
  <c r="H2271" i="1" s="1"/>
  <c r="F2272" i="1"/>
  <c r="H2272" i="1" s="1"/>
  <c r="F2273" i="1"/>
  <c r="H2273" i="1" s="1"/>
  <c r="F2274" i="1"/>
  <c r="H2274" i="1" s="1"/>
  <c r="F2275" i="1"/>
  <c r="H2275" i="1" s="1"/>
  <c r="F2276" i="1"/>
  <c r="H2276" i="1" s="1"/>
  <c r="F2277" i="1"/>
  <c r="H2277" i="1" s="1"/>
  <c r="F2278" i="1"/>
  <c r="H2278" i="1" s="1"/>
  <c r="F2279" i="1"/>
  <c r="H2279" i="1" s="1"/>
  <c r="F2280" i="1"/>
  <c r="H2280" i="1" s="1"/>
  <c r="F2281" i="1"/>
  <c r="H2281" i="1" s="1"/>
  <c r="F2282" i="1"/>
  <c r="H2282" i="1" s="1"/>
  <c r="F2283" i="1"/>
  <c r="H2283" i="1" s="1"/>
  <c r="F2284" i="1"/>
  <c r="H2284" i="1" s="1"/>
  <c r="F2285" i="1"/>
  <c r="H2285" i="1" s="1"/>
  <c r="F2286" i="1"/>
  <c r="H2286" i="1" s="1"/>
  <c r="F2287" i="1"/>
  <c r="H2287" i="1" s="1"/>
  <c r="F2288" i="1"/>
  <c r="H2288" i="1" s="1"/>
  <c r="F2289" i="1"/>
  <c r="H2289" i="1" s="1"/>
  <c r="F2290" i="1"/>
  <c r="H2290" i="1" s="1"/>
  <c r="F2291" i="1"/>
  <c r="H2291" i="1" s="1"/>
  <c r="F2292" i="1"/>
  <c r="H2292" i="1" s="1"/>
  <c r="F2293" i="1"/>
  <c r="H2293" i="1" s="1"/>
  <c r="F2294" i="1"/>
  <c r="H2294" i="1" s="1"/>
  <c r="F2295" i="1"/>
  <c r="H2295" i="1" s="1"/>
  <c r="F2296" i="1"/>
  <c r="H2296" i="1" s="1"/>
  <c r="F2297" i="1"/>
  <c r="H2297" i="1" s="1"/>
  <c r="F2298" i="1"/>
  <c r="H2298" i="1" s="1"/>
  <c r="F2299" i="1"/>
  <c r="H2299" i="1" s="1"/>
  <c r="F2300" i="1"/>
  <c r="H2300" i="1" s="1"/>
  <c r="F2301" i="1"/>
  <c r="H2301" i="1" s="1"/>
  <c r="F2302" i="1"/>
  <c r="H2302" i="1" s="1"/>
  <c r="F2303" i="1"/>
  <c r="H2303" i="1" s="1"/>
  <c r="F2304" i="1"/>
  <c r="H2304" i="1" s="1"/>
  <c r="F2305" i="1"/>
  <c r="H2305" i="1" s="1"/>
  <c r="F2306" i="1"/>
  <c r="H2306" i="1" s="1"/>
  <c r="F2307" i="1"/>
  <c r="H2307" i="1" s="1"/>
  <c r="F2308" i="1"/>
  <c r="H2308" i="1" s="1"/>
  <c r="F2309" i="1"/>
  <c r="H2309" i="1" s="1"/>
  <c r="F2310" i="1"/>
  <c r="H2310" i="1" s="1"/>
  <c r="F2311" i="1"/>
  <c r="H2311" i="1" s="1"/>
  <c r="F2312" i="1"/>
  <c r="H2312" i="1" s="1"/>
  <c r="F2313" i="1"/>
  <c r="H2313" i="1" s="1"/>
  <c r="F2314" i="1"/>
  <c r="H2314" i="1" s="1"/>
  <c r="F2315" i="1"/>
  <c r="H2315" i="1" s="1"/>
  <c r="F2316" i="1"/>
  <c r="H2316" i="1" s="1"/>
  <c r="F2317" i="1"/>
  <c r="H2317" i="1" s="1"/>
  <c r="F2318" i="1"/>
  <c r="H2318" i="1" s="1"/>
  <c r="F2319" i="1"/>
  <c r="H2319" i="1" s="1"/>
  <c r="F2320" i="1"/>
  <c r="H2320" i="1" s="1"/>
  <c r="F2321" i="1"/>
  <c r="H2321" i="1" s="1"/>
  <c r="F2322" i="1"/>
  <c r="H2322" i="1" s="1"/>
  <c r="F2323" i="1"/>
  <c r="H2323" i="1" s="1"/>
  <c r="F2324" i="1"/>
  <c r="H2324" i="1" s="1"/>
  <c r="F2325" i="1"/>
  <c r="H2325" i="1" s="1"/>
  <c r="F2326" i="1"/>
  <c r="H2326" i="1" s="1"/>
  <c r="F2327" i="1"/>
  <c r="H2327" i="1" s="1"/>
  <c r="F2328" i="1"/>
  <c r="H2328" i="1" s="1"/>
  <c r="F2329" i="1"/>
  <c r="H2329" i="1" s="1"/>
  <c r="F2330" i="1"/>
  <c r="H2330" i="1" s="1"/>
  <c r="F2331" i="1"/>
  <c r="H2331" i="1" s="1"/>
  <c r="F2332" i="1"/>
  <c r="H2332" i="1" s="1"/>
  <c r="F2333" i="1"/>
  <c r="H2333" i="1" s="1"/>
  <c r="F2334" i="1"/>
  <c r="H2334" i="1" s="1"/>
  <c r="F2335" i="1"/>
  <c r="H2335" i="1" s="1"/>
  <c r="F2336" i="1"/>
  <c r="H2336" i="1" s="1"/>
  <c r="F2337" i="1"/>
  <c r="H2337" i="1" s="1"/>
  <c r="F2338" i="1"/>
  <c r="H2338" i="1" s="1"/>
  <c r="F2339" i="1"/>
  <c r="H2339" i="1" s="1"/>
  <c r="F2340" i="1"/>
  <c r="H2340" i="1" s="1"/>
  <c r="F2341" i="1"/>
  <c r="H2341" i="1" s="1"/>
  <c r="F2342" i="1"/>
  <c r="H2342" i="1" s="1"/>
  <c r="F2343" i="1"/>
  <c r="H2343" i="1" s="1"/>
  <c r="F2344" i="1"/>
  <c r="H2344" i="1" s="1"/>
  <c r="F2345" i="1"/>
  <c r="H2345" i="1" s="1"/>
  <c r="F2346" i="1"/>
  <c r="H2346" i="1" s="1"/>
  <c r="F2347" i="1"/>
  <c r="H2347" i="1" s="1"/>
  <c r="F2348" i="1"/>
  <c r="H2348" i="1" s="1"/>
  <c r="F2349" i="1"/>
  <c r="H2349" i="1" s="1"/>
  <c r="F2350" i="1"/>
  <c r="H2350" i="1" s="1"/>
  <c r="F2351" i="1"/>
  <c r="H2351" i="1" s="1"/>
  <c r="F2352" i="1"/>
  <c r="H2352" i="1" s="1"/>
  <c r="F2353" i="1"/>
  <c r="F2354" i="1"/>
  <c r="H2354" i="1" s="1"/>
  <c r="F2355" i="1"/>
  <c r="H2355" i="1" s="1"/>
  <c r="F2356" i="1"/>
  <c r="F2357" i="1"/>
  <c r="H2357" i="1" s="1"/>
  <c r="F2358" i="1"/>
  <c r="H2358" i="1" s="1"/>
  <c r="F2359" i="1"/>
  <c r="H2359" i="1" s="1"/>
  <c r="F2360" i="1"/>
  <c r="H2360" i="1" s="1"/>
  <c r="F2361" i="1"/>
  <c r="H2361" i="1" s="1"/>
  <c r="F2362" i="1"/>
  <c r="H2362" i="1" s="1"/>
  <c r="F2363" i="1"/>
  <c r="H2363" i="1" s="1"/>
  <c r="F2364" i="1"/>
  <c r="H2364" i="1" s="1"/>
  <c r="F2365" i="1"/>
  <c r="H2365" i="1" s="1"/>
  <c r="F2366" i="1"/>
  <c r="H2366" i="1" s="1"/>
  <c r="F2367" i="1"/>
  <c r="H2367" i="1" s="1"/>
  <c r="F2368" i="1"/>
  <c r="H2368" i="1" s="1"/>
  <c r="F2369" i="1"/>
  <c r="H2369" i="1" s="1"/>
  <c r="F2370" i="1"/>
  <c r="H2370" i="1" s="1"/>
  <c r="F2371" i="1"/>
  <c r="H2371" i="1" s="1"/>
  <c r="F2372" i="1"/>
  <c r="H2372" i="1" s="1"/>
  <c r="F2373" i="1"/>
  <c r="H2373" i="1" s="1"/>
  <c r="F2374" i="1"/>
  <c r="H2374" i="1" s="1"/>
  <c r="F2375" i="1"/>
  <c r="H2375" i="1" s="1"/>
  <c r="F2376" i="1"/>
  <c r="H2376" i="1" s="1"/>
  <c r="F2377" i="1"/>
  <c r="H2377" i="1" s="1"/>
  <c r="F2378" i="1"/>
  <c r="H2378" i="1" s="1"/>
  <c r="F2379" i="1"/>
  <c r="H2379" i="1" s="1"/>
  <c r="F2380" i="1"/>
  <c r="H2380" i="1" s="1"/>
  <c r="F2381" i="1"/>
  <c r="H2381" i="1" s="1"/>
  <c r="F2382" i="1"/>
  <c r="H2382" i="1" s="1"/>
  <c r="F2383" i="1"/>
  <c r="H2383" i="1" s="1"/>
  <c r="F2384" i="1"/>
  <c r="H2384" i="1" s="1"/>
  <c r="F2385" i="1"/>
  <c r="H2385" i="1" s="1"/>
  <c r="F2386" i="1"/>
  <c r="H2386" i="1" s="1"/>
  <c r="F2387" i="1"/>
  <c r="H2387" i="1" s="1"/>
  <c r="F2388" i="1"/>
  <c r="H2388" i="1" s="1"/>
  <c r="F2389" i="1"/>
  <c r="H2389" i="1" s="1"/>
  <c r="F2390" i="1"/>
  <c r="H2390" i="1" s="1"/>
  <c r="F2391" i="1"/>
  <c r="H2391" i="1" s="1"/>
  <c r="F2392" i="1"/>
  <c r="H2392" i="1" s="1"/>
  <c r="F2393" i="1"/>
  <c r="H2393" i="1" s="1"/>
  <c r="F2394" i="1"/>
  <c r="F2395" i="1"/>
  <c r="H2395" i="1" s="1"/>
  <c r="F2396" i="1"/>
  <c r="H2396" i="1" s="1"/>
  <c r="F2397" i="1"/>
  <c r="H2397" i="1" s="1"/>
  <c r="F2398" i="1"/>
  <c r="H2398" i="1" s="1"/>
  <c r="F2399" i="1"/>
  <c r="H2399" i="1" s="1"/>
  <c r="F2400" i="1"/>
  <c r="H2400" i="1" s="1"/>
  <c r="F2401" i="1"/>
  <c r="H2401" i="1" s="1"/>
  <c r="F2402" i="1"/>
  <c r="H2402" i="1" s="1"/>
  <c r="F2403" i="1"/>
  <c r="H2403" i="1" s="1"/>
  <c r="F2404" i="1"/>
  <c r="H2404" i="1" s="1"/>
  <c r="F2405" i="1"/>
  <c r="H2405" i="1" s="1"/>
  <c r="F2406" i="1"/>
  <c r="H2406" i="1" s="1"/>
  <c r="F2407" i="1"/>
  <c r="H2407" i="1" s="1"/>
  <c r="F2408" i="1"/>
  <c r="H2408" i="1" s="1"/>
  <c r="F2409" i="1"/>
  <c r="H2409" i="1" s="1"/>
  <c r="F2410" i="1"/>
  <c r="H2410" i="1" s="1"/>
  <c r="F2411" i="1"/>
  <c r="H2411" i="1" s="1"/>
  <c r="F2412" i="1"/>
  <c r="H2412" i="1" s="1"/>
  <c r="F2413" i="1"/>
  <c r="H2413" i="1" s="1"/>
  <c r="F2414" i="1"/>
  <c r="H2414" i="1" s="1"/>
  <c r="F2415" i="1"/>
  <c r="H2415" i="1" s="1"/>
  <c r="F2416" i="1"/>
  <c r="H2416" i="1" s="1"/>
  <c r="F2417" i="1"/>
  <c r="H2417" i="1" s="1"/>
  <c r="F2418" i="1"/>
  <c r="H2418" i="1" s="1"/>
  <c r="F2419" i="1"/>
  <c r="H2419" i="1" s="1"/>
  <c r="F2420" i="1"/>
  <c r="F2421" i="1"/>
  <c r="H2421" i="1" s="1"/>
  <c r="F2422" i="1"/>
  <c r="H2422" i="1" s="1"/>
  <c r="F2423" i="1"/>
  <c r="H2423" i="1" s="1"/>
  <c r="F2424" i="1"/>
  <c r="H2424" i="1" s="1"/>
  <c r="F2425" i="1"/>
  <c r="F2426" i="1"/>
  <c r="H2426" i="1" s="1"/>
  <c r="F2427" i="1"/>
  <c r="H2427" i="1" s="1"/>
  <c r="F2428" i="1"/>
  <c r="H2428" i="1" s="1"/>
  <c r="F2429" i="1"/>
  <c r="H2429" i="1" s="1"/>
  <c r="F2430" i="1"/>
  <c r="H2430" i="1" s="1"/>
  <c r="F2431" i="1"/>
  <c r="F2432" i="1"/>
  <c r="H2432" i="1" s="1"/>
  <c r="F2433" i="1"/>
  <c r="H2433" i="1" s="1"/>
  <c r="F2434" i="1"/>
  <c r="H2434" i="1" s="1"/>
  <c r="F2435" i="1"/>
  <c r="H2435" i="1" s="1"/>
  <c r="F2436" i="1"/>
  <c r="H2436" i="1" s="1"/>
  <c r="F2437" i="1"/>
  <c r="H2437" i="1" s="1"/>
  <c r="F2438" i="1"/>
  <c r="H2438" i="1" s="1"/>
  <c r="F2439" i="1"/>
  <c r="H2439" i="1" s="1"/>
  <c r="F2440" i="1"/>
  <c r="H2440" i="1" s="1"/>
  <c r="F2441" i="1"/>
  <c r="H2441" i="1" s="1"/>
  <c r="F2442" i="1"/>
  <c r="H2442" i="1" s="1"/>
  <c r="F2443" i="1"/>
  <c r="H2443" i="1" s="1"/>
  <c r="F2444" i="1"/>
  <c r="H2444" i="1" s="1"/>
  <c r="F2445" i="1"/>
  <c r="H2445" i="1" s="1"/>
  <c r="F2446" i="1"/>
  <c r="H2446" i="1" s="1"/>
  <c r="F2447" i="1"/>
  <c r="H2447" i="1" s="1"/>
  <c r="F2448" i="1"/>
  <c r="F2449" i="1"/>
  <c r="H2449" i="1" s="1"/>
  <c r="F2450" i="1"/>
  <c r="H2450" i="1" s="1"/>
  <c r="F2451" i="1"/>
  <c r="H2451" i="1" s="1"/>
  <c r="F2452" i="1"/>
  <c r="H2452" i="1" s="1"/>
  <c r="F2453" i="1"/>
  <c r="H2453" i="1" s="1"/>
  <c r="F2454" i="1"/>
  <c r="H2454" i="1" s="1"/>
  <c r="F2455" i="1"/>
  <c r="H2455" i="1" s="1"/>
  <c r="F2456" i="1"/>
  <c r="H2456" i="1" s="1"/>
  <c r="F2457" i="1"/>
  <c r="H2457" i="1" s="1"/>
  <c r="F2458" i="1"/>
  <c r="H2458" i="1" s="1"/>
  <c r="F2459" i="1"/>
  <c r="H2459" i="1" s="1"/>
  <c r="F2460" i="1"/>
  <c r="H2460" i="1" s="1"/>
  <c r="F2461" i="1"/>
  <c r="H2461" i="1" s="1"/>
  <c r="F2462" i="1"/>
  <c r="H2462" i="1" s="1"/>
  <c r="F2463" i="1"/>
  <c r="H2463" i="1" s="1"/>
  <c r="F2464" i="1"/>
  <c r="H2464" i="1" s="1"/>
  <c r="F2465" i="1"/>
  <c r="H2465" i="1" s="1"/>
  <c r="F2466" i="1"/>
  <c r="H2466" i="1" s="1"/>
  <c r="F2467" i="1"/>
  <c r="H2467" i="1" s="1"/>
  <c r="F2468" i="1"/>
  <c r="H2468" i="1" s="1"/>
  <c r="F2469" i="1"/>
  <c r="H2469" i="1" s="1"/>
  <c r="F2470" i="1"/>
  <c r="H2470" i="1" s="1"/>
  <c r="F2471" i="1"/>
  <c r="H2471" i="1" s="1"/>
  <c r="F2472" i="1"/>
  <c r="H2472" i="1" s="1"/>
  <c r="F2473" i="1"/>
  <c r="H2473" i="1" s="1"/>
  <c r="F2474" i="1"/>
  <c r="H2474" i="1" s="1"/>
  <c r="F2475" i="1"/>
  <c r="H2475" i="1" s="1"/>
  <c r="F2476" i="1"/>
  <c r="H2476" i="1" s="1"/>
  <c r="F2477" i="1"/>
  <c r="H2477" i="1" s="1"/>
  <c r="F2478" i="1"/>
  <c r="H2478" i="1" s="1"/>
  <c r="F2479" i="1"/>
  <c r="F2480" i="1"/>
  <c r="F2481" i="1"/>
  <c r="H2481" i="1" s="1"/>
  <c r="F2482" i="1"/>
  <c r="H2482" i="1" s="1"/>
  <c r="F2483" i="1"/>
  <c r="H2483" i="1" s="1"/>
  <c r="F2484" i="1"/>
  <c r="H2484" i="1" s="1"/>
  <c r="F2485" i="1"/>
  <c r="H2485" i="1" s="1"/>
  <c r="F2486" i="1"/>
  <c r="H2486" i="1" s="1"/>
  <c r="F2487" i="1"/>
  <c r="H2487" i="1" s="1"/>
  <c r="F2488" i="1"/>
  <c r="H2488" i="1" s="1"/>
  <c r="F2489" i="1"/>
  <c r="H2489" i="1" s="1"/>
  <c r="F2490" i="1"/>
  <c r="H2490" i="1" s="1"/>
  <c r="F2491" i="1"/>
  <c r="F2492" i="1"/>
  <c r="H2492" i="1" s="1"/>
  <c r="F2493" i="1"/>
  <c r="H2493" i="1" s="1"/>
  <c r="F2494" i="1"/>
  <c r="H2494" i="1" s="1"/>
  <c r="F2495" i="1"/>
  <c r="H2495" i="1" s="1"/>
  <c r="F2496" i="1"/>
  <c r="F2497" i="1"/>
  <c r="H2497" i="1" s="1"/>
  <c r="F2498" i="1"/>
  <c r="H2498" i="1" s="1"/>
  <c r="F2499" i="1"/>
  <c r="H2499" i="1" s="1"/>
  <c r="F2500" i="1"/>
  <c r="H2500" i="1" s="1"/>
  <c r="F2501" i="1"/>
  <c r="H2501" i="1" s="1"/>
  <c r="F2502" i="1"/>
  <c r="H2502" i="1" s="1"/>
  <c r="F2503" i="1"/>
  <c r="H2503" i="1" s="1"/>
  <c r="F2504" i="1"/>
  <c r="H2504" i="1" s="1"/>
  <c r="F2505" i="1"/>
  <c r="H2505" i="1" s="1"/>
  <c r="F2506" i="1"/>
  <c r="H2506" i="1" s="1"/>
  <c r="F2507" i="1"/>
  <c r="H2507" i="1" s="1"/>
  <c r="F2508" i="1"/>
  <c r="H2508" i="1" s="1"/>
  <c r="F2509" i="1"/>
  <c r="H2509" i="1" s="1"/>
  <c r="F2510" i="1"/>
  <c r="H2510" i="1" s="1"/>
  <c r="F2511" i="1"/>
  <c r="H2511" i="1" s="1"/>
  <c r="F2512" i="1"/>
  <c r="H2512" i="1" s="1"/>
  <c r="F2513" i="1"/>
  <c r="H2513" i="1" s="1"/>
  <c r="F2514" i="1"/>
  <c r="H2514" i="1" s="1"/>
  <c r="F2515" i="1"/>
  <c r="H2515" i="1" s="1"/>
  <c r="F2516" i="1"/>
  <c r="H2516" i="1" s="1"/>
  <c r="F2517" i="1"/>
  <c r="H2517" i="1" s="1"/>
  <c r="F2518" i="1"/>
  <c r="H2518" i="1" s="1"/>
  <c r="F2519" i="1"/>
  <c r="H2519" i="1" s="1"/>
  <c r="F2520" i="1"/>
  <c r="H2520" i="1" s="1"/>
  <c r="F2521" i="1"/>
  <c r="H2521" i="1" s="1"/>
  <c r="F2522" i="1"/>
  <c r="H2522" i="1" s="1"/>
  <c r="F2523" i="1"/>
  <c r="H2523" i="1" s="1"/>
  <c r="F2524" i="1"/>
  <c r="H2524" i="1" s="1"/>
  <c r="F2525" i="1"/>
  <c r="H2525" i="1" s="1"/>
  <c r="F2526" i="1"/>
  <c r="H2526" i="1" s="1"/>
  <c r="F2527" i="1"/>
  <c r="H2527" i="1" s="1"/>
  <c r="F2528" i="1"/>
  <c r="H2528" i="1" s="1"/>
  <c r="F2529" i="1"/>
  <c r="H2529" i="1" s="1"/>
  <c r="F2530" i="1"/>
  <c r="H2530" i="1" s="1"/>
  <c r="F2531" i="1"/>
  <c r="H2531" i="1" s="1"/>
  <c r="F2532" i="1"/>
  <c r="H2532" i="1" s="1"/>
  <c r="F2533" i="1"/>
  <c r="H2533" i="1" s="1"/>
  <c r="F2534" i="1"/>
  <c r="H2534" i="1" s="1"/>
  <c r="F2535" i="1"/>
  <c r="H2535" i="1" s="1"/>
  <c r="F2536" i="1"/>
  <c r="H2536" i="1" s="1"/>
  <c r="F2537" i="1"/>
  <c r="F2538" i="1"/>
  <c r="H2538" i="1" s="1"/>
  <c r="F2539" i="1"/>
  <c r="H2539" i="1" s="1"/>
  <c r="F2540" i="1"/>
  <c r="H2540" i="1" s="1"/>
  <c r="F2541" i="1"/>
  <c r="H2541" i="1" s="1"/>
  <c r="F2542" i="1"/>
  <c r="H2542" i="1" s="1"/>
  <c r="F2543" i="1"/>
  <c r="H2543" i="1" s="1"/>
  <c r="F2544" i="1"/>
  <c r="H2544" i="1" s="1"/>
  <c r="F2545" i="1"/>
  <c r="H2545" i="1" s="1"/>
  <c r="F2546" i="1"/>
  <c r="H2546" i="1" s="1"/>
  <c r="F2547" i="1"/>
  <c r="H2547" i="1" s="1"/>
  <c r="F2548" i="1"/>
  <c r="H2548" i="1" s="1"/>
  <c r="F2549" i="1"/>
  <c r="H2549" i="1" s="1"/>
  <c r="F2550" i="1"/>
  <c r="H2550" i="1" s="1"/>
  <c r="F2551" i="1"/>
  <c r="H2551" i="1" s="1"/>
  <c r="F2552" i="1"/>
  <c r="H2552" i="1" s="1"/>
  <c r="F2553" i="1"/>
  <c r="H2553" i="1" s="1"/>
  <c r="F2554" i="1"/>
  <c r="H2554" i="1" s="1"/>
  <c r="F2555" i="1"/>
  <c r="H2555" i="1" s="1"/>
  <c r="F2556" i="1"/>
  <c r="H2556" i="1" s="1"/>
  <c r="F2557" i="1"/>
  <c r="H2557" i="1" s="1"/>
  <c r="F2558" i="1"/>
  <c r="F2559" i="1"/>
  <c r="H2559" i="1" s="1"/>
  <c r="F2560" i="1"/>
  <c r="H2560" i="1" s="1"/>
  <c r="F2561" i="1"/>
  <c r="H2561" i="1" s="1"/>
  <c r="F2562" i="1"/>
  <c r="H2562" i="1" s="1"/>
  <c r="F2563" i="1"/>
  <c r="H2563" i="1" s="1"/>
  <c r="F2564" i="1"/>
  <c r="H2564" i="1" s="1"/>
  <c r="F2565" i="1"/>
  <c r="H2565" i="1" s="1"/>
  <c r="F2566" i="1"/>
  <c r="H2566" i="1" s="1"/>
  <c r="F2567" i="1"/>
  <c r="H2567" i="1" s="1"/>
  <c r="F2568" i="1"/>
  <c r="H2568" i="1" s="1"/>
  <c r="F2569" i="1"/>
  <c r="H2569" i="1" s="1"/>
  <c r="F2570" i="1"/>
  <c r="F2571" i="1"/>
  <c r="H2571" i="1" s="1"/>
  <c r="F2572" i="1"/>
  <c r="H2572" i="1" s="1"/>
  <c r="F2573" i="1"/>
  <c r="H2573" i="1" s="1"/>
  <c r="F2574" i="1"/>
  <c r="H2574" i="1" s="1"/>
  <c r="F2575" i="1"/>
  <c r="H2575" i="1" s="1"/>
  <c r="F2576" i="1"/>
  <c r="H2576" i="1" s="1"/>
  <c r="F2577" i="1"/>
  <c r="H2577" i="1" s="1"/>
  <c r="F2578" i="1"/>
  <c r="H2578" i="1" s="1"/>
  <c r="F2579" i="1"/>
  <c r="H2579" i="1" s="1"/>
  <c r="F2580" i="1"/>
  <c r="H2580" i="1" s="1"/>
  <c r="F2581" i="1"/>
  <c r="H2581" i="1" s="1"/>
  <c r="F2582" i="1"/>
  <c r="H2582" i="1" s="1"/>
  <c r="F2583" i="1"/>
  <c r="H2583" i="1" s="1"/>
  <c r="F2584" i="1"/>
  <c r="H2584" i="1" s="1"/>
  <c r="F2585" i="1"/>
  <c r="H2585" i="1" s="1"/>
  <c r="F2586" i="1"/>
  <c r="H2586" i="1" s="1"/>
  <c r="F2587" i="1"/>
  <c r="H2587" i="1" s="1"/>
  <c r="F2588" i="1"/>
  <c r="H2588" i="1" s="1"/>
  <c r="F2589" i="1"/>
  <c r="H2589" i="1" s="1"/>
  <c r="F2590" i="1"/>
  <c r="H2590" i="1" s="1"/>
  <c r="F2591" i="1"/>
  <c r="H2591" i="1" s="1"/>
  <c r="F2592" i="1"/>
  <c r="H2592" i="1" s="1"/>
  <c r="F2593" i="1"/>
  <c r="H2593" i="1" s="1"/>
  <c r="F2594" i="1"/>
  <c r="H2594" i="1" s="1"/>
  <c r="F2595" i="1"/>
  <c r="H2595" i="1" s="1"/>
  <c r="F2596" i="1"/>
  <c r="H2596" i="1" s="1"/>
  <c r="F2597" i="1"/>
  <c r="H2597" i="1" s="1"/>
  <c r="F2598" i="1"/>
  <c r="H2598" i="1" s="1"/>
  <c r="F2599" i="1"/>
  <c r="F2600" i="1"/>
  <c r="F2601" i="1"/>
  <c r="H2601" i="1" s="1"/>
  <c r="F2602" i="1"/>
  <c r="H2602" i="1" s="1"/>
  <c r="F2603" i="1"/>
  <c r="H2603" i="1" s="1"/>
  <c r="F2604" i="1"/>
  <c r="H2604" i="1" s="1"/>
  <c r="F2605" i="1"/>
  <c r="H2605" i="1" s="1"/>
  <c r="F2606" i="1"/>
  <c r="H2606" i="1" s="1"/>
  <c r="F2607" i="1"/>
  <c r="H2607" i="1" s="1"/>
  <c r="F2608" i="1"/>
  <c r="H2608" i="1" s="1"/>
  <c r="F2609" i="1"/>
  <c r="H2609" i="1" s="1"/>
  <c r="F2610" i="1"/>
  <c r="H2610" i="1" s="1"/>
  <c r="F2611" i="1"/>
  <c r="H2611" i="1" s="1"/>
  <c r="F2612" i="1"/>
  <c r="H2612" i="1" s="1"/>
  <c r="F2613" i="1"/>
  <c r="H2613" i="1" s="1"/>
  <c r="F2614" i="1"/>
  <c r="H2614" i="1" s="1"/>
  <c r="F2615" i="1"/>
  <c r="F2616" i="1"/>
  <c r="H2616" i="1" s="1"/>
  <c r="F2617" i="1"/>
  <c r="F2618" i="1"/>
  <c r="H2618" i="1" s="1"/>
  <c r="F2619" i="1"/>
  <c r="H2619" i="1" s="1"/>
  <c r="F2620" i="1"/>
  <c r="H2620" i="1" s="1"/>
  <c r="F2621" i="1"/>
  <c r="H2621" i="1" s="1"/>
  <c r="F2622" i="1"/>
  <c r="H2622" i="1" s="1"/>
  <c r="F2623" i="1"/>
  <c r="H2623" i="1" s="1"/>
  <c r="F2624" i="1"/>
  <c r="H2624" i="1" s="1"/>
  <c r="F2625" i="1"/>
  <c r="H2625" i="1" s="1"/>
  <c r="F2626" i="1"/>
  <c r="H2626" i="1" s="1"/>
  <c r="F2627" i="1"/>
  <c r="H2627" i="1" s="1"/>
  <c r="F2628" i="1"/>
  <c r="H2628" i="1" s="1"/>
  <c r="F2629" i="1"/>
  <c r="H2629" i="1" s="1"/>
  <c r="F2630" i="1"/>
  <c r="H2630" i="1" s="1"/>
  <c r="F2631" i="1"/>
  <c r="H2631" i="1" s="1"/>
  <c r="F2632" i="1"/>
  <c r="H2632" i="1" s="1"/>
  <c r="F2633" i="1"/>
  <c r="H2633" i="1" s="1"/>
  <c r="F2634" i="1"/>
  <c r="H2634" i="1" s="1"/>
  <c r="F2635" i="1"/>
  <c r="H2635" i="1" s="1"/>
  <c r="F2636" i="1"/>
  <c r="H2636" i="1" s="1"/>
  <c r="F2637" i="1"/>
  <c r="H2637" i="1" s="1"/>
  <c r="F2638" i="1"/>
  <c r="H2638" i="1" s="1"/>
  <c r="F2639" i="1"/>
  <c r="H2639" i="1" s="1"/>
  <c r="F2640" i="1"/>
  <c r="H2640" i="1" s="1"/>
  <c r="F2641" i="1"/>
  <c r="H2641" i="1" s="1"/>
  <c r="F2642" i="1"/>
  <c r="H2642" i="1" s="1"/>
  <c r="F2643" i="1"/>
  <c r="H2643" i="1" s="1"/>
  <c r="F2644" i="1"/>
  <c r="H2644" i="1" s="1"/>
  <c r="F2645" i="1"/>
  <c r="H2645" i="1" s="1"/>
  <c r="F2646" i="1"/>
  <c r="H2646" i="1" s="1"/>
  <c r="F2647" i="1"/>
  <c r="H2647" i="1" s="1"/>
  <c r="F2648" i="1"/>
  <c r="H2648" i="1" s="1"/>
  <c r="F2649" i="1"/>
  <c r="H2649" i="1" s="1"/>
  <c r="F2650" i="1"/>
  <c r="H2650" i="1" s="1"/>
  <c r="F2651" i="1"/>
  <c r="H2651" i="1" s="1"/>
  <c r="F2652" i="1"/>
  <c r="H2652" i="1" s="1"/>
  <c r="F2653" i="1"/>
  <c r="H2653" i="1" s="1"/>
  <c r="F2654" i="1"/>
  <c r="H2654" i="1" s="1"/>
  <c r="F2655" i="1"/>
  <c r="H2655" i="1" s="1"/>
  <c r="F2656" i="1"/>
  <c r="H2656" i="1" s="1"/>
  <c r="F2657" i="1"/>
  <c r="H2657" i="1" s="1"/>
  <c r="F2658" i="1"/>
  <c r="H2658" i="1" s="1"/>
  <c r="F2659" i="1"/>
  <c r="H2659" i="1" s="1"/>
  <c r="F2660" i="1"/>
  <c r="H2660" i="1" s="1"/>
  <c r="F2661" i="1"/>
  <c r="H2661" i="1" s="1"/>
  <c r="F2662" i="1"/>
  <c r="F2663" i="1"/>
  <c r="H2663" i="1" s="1"/>
  <c r="F2664" i="1"/>
  <c r="H2664" i="1" s="1"/>
  <c r="F2665" i="1"/>
  <c r="H2665" i="1" s="1"/>
  <c r="F2666" i="1"/>
  <c r="H2666" i="1" s="1"/>
  <c r="F2667" i="1"/>
  <c r="H2667" i="1" s="1"/>
  <c r="F2668" i="1"/>
  <c r="H2668" i="1" s="1"/>
  <c r="F2669" i="1"/>
  <c r="H2669" i="1" s="1"/>
  <c r="F2670" i="1"/>
  <c r="H2670" i="1" s="1"/>
  <c r="F2671" i="1"/>
  <c r="H2671" i="1" s="1"/>
  <c r="F2672" i="1"/>
  <c r="H2672" i="1" s="1"/>
  <c r="F2673" i="1"/>
  <c r="H2673" i="1" s="1"/>
  <c r="F2674" i="1"/>
  <c r="H2674" i="1" s="1"/>
  <c r="F2675" i="1"/>
  <c r="H2675" i="1" s="1"/>
  <c r="F2676" i="1"/>
  <c r="H2676" i="1" s="1"/>
  <c r="F2677" i="1"/>
  <c r="H2677" i="1" s="1"/>
  <c r="F2678" i="1"/>
  <c r="H2678" i="1" s="1"/>
  <c r="F2679" i="1"/>
  <c r="H2679" i="1" s="1"/>
  <c r="F2680" i="1"/>
  <c r="H2680" i="1" s="1"/>
  <c r="F2681" i="1"/>
  <c r="H2681" i="1" s="1"/>
  <c r="F2682" i="1"/>
  <c r="H2682" i="1" s="1"/>
  <c r="F2683" i="1"/>
  <c r="H2683" i="1" s="1"/>
  <c r="F2684" i="1"/>
  <c r="H2684" i="1" s="1"/>
  <c r="F2685" i="1"/>
  <c r="H2685" i="1" s="1"/>
  <c r="F2686" i="1"/>
  <c r="H2686" i="1" s="1"/>
  <c r="F2687" i="1"/>
  <c r="H2687" i="1" s="1"/>
  <c r="F2688" i="1"/>
  <c r="H2688" i="1" s="1"/>
  <c r="F2689" i="1"/>
  <c r="H2689" i="1" s="1"/>
  <c r="F2690" i="1"/>
  <c r="H2690" i="1" s="1"/>
  <c r="F2691" i="1"/>
  <c r="H2691" i="1" s="1"/>
  <c r="F2692" i="1"/>
  <c r="H2692" i="1" s="1"/>
  <c r="F2693" i="1"/>
  <c r="H2693" i="1" s="1"/>
  <c r="F2694" i="1"/>
  <c r="H2694" i="1" s="1"/>
  <c r="F2695" i="1"/>
  <c r="H2695" i="1" s="1"/>
  <c r="F2696" i="1"/>
  <c r="H2696" i="1" s="1"/>
  <c r="F2697" i="1"/>
  <c r="H2697" i="1" s="1"/>
  <c r="F2698" i="1"/>
  <c r="F2699" i="1"/>
  <c r="H2699" i="1" s="1"/>
  <c r="F2700" i="1"/>
  <c r="H2700" i="1" s="1"/>
  <c r="F2701" i="1"/>
  <c r="H2701" i="1" s="1"/>
  <c r="F2702" i="1"/>
  <c r="H2702" i="1" s="1"/>
  <c r="F2703" i="1"/>
  <c r="H2703" i="1" s="1"/>
  <c r="F2704" i="1"/>
  <c r="H2704" i="1" s="1"/>
  <c r="F2705" i="1"/>
  <c r="H2705" i="1" s="1"/>
  <c r="F2706" i="1"/>
  <c r="H2706" i="1" s="1"/>
  <c r="F2707" i="1"/>
  <c r="H2707" i="1" s="1"/>
  <c r="F2708" i="1"/>
  <c r="H2708" i="1" s="1"/>
  <c r="F2709" i="1"/>
  <c r="H2709" i="1" s="1"/>
  <c r="F2710" i="1"/>
  <c r="H2710" i="1" s="1"/>
  <c r="F2711" i="1"/>
  <c r="H2711" i="1" s="1"/>
  <c r="F2712" i="1"/>
  <c r="H2712" i="1" s="1"/>
  <c r="F2713" i="1"/>
  <c r="H2713" i="1" s="1"/>
  <c r="F2714" i="1"/>
  <c r="H2714" i="1" s="1"/>
  <c r="F2715" i="1"/>
  <c r="H2715" i="1" s="1"/>
  <c r="F2716" i="1"/>
  <c r="H2716" i="1" s="1"/>
  <c r="F2717" i="1"/>
  <c r="H2717" i="1" s="1"/>
  <c r="F2718" i="1"/>
  <c r="H2718" i="1" s="1"/>
  <c r="F2719" i="1"/>
  <c r="H2719" i="1" s="1"/>
  <c r="F2720" i="1"/>
  <c r="H2720" i="1" s="1"/>
  <c r="F2721" i="1"/>
  <c r="H2721" i="1" s="1"/>
  <c r="F2722" i="1"/>
  <c r="H2722" i="1" s="1"/>
  <c r="F2723" i="1"/>
  <c r="H2723" i="1" s="1"/>
  <c r="F2724" i="1"/>
  <c r="H2724" i="1" s="1"/>
  <c r="F2725" i="1"/>
  <c r="H2725" i="1" s="1"/>
  <c r="F2726" i="1"/>
  <c r="H2726" i="1" s="1"/>
  <c r="F2727" i="1"/>
  <c r="H2727" i="1" s="1"/>
  <c r="F2728" i="1"/>
  <c r="H2728" i="1" s="1"/>
  <c r="F2729" i="1"/>
  <c r="H2729" i="1" s="1"/>
  <c r="F2730" i="1"/>
  <c r="H2730" i="1" s="1"/>
  <c r="F2731" i="1"/>
  <c r="H2731" i="1" s="1"/>
  <c r="F2732" i="1"/>
  <c r="H2732" i="1" s="1"/>
  <c r="F2733" i="1"/>
  <c r="H2733" i="1" s="1"/>
  <c r="F2734" i="1"/>
  <c r="H2734" i="1" s="1"/>
  <c r="F2735" i="1"/>
  <c r="H2735" i="1" s="1"/>
  <c r="F2736" i="1"/>
  <c r="H2736" i="1" s="1"/>
  <c r="F2737" i="1"/>
  <c r="H2737" i="1" s="1"/>
  <c r="F2738" i="1"/>
  <c r="H2738" i="1" s="1"/>
  <c r="F2739" i="1"/>
  <c r="H2739" i="1" s="1"/>
  <c r="F2740" i="1"/>
  <c r="F2741" i="1"/>
  <c r="H2741" i="1" s="1"/>
  <c r="F2742" i="1"/>
  <c r="H2742" i="1" s="1"/>
  <c r="F2743" i="1"/>
  <c r="H2743" i="1" s="1"/>
  <c r="F2744" i="1"/>
  <c r="H2744" i="1" s="1"/>
  <c r="F2745" i="1"/>
  <c r="H2745" i="1" s="1"/>
  <c r="F2746" i="1"/>
  <c r="F2747" i="1"/>
  <c r="H2747" i="1" s="1"/>
  <c r="F2748" i="1"/>
  <c r="H2748" i="1" s="1"/>
  <c r="F2749" i="1"/>
  <c r="H2749" i="1" s="1"/>
  <c r="F2750" i="1"/>
  <c r="H2750" i="1" s="1"/>
  <c r="F2751" i="1"/>
  <c r="H2751" i="1" s="1"/>
  <c r="F2752" i="1"/>
  <c r="H2752" i="1" s="1"/>
  <c r="F2753" i="1"/>
  <c r="H2753" i="1" s="1"/>
  <c r="F2754" i="1"/>
  <c r="H2754" i="1" s="1"/>
  <c r="F2755" i="1"/>
  <c r="H2755" i="1" s="1"/>
  <c r="F2756" i="1"/>
  <c r="H2756" i="1" s="1"/>
  <c r="F2757" i="1"/>
  <c r="H2757" i="1" s="1"/>
  <c r="F2758" i="1"/>
  <c r="H2758" i="1" s="1"/>
  <c r="F2759" i="1"/>
  <c r="H2759" i="1" s="1"/>
  <c r="F2760" i="1"/>
  <c r="H2760" i="1" s="1"/>
  <c r="F2761" i="1"/>
  <c r="H2761" i="1" s="1"/>
  <c r="F2762" i="1"/>
  <c r="H2762" i="1" s="1"/>
  <c r="F2763" i="1"/>
  <c r="H2763" i="1" s="1"/>
  <c r="F2764" i="1"/>
  <c r="H2764" i="1" s="1"/>
  <c r="F2765" i="1"/>
  <c r="H2765" i="1" s="1"/>
  <c r="F2766" i="1"/>
  <c r="H2766" i="1" s="1"/>
  <c r="F2767" i="1"/>
  <c r="H2767" i="1" s="1"/>
  <c r="F2768" i="1"/>
  <c r="H2768" i="1" s="1"/>
  <c r="F2769" i="1"/>
  <c r="H2769" i="1" s="1"/>
  <c r="F2770" i="1"/>
  <c r="H2770" i="1" s="1"/>
  <c r="F2771" i="1"/>
  <c r="H2771" i="1" s="1"/>
  <c r="F2772" i="1"/>
  <c r="H2772" i="1" s="1"/>
  <c r="F2773" i="1"/>
  <c r="H2773" i="1" s="1"/>
  <c r="F2774" i="1"/>
  <c r="H2774" i="1" s="1"/>
  <c r="F2775" i="1"/>
  <c r="F2776" i="1"/>
  <c r="H2776" i="1" s="1"/>
  <c r="F2777" i="1"/>
  <c r="H2777" i="1" s="1"/>
  <c r="F2778" i="1"/>
  <c r="H2778" i="1" s="1"/>
  <c r="F2779" i="1"/>
  <c r="H2779" i="1" s="1"/>
  <c r="F2780" i="1"/>
  <c r="H2780" i="1" s="1"/>
  <c r="F2781" i="1"/>
  <c r="H2781" i="1" s="1"/>
  <c r="F2782" i="1"/>
  <c r="H2782" i="1" s="1"/>
  <c r="F2783" i="1"/>
  <c r="H2783" i="1" s="1"/>
  <c r="F2784" i="1"/>
  <c r="H2784" i="1" s="1"/>
  <c r="F2785" i="1"/>
  <c r="H2785" i="1" s="1"/>
  <c r="F2786" i="1"/>
  <c r="H2786" i="1" s="1"/>
  <c r="F2787" i="1"/>
  <c r="H2787" i="1" s="1"/>
  <c r="F2788" i="1"/>
  <c r="H2788" i="1" s="1"/>
  <c r="F2789" i="1"/>
  <c r="H2789" i="1" s="1"/>
  <c r="F2790" i="1"/>
  <c r="H2790" i="1" s="1"/>
  <c r="F2791" i="1"/>
  <c r="H2791" i="1" s="1"/>
  <c r="F2792" i="1"/>
  <c r="H2792" i="1" s="1"/>
  <c r="F2793" i="1"/>
  <c r="H2793" i="1" s="1"/>
  <c r="F2794" i="1"/>
  <c r="H2794" i="1" s="1"/>
  <c r="F2795" i="1"/>
  <c r="H2795" i="1" s="1"/>
  <c r="F2796" i="1"/>
  <c r="H2796" i="1" s="1"/>
  <c r="F2797" i="1"/>
  <c r="H2797" i="1" s="1"/>
  <c r="F2798" i="1"/>
  <c r="H2798" i="1" s="1"/>
  <c r="F2799" i="1"/>
  <c r="H2799" i="1" s="1"/>
  <c r="F2800" i="1"/>
  <c r="H2800" i="1" s="1"/>
  <c r="F2801" i="1"/>
  <c r="H2801" i="1" s="1"/>
  <c r="F2802" i="1"/>
  <c r="H2802" i="1" s="1"/>
  <c r="F2803" i="1"/>
  <c r="H2803" i="1" s="1"/>
  <c r="F2804" i="1"/>
  <c r="H2804" i="1" s="1"/>
  <c r="F2805" i="1"/>
  <c r="H2805" i="1" s="1"/>
  <c r="F2806" i="1"/>
  <c r="H2806" i="1" s="1"/>
  <c r="F2807" i="1"/>
  <c r="H2807" i="1" s="1"/>
  <c r="F2808" i="1"/>
  <c r="H2808" i="1" s="1"/>
  <c r="F2809" i="1"/>
  <c r="H2809" i="1" s="1"/>
  <c r="F2810" i="1"/>
  <c r="H2810" i="1" s="1"/>
  <c r="F2811" i="1"/>
  <c r="H2811" i="1" s="1"/>
  <c r="F2812" i="1"/>
  <c r="H2812" i="1" s="1"/>
  <c r="F2813" i="1"/>
  <c r="H2813" i="1" s="1"/>
  <c r="F2814" i="1"/>
  <c r="H2814" i="1" s="1"/>
  <c r="F2815" i="1"/>
  <c r="H2815" i="1" s="1"/>
  <c r="F2816" i="1"/>
  <c r="H2816" i="1" s="1"/>
  <c r="F2817" i="1"/>
  <c r="H2817" i="1" s="1"/>
  <c r="F2818" i="1"/>
  <c r="H2818" i="1" s="1"/>
  <c r="F2819" i="1"/>
  <c r="H2819" i="1" s="1"/>
  <c r="F2820" i="1"/>
  <c r="H2820" i="1" s="1"/>
  <c r="F2821" i="1"/>
  <c r="H2821" i="1" s="1"/>
  <c r="F2822" i="1"/>
  <c r="H2822" i="1" s="1"/>
  <c r="F2823" i="1"/>
  <c r="H2823" i="1" s="1"/>
  <c r="F2824" i="1"/>
  <c r="H2824" i="1" s="1"/>
  <c r="F2825" i="1"/>
  <c r="H2825" i="1" s="1"/>
  <c r="F2826" i="1"/>
  <c r="H2826" i="1" s="1"/>
  <c r="F2827" i="1"/>
  <c r="H2827" i="1" s="1"/>
  <c r="F2828" i="1"/>
  <c r="H2828" i="1" s="1"/>
  <c r="F2829" i="1"/>
  <c r="H2829" i="1" s="1"/>
  <c r="F2830" i="1"/>
  <c r="H2830" i="1" s="1"/>
  <c r="F2831" i="1"/>
  <c r="H2831" i="1" s="1"/>
  <c r="F2832" i="1"/>
  <c r="H2832" i="1" s="1"/>
  <c r="F2833" i="1"/>
  <c r="H2833" i="1" s="1"/>
  <c r="F2834" i="1"/>
  <c r="H2834" i="1" s="1"/>
  <c r="F2835" i="1"/>
  <c r="H2835" i="1" s="1"/>
  <c r="F2836" i="1"/>
  <c r="H2836" i="1" s="1"/>
  <c r="F2837" i="1"/>
  <c r="H2837" i="1" s="1"/>
  <c r="F2838" i="1"/>
  <c r="H2838" i="1" s="1"/>
  <c r="F2839" i="1"/>
  <c r="H2839" i="1" s="1"/>
  <c r="F2840" i="1"/>
  <c r="H2840" i="1" s="1"/>
  <c r="F2841" i="1"/>
  <c r="H2841" i="1" s="1"/>
  <c r="F2842" i="1"/>
  <c r="H2842" i="1" s="1"/>
  <c r="F2843" i="1"/>
  <c r="H2843" i="1" s="1"/>
  <c r="F2844" i="1"/>
  <c r="H2844" i="1" s="1"/>
  <c r="F2845" i="1"/>
  <c r="H2845" i="1" s="1"/>
  <c r="F2846" i="1"/>
  <c r="H2846" i="1" s="1"/>
  <c r="F2847" i="1"/>
  <c r="H2847" i="1" s="1"/>
  <c r="F2848" i="1"/>
  <c r="H2848" i="1" s="1"/>
  <c r="F2849" i="1"/>
  <c r="H2849" i="1" s="1"/>
  <c r="F2850" i="1"/>
  <c r="H2850" i="1" s="1"/>
  <c r="F2851" i="1"/>
  <c r="H2851" i="1" s="1"/>
  <c r="F2852" i="1"/>
  <c r="H2852" i="1" s="1"/>
  <c r="F2853" i="1"/>
  <c r="H2853" i="1" s="1"/>
  <c r="F2854" i="1"/>
  <c r="H2854" i="1" s="1"/>
  <c r="F2855" i="1"/>
  <c r="H2855" i="1" s="1"/>
  <c r="F2856" i="1"/>
  <c r="H2856" i="1" s="1"/>
  <c r="F2857" i="1"/>
  <c r="H2857" i="1" s="1"/>
  <c r="F2858" i="1"/>
  <c r="H2858" i="1" s="1"/>
  <c r="F2859" i="1"/>
  <c r="H2859" i="1" s="1"/>
  <c r="F2860" i="1"/>
  <c r="H2860" i="1" s="1"/>
  <c r="F2861" i="1"/>
  <c r="H2861" i="1" s="1"/>
  <c r="F2862" i="1"/>
  <c r="H2862" i="1" s="1"/>
  <c r="F2863" i="1"/>
  <c r="H2863" i="1" s="1"/>
  <c r="F2864" i="1"/>
  <c r="H2864" i="1" s="1"/>
  <c r="F2865" i="1"/>
  <c r="H2865" i="1" s="1"/>
  <c r="F2866" i="1"/>
  <c r="H2866" i="1" s="1"/>
  <c r="F2867" i="1"/>
  <c r="H2867" i="1" s="1"/>
  <c r="F2868" i="1"/>
  <c r="H2868" i="1" s="1"/>
  <c r="F2869" i="1"/>
  <c r="H2869" i="1" s="1"/>
  <c r="F2870" i="1"/>
  <c r="H2870" i="1" s="1"/>
  <c r="F2871" i="1"/>
  <c r="H2871" i="1" s="1"/>
  <c r="F2872" i="1"/>
  <c r="H2872" i="1" s="1"/>
  <c r="F2873" i="1"/>
  <c r="H2873" i="1" s="1"/>
  <c r="F2874" i="1"/>
  <c r="H2874" i="1" s="1"/>
  <c r="F2875" i="1"/>
  <c r="F2876" i="1"/>
  <c r="H2876" i="1" s="1"/>
  <c r="F2877" i="1"/>
  <c r="H2877" i="1" s="1"/>
  <c r="F2878" i="1"/>
  <c r="H2878" i="1" s="1"/>
  <c r="F2879" i="1"/>
  <c r="H2879" i="1" s="1"/>
  <c r="F2880" i="1"/>
  <c r="H2880" i="1" s="1"/>
  <c r="F2881" i="1"/>
  <c r="H2881" i="1" s="1"/>
  <c r="F2882" i="1"/>
  <c r="H2882" i="1" s="1"/>
  <c r="F2883" i="1"/>
  <c r="H2883" i="1" s="1"/>
  <c r="F2884" i="1"/>
  <c r="H2884" i="1" s="1"/>
  <c r="F2885" i="1"/>
  <c r="F2886" i="1"/>
  <c r="H2886" i="1" s="1"/>
  <c r="F2887" i="1"/>
  <c r="H2887" i="1" s="1"/>
  <c r="F2888" i="1"/>
  <c r="H2888" i="1" s="1"/>
  <c r="F2889" i="1"/>
  <c r="H2889" i="1" s="1"/>
  <c r="F2890" i="1"/>
  <c r="H2890" i="1" s="1"/>
  <c r="F2891" i="1"/>
  <c r="H2891" i="1" s="1"/>
  <c r="F2892" i="1"/>
  <c r="H2892" i="1" s="1"/>
  <c r="F2893" i="1"/>
  <c r="H2893" i="1" s="1"/>
  <c r="F2894" i="1"/>
  <c r="H2894" i="1" s="1"/>
  <c r="F2895" i="1"/>
  <c r="H2895" i="1" s="1"/>
  <c r="F2896" i="1"/>
  <c r="H2896" i="1" s="1"/>
  <c r="F2897" i="1"/>
  <c r="H2897" i="1" s="1"/>
  <c r="F2898" i="1"/>
  <c r="H2898" i="1" s="1"/>
  <c r="F2899" i="1"/>
  <c r="H2899" i="1" s="1"/>
  <c r="F2900" i="1"/>
  <c r="H2900" i="1" s="1"/>
  <c r="F2901" i="1"/>
  <c r="H2901" i="1" s="1"/>
  <c r="F2902" i="1"/>
  <c r="H2902" i="1" s="1"/>
  <c r="F2903" i="1"/>
  <c r="H2903" i="1" s="1"/>
  <c r="F2904" i="1"/>
  <c r="H2904" i="1" s="1"/>
  <c r="F2905" i="1"/>
  <c r="H2905" i="1" s="1"/>
  <c r="F2906" i="1"/>
  <c r="H2906" i="1" s="1"/>
  <c r="F2907" i="1"/>
  <c r="H2907" i="1" s="1"/>
  <c r="F2908" i="1"/>
  <c r="H2908" i="1" s="1"/>
  <c r="F2909" i="1"/>
  <c r="H2909" i="1" s="1"/>
  <c r="F2910" i="1"/>
  <c r="H2910" i="1" s="1"/>
  <c r="F2911" i="1"/>
  <c r="H2911" i="1" s="1"/>
  <c r="F2912" i="1"/>
  <c r="H2912" i="1" s="1"/>
  <c r="F2913" i="1"/>
  <c r="H2913" i="1" s="1"/>
  <c r="F2914" i="1"/>
  <c r="H2914" i="1" s="1"/>
  <c r="F2915" i="1"/>
  <c r="H2915" i="1" s="1"/>
  <c r="F2916" i="1"/>
  <c r="H2916" i="1" s="1"/>
  <c r="F2917" i="1"/>
  <c r="H2917" i="1" s="1"/>
  <c r="F2918" i="1"/>
  <c r="H2918" i="1" s="1"/>
  <c r="F2919" i="1"/>
  <c r="H2919" i="1" s="1"/>
  <c r="F2920" i="1"/>
  <c r="H2920" i="1" s="1"/>
  <c r="F2921" i="1"/>
  <c r="H2921" i="1" s="1"/>
  <c r="F2922" i="1"/>
  <c r="H2922" i="1" s="1"/>
  <c r="F2923" i="1"/>
  <c r="H2923" i="1" s="1"/>
  <c r="F2924" i="1"/>
  <c r="H2924" i="1" s="1"/>
  <c r="F2925" i="1"/>
  <c r="H2925" i="1" s="1"/>
  <c r="F2926" i="1"/>
  <c r="H2926" i="1" s="1"/>
  <c r="F2927" i="1"/>
  <c r="H2927" i="1" s="1"/>
  <c r="F2928" i="1"/>
  <c r="H2928" i="1" s="1"/>
  <c r="F2929" i="1"/>
  <c r="H2929" i="1" s="1"/>
  <c r="F2930" i="1"/>
  <c r="H2930" i="1" s="1"/>
  <c r="F2931" i="1"/>
  <c r="H2931" i="1" s="1"/>
  <c r="F2932" i="1"/>
  <c r="H2932" i="1" s="1"/>
  <c r="F2933" i="1"/>
  <c r="H2933" i="1" s="1"/>
  <c r="F2934" i="1"/>
  <c r="H2934" i="1" s="1"/>
  <c r="F2935" i="1"/>
  <c r="F2936" i="1"/>
  <c r="H2936" i="1" s="1"/>
  <c r="F2937" i="1"/>
  <c r="H2937" i="1" s="1"/>
  <c r="F2938" i="1"/>
  <c r="H2938" i="1" s="1"/>
  <c r="F2939" i="1"/>
  <c r="H2939" i="1" s="1"/>
  <c r="F2940" i="1"/>
  <c r="H2940" i="1" s="1"/>
  <c r="F2941" i="1"/>
  <c r="H2941" i="1" s="1"/>
  <c r="F2942" i="1"/>
  <c r="H2942" i="1" s="1"/>
  <c r="F2943" i="1"/>
  <c r="H2943" i="1" s="1"/>
  <c r="F2944" i="1"/>
  <c r="H2944" i="1" s="1"/>
  <c r="F2945" i="1"/>
  <c r="H2945" i="1" s="1"/>
  <c r="F2946" i="1"/>
  <c r="H2946" i="1" s="1"/>
  <c r="F2947" i="1"/>
  <c r="H2947" i="1" s="1"/>
  <c r="F2948" i="1"/>
  <c r="H2948" i="1" s="1"/>
  <c r="F2949" i="1"/>
  <c r="H2949" i="1" s="1"/>
  <c r="F2950" i="1"/>
  <c r="H2950" i="1" s="1"/>
  <c r="F2951" i="1"/>
  <c r="H2951" i="1" s="1"/>
  <c r="F2952" i="1"/>
  <c r="H2952" i="1" s="1"/>
  <c r="F2953" i="1"/>
  <c r="H2953" i="1" s="1"/>
  <c r="F2954" i="1"/>
  <c r="H2954" i="1" s="1"/>
  <c r="F2955" i="1"/>
  <c r="H2955" i="1" s="1"/>
  <c r="F2956" i="1"/>
  <c r="H2956" i="1" s="1"/>
  <c r="F2957" i="1"/>
  <c r="H2957" i="1" s="1"/>
  <c r="F2958" i="1"/>
  <c r="H2958" i="1" s="1"/>
  <c r="F2959" i="1"/>
  <c r="H2959" i="1" s="1"/>
  <c r="F2960" i="1"/>
  <c r="H2960" i="1" s="1"/>
  <c r="F2961" i="1"/>
  <c r="H2961" i="1" s="1"/>
  <c r="F2962" i="1"/>
  <c r="H2962" i="1" s="1"/>
  <c r="F2963" i="1"/>
  <c r="F2964" i="1"/>
  <c r="H2964" i="1" s="1"/>
  <c r="F2965" i="1"/>
  <c r="H2965" i="1" s="1"/>
  <c r="F2966" i="1"/>
  <c r="H2966" i="1" s="1"/>
  <c r="F2967" i="1"/>
  <c r="H2967" i="1" s="1"/>
  <c r="F2968" i="1"/>
  <c r="H2968" i="1" s="1"/>
  <c r="F2969" i="1"/>
  <c r="H2969" i="1" s="1"/>
  <c r="F2970" i="1"/>
  <c r="H2970" i="1" s="1"/>
  <c r="F2971" i="1"/>
  <c r="H2971" i="1" s="1"/>
  <c r="F2972" i="1"/>
  <c r="H2972" i="1" s="1"/>
  <c r="F2973" i="1"/>
  <c r="H2973" i="1" s="1"/>
  <c r="F2974" i="1"/>
  <c r="H2974" i="1" s="1"/>
  <c r="F2975" i="1"/>
  <c r="H2975" i="1" s="1"/>
  <c r="F2976" i="1"/>
  <c r="H2976" i="1" s="1"/>
  <c r="F2977" i="1"/>
  <c r="H2977" i="1" s="1"/>
  <c r="F2978" i="1"/>
  <c r="H2978" i="1" s="1"/>
  <c r="F2979" i="1"/>
  <c r="H2979" i="1" s="1"/>
  <c r="F2980" i="1"/>
  <c r="H2980" i="1" s="1"/>
  <c r="F2981" i="1"/>
  <c r="H2981" i="1" s="1"/>
  <c r="F2982" i="1"/>
  <c r="H2982" i="1" s="1"/>
  <c r="F2983" i="1"/>
  <c r="H2983" i="1" s="1"/>
  <c r="F2984" i="1"/>
  <c r="H2984" i="1" s="1"/>
  <c r="F2985" i="1"/>
  <c r="H2985" i="1" s="1"/>
  <c r="F2986" i="1"/>
  <c r="H2986" i="1" s="1"/>
  <c r="F2987" i="1"/>
  <c r="H2987" i="1" s="1"/>
  <c r="F2988" i="1"/>
  <c r="F2989" i="1"/>
  <c r="H2989" i="1" s="1"/>
  <c r="F2990" i="1"/>
  <c r="H2990" i="1" s="1"/>
  <c r="F2991" i="1"/>
  <c r="H2991" i="1" s="1"/>
  <c r="F2992" i="1"/>
  <c r="H2992" i="1" s="1"/>
  <c r="F2993" i="1"/>
  <c r="H2993" i="1" s="1"/>
  <c r="F2994" i="1"/>
  <c r="H2994" i="1" s="1"/>
  <c r="F2995" i="1"/>
  <c r="H2995" i="1" s="1"/>
  <c r="F2996" i="1"/>
  <c r="H2996" i="1" s="1"/>
  <c r="F2997" i="1"/>
  <c r="H2997" i="1" s="1"/>
  <c r="F2998" i="1"/>
  <c r="H2998" i="1" s="1"/>
  <c r="F2999" i="1"/>
  <c r="H2999" i="1" s="1"/>
  <c r="F3000" i="1"/>
  <c r="H3000" i="1" s="1"/>
  <c r="F3001" i="1"/>
  <c r="H3001" i="1" s="1"/>
  <c r="F3002" i="1"/>
  <c r="H3002" i="1" s="1"/>
  <c r="F3003" i="1"/>
  <c r="H3003" i="1" s="1"/>
  <c r="F3004" i="1"/>
  <c r="H3004" i="1" s="1"/>
  <c r="F3005" i="1"/>
  <c r="F3006" i="1"/>
  <c r="H3006" i="1" s="1"/>
  <c r="F3007" i="1"/>
  <c r="H3007" i="1" s="1"/>
  <c r="F3008" i="1"/>
  <c r="H3008" i="1" s="1"/>
  <c r="F3009" i="1"/>
  <c r="H3009" i="1" s="1"/>
  <c r="F3010" i="1"/>
  <c r="H3010" i="1" s="1"/>
  <c r="F3011" i="1"/>
  <c r="H3011" i="1" s="1"/>
  <c r="F3012" i="1"/>
  <c r="H3012" i="1" s="1"/>
  <c r="F3013" i="1"/>
  <c r="H3013" i="1" s="1"/>
  <c r="F3014" i="1"/>
  <c r="H3014" i="1" s="1"/>
  <c r="F3015" i="1"/>
  <c r="H3015" i="1" s="1"/>
  <c r="F3016" i="1"/>
  <c r="H3016" i="1" s="1"/>
  <c r="F3017" i="1"/>
  <c r="H3017" i="1" s="1"/>
  <c r="F3018" i="1"/>
  <c r="H3018" i="1" s="1"/>
  <c r="F3019" i="1"/>
  <c r="H3019" i="1" s="1"/>
  <c r="F3020" i="1"/>
  <c r="H3020" i="1" s="1"/>
  <c r="F3021" i="1"/>
  <c r="H3021" i="1" s="1"/>
  <c r="F3022" i="1"/>
  <c r="H3022" i="1" s="1"/>
  <c r="F3023" i="1"/>
  <c r="F3024" i="1"/>
  <c r="F3025" i="1"/>
  <c r="H3025" i="1" s="1"/>
  <c r="F3026" i="1"/>
  <c r="H3026" i="1" s="1"/>
  <c r="F3027" i="1"/>
  <c r="H3027" i="1" s="1"/>
  <c r="F3028" i="1"/>
  <c r="H3028" i="1" s="1"/>
  <c r="F3029" i="1"/>
  <c r="H3029" i="1" s="1"/>
  <c r="F3030" i="1"/>
  <c r="H3030" i="1" s="1"/>
  <c r="F3031" i="1"/>
  <c r="H3031" i="1" s="1"/>
  <c r="F3032" i="1"/>
  <c r="H3032" i="1" s="1"/>
  <c r="F3033" i="1"/>
  <c r="H3033" i="1" s="1"/>
  <c r="F3034" i="1"/>
  <c r="H3034" i="1" s="1"/>
  <c r="F3035" i="1"/>
  <c r="H3035" i="1" s="1"/>
  <c r="F3036" i="1"/>
  <c r="H3036" i="1" s="1"/>
  <c r="F3037" i="1"/>
  <c r="H3037" i="1" s="1"/>
  <c r="F3038" i="1"/>
  <c r="H3038" i="1" s="1"/>
  <c r="F3039" i="1"/>
  <c r="H3039" i="1" s="1"/>
  <c r="F3040" i="1"/>
  <c r="H3040" i="1" s="1"/>
  <c r="F3041" i="1"/>
  <c r="H3041" i="1" s="1"/>
  <c r="F3042" i="1"/>
  <c r="H3042" i="1" s="1"/>
  <c r="F3043" i="1"/>
  <c r="H3043" i="1" s="1"/>
  <c r="F3044" i="1"/>
  <c r="H3044" i="1" s="1"/>
  <c r="F3045" i="1"/>
  <c r="H3045" i="1" s="1"/>
  <c r="F3046" i="1"/>
  <c r="H3046" i="1" s="1"/>
  <c r="F3047" i="1"/>
  <c r="F3048" i="1"/>
  <c r="H3048" i="1" s="1"/>
  <c r="F3049" i="1"/>
  <c r="H3049" i="1" s="1"/>
  <c r="F3050" i="1"/>
  <c r="H3050" i="1" s="1"/>
  <c r="F3051" i="1"/>
  <c r="H3051" i="1" s="1"/>
  <c r="F3052" i="1"/>
  <c r="H3052" i="1" s="1"/>
  <c r="F3053" i="1"/>
  <c r="H3053" i="1" s="1"/>
  <c r="F3054" i="1"/>
  <c r="H3054" i="1" s="1"/>
  <c r="F3055" i="1"/>
  <c r="H3055" i="1" s="1"/>
  <c r="F3056" i="1"/>
  <c r="H3056" i="1" s="1"/>
  <c r="F3057" i="1"/>
  <c r="H3057" i="1" s="1"/>
  <c r="F3058" i="1"/>
  <c r="H3058" i="1" s="1"/>
  <c r="F3059" i="1"/>
  <c r="H3059" i="1" s="1"/>
  <c r="F3060" i="1"/>
  <c r="H3060" i="1" s="1"/>
  <c r="F3061" i="1"/>
  <c r="H3061" i="1" s="1"/>
  <c r="F3062" i="1"/>
  <c r="H3062" i="1" s="1"/>
  <c r="F3063" i="1"/>
  <c r="H3063" i="1" s="1"/>
  <c r="F3064" i="1"/>
  <c r="H3064" i="1" s="1"/>
  <c r="F3065" i="1"/>
  <c r="H3065" i="1" s="1"/>
  <c r="F3066" i="1"/>
  <c r="H3066" i="1" s="1"/>
  <c r="F3067" i="1"/>
  <c r="H3067" i="1" s="1"/>
  <c r="F3068" i="1"/>
  <c r="H3068" i="1" s="1"/>
  <c r="F3069" i="1"/>
  <c r="H3069" i="1" s="1"/>
  <c r="F3070" i="1"/>
  <c r="H3070" i="1" s="1"/>
  <c r="F3071" i="1"/>
  <c r="H3071" i="1" s="1"/>
  <c r="F3072" i="1"/>
  <c r="H3072" i="1" s="1"/>
  <c r="F3073" i="1"/>
  <c r="H3073" i="1" s="1"/>
  <c r="F3074" i="1"/>
  <c r="H3074" i="1" s="1"/>
  <c r="F3075" i="1"/>
  <c r="H3075" i="1" s="1"/>
  <c r="F3076" i="1"/>
  <c r="H3076" i="1" s="1"/>
  <c r="F3077" i="1"/>
  <c r="H3077" i="1" s="1"/>
  <c r="F3078" i="1"/>
  <c r="H3078" i="1" s="1"/>
  <c r="F3079" i="1"/>
  <c r="H3079" i="1" s="1"/>
  <c r="F3080" i="1"/>
  <c r="H3080" i="1" s="1"/>
  <c r="F3081" i="1"/>
  <c r="H3081" i="1" s="1"/>
  <c r="F3082" i="1"/>
  <c r="H3082" i="1" s="1"/>
  <c r="F3083" i="1"/>
  <c r="H3083" i="1" s="1"/>
  <c r="F3084" i="1"/>
  <c r="H3084" i="1" s="1"/>
  <c r="F3085" i="1"/>
  <c r="H3085" i="1" s="1"/>
  <c r="F3086" i="1"/>
  <c r="H3086" i="1" s="1"/>
  <c r="F3087" i="1"/>
  <c r="H3087" i="1" s="1"/>
  <c r="F3088" i="1"/>
  <c r="H3088" i="1" s="1"/>
  <c r="F3089" i="1"/>
  <c r="H3089" i="1" s="1"/>
  <c r="F3090" i="1"/>
  <c r="H3090" i="1" s="1"/>
  <c r="F3091" i="1"/>
  <c r="H3091" i="1" s="1"/>
  <c r="F3092" i="1"/>
  <c r="H3092" i="1" s="1"/>
  <c r="F3093" i="1"/>
  <c r="H3093" i="1" s="1"/>
  <c r="F3094" i="1"/>
  <c r="H3094" i="1" s="1"/>
  <c r="F3095" i="1"/>
  <c r="H3095" i="1" s="1"/>
  <c r="F3096" i="1"/>
  <c r="H3096" i="1" s="1"/>
  <c r="F3097" i="1"/>
  <c r="H3097" i="1" s="1"/>
  <c r="F3098" i="1"/>
  <c r="H3098" i="1" s="1"/>
  <c r="F3099" i="1"/>
  <c r="H3099" i="1" s="1"/>
  <c r="F3100" i="1"/>
  <c r="H3100" i="1" s="1"/>
  <c r="F3101" i="1"/>
  <c r="H3101" i="1" s="1"/>
  <c r="F3102" i="1"/>
  <c r="H3102" i="1" s="1"/>
  <c r="F3103" i="1"/>
  <c r="H3103" i="1" s="1"/>
  <c r="F3104" i="1"/>
  <c r="H3104" i="1" s="1"/>
  <c r="F3105" i="1"/>
  <c r="H3105" i="1" s="1"/>
  <c r="F3106" i="1"/>
  <c r="H3106" i="1" s="1"/>
  <c r="F3107" i="1"/>
  <c r="F3108" i="1"/>
  <c r="H3108" i="1" s="1"/>
  <c r="F3109" i="1"/>
  <c r="H3109" i="1" s="1"/>
  <c r="F3110" i="1"/>
  <c r="H3110" i="1" s="1"/>
  <c r="F3111" i="1"/>
  <c r="H3111" i="1" s="1"/>
  <c r="F3112" i="1"/>
  <c r="H3112" i="1" s="1"/>
  <c r="F3113" i="1"/>
  <c r="H3113" i="1" s="1"/>
  <c r="F3114" i="1"/>
  <c r="H3114" i="1" s="1"/>
  <c r="F3115" i="1"/>
  <c r="H3115" i="1" s="1"/>
  <c r="F3116" i="1"/>
  <c r="H3116" i="1" s="1"/>
  <c r="F3117" i="1"/>
  <c r="H3117" i="1" s="1"/>
  <c r="F3118" i="1"/>
  <c r="H3118" i="1" s="1"/>
  <c r="F3119" i="1"/>
  <c r="H3119" i="1" s="1"/>
  <c r="F3120" i="1"/>
  <c r="H3120" i="1" s="1"/>
  <c r="F3121" i="1"/>
  <c r="H3121" i="1" s="1"/>
  <c r="F3122" i="1"/>
  <c r="H3122" i="1" s="1"/>
  <c r="F3123" i="1"/>
  <c r="H3123" i="1" s="1"/>
  <c r="F3124" i="1"/>
  <c r="H3124" i="1" s="1"/>
  <c r="F3125" i="1"/>
  <c r="H3125" i="1" s="1"/>
  <c r="F3126" i="1"/>
  <c r="H3126" i="1" s="1"/>
  <c r="F3127" i="1"/>
  <c r="H3127" i="1" s="1"/>
  <c r="F3128" i="1"/>
  <c r="H3128" i="1" s="1"/>
  <c r="F3129" i="1"/>
  <c r="H3129" i="1" s="1"/>
  <c r="F3130" i="1"/>
  <c r="H3130" i="1" s="1"/>
  <c r="F3131" i="1"/>
  <c r="H3131" i="1" s="1"/>
  <c r="F3132" i="1"/>
  <c r="H3132" i="1" s="1"/>
  <c r="F3133" i="1"/>
  <c r="H3133" i="1" s="1"/>
  <c r="F3134" i="1"/>
  <c r="H3134" i="1" s="1"/>
  <c r="F3135" i="1"/>
  <c r="H3135" i="1" s="1"/>
  <c r="F3136" i="1"/>
  <c r="H3136" i="1" s="1"/>
  <c r="F3137" i="1"/>
  <c r="H3137" i="1" s="1"/>
  <c r="F3138" i="1"/>
  <c r="H3138" i="1" s="1"/>
  <c r="F3139" i="1"/>
  <c r="H3139" i="1" s="1"/>
  <c r="F3140" i="1"/>
  <c r="H3140" i="1" s="1"/>
  <c r="F3141" i="1"/>
  <c r="H3141" i="1" s="1"/>
  <c r="F3142" i="1"/>
  <c r="H3142" i="1" s="1"/>
  <c r="F3143" i="1"/>
  <c r="H3143" i="1" s="1"/>
  <c r="F3144" i="1"/>
  <c r="H3144" i="1" s="1"/>
  <c r="F3145" i="1"/>
  <c r="H3145" i="1" s="1"/>
  <c r="F3146" i="1"/>
  <c r="H3146" i="1" s="1"/>
  <c r="F3147" i="1"/>
  <c r="H3147" i="1" s="1"/>
  <c r="F3148" i="1"/>
  <c r="F3149" i="1"/>
  <c r="H3149" i="1" s="1"/>
  <c r="F3150" i="1"/>
  <c r="H3150" i="1" s="1"/>
  <c r="F3151" i="1"/>
  <c r="H3151" i="1" s="1"/>
  <c r="F3152" i="1"/>
  <c r="H3152" i="1" s="1"/>
  <c r="F3153" i="1"/>
  <c r="H3153" i="1" s="1"/>
  <c r="F3154" i="1"/>
  <c r="H3154" i="1" s="1"/>
  <c r="F3155" i="1"/>
  <c r="H3155" i="1" s="1"/>
  <c r="F3156" i="1"/>
  <c r="H3156" i="1" s="1"/>
  <c r="F3157" i="1"/>
  <c r="H3157" i="1" s="1"/>
  <c r="F3158" i="1"/>
  <c r="H3158" i="1" s="1"/>
  <c r="F3159" i="1"/>
  <c r="H3159" i="1" s="1"/>
  <c r="F3160" i="1"/>
  <c r="H3160" i="1" s="1"/>
  <c r="F3161" i="1"/>
  <c r="H3161" i="1" s="1"/>
  <c r="F3162" i="1"/>
  <c r="H3162" i="1" s="1"/>
  <c r="F3163" i="1"/>
  <c r="H3163" i="1" s="1"/>
  <c r="F3164" i="1"/>
  <c r="H3164" i="1" s="1"/>
  <c r="F3165" i="1"/>
  <c r="H3165" i="1" s="1"/>
  <c r="F3166" i="1"/>
  <c r="H3166" i="1" s="1"/>
  <c r="F3167" i="1"/>
  <c r="H3167" i="1" s="1"/>
  <c r="F3168" i="1"/>
  <c r="F3169" i="1"/>
  <c r="H3169" i="1" s="1"/>
  <c r="F3170" i="1"/>
  <c r="H3170" i="1" s="1"/>
  <c r="F3171" i="1"/>
  <c r="H3171" i="1" s="1"/>
  <c r="F3172" i="1"/>
  <c r="H3172" i="1" s="1"/>
  <c r="F3173" i="1"/>
  <c r="H3173" i="1" s="1"/>
  <c r="F3174" i="1"/>
  <c r="H3174" i="1" s="1"/>
  <c r="F3175" i="1"/>
  <c r="H3175" i="1" s="1"/>
  <c r="F3176" i="1"/>
  <c r="H3176" i="1" s="1"/>
  <c r="F3177" i="1"/>
  <c r="H3177" i="1" s="1"/>
  <c r="F3178" i="1"/>
  <c r="H3178" i="1" s="1"/>
  <c r="F3179" i="1"/>
  <c r="H3179" i="1" s="1"/>
  <c r="F3180" i="1"/>
  <c r="F3181" i="1"/>
  <c r="H3181" i="1" s="1"/>
  <c r="F3182" i="1"/>
  <c r="H3182" i="1" s="1"/>
  <c r="F3183" i="1"/>
  <c r="H3183" i="1" s="1"/>
  <c r="F3184" i="1"/>
  <c r="H3184" i="1" s="1"/>
  <c r="F3185" i="1"/>
  <c r="H3185" i="1" s="1"/>
  <c r="F3186" i="1"/>
  <c r="H3186" i="1" s="1"/>
  <c r="F3187" i="1"/>
  <c r="H3187" i="1" s="1"/>
  <c r="F3188" i="1"/>
  <c r="H3188" i="1" s="1"/>
  <c r="F3189" i="1"/>
  <c r="H3189" i="1" s="1"/>
  <c r="F3190" i="1"/>
  <c r="H3190" i="1" s="1"/>
  <c r="F3191" i="1"/>
  <c r="H3191" i="1" s="1"/>
  <c r="F3192" i="1"/>
  <c r="H3192" i="1" s="1"/>
  <c r="F3193" i="1"/>
  <c r="H3193" i="1" s="1"/>
  <c r="F3194" i="1"/>
  <c r="H3194" i="1" s="1"/>
  <c r="F3195" i="1"/>
  <c r="H3195" i="1" s="1"/>
  <c r="F3196" i="1"/>
  <c r="H3196" i="1" s="1"/>
  <c r="F3197" i="1"/>
  <c r="H3197" i="1" s="1"/>
  <c r="F3198" i="1"/>
  <c r="H3198" i="1" s="1"/>
  <c r="F3199" i="1"/>
  <c r="H3199" i="1" s="1"/>
  <c r="F3200" i="1"/>
  <c r="H3200" i="1" s="1"/>
  <c r="F3201" i="1"/>
  <c r="H3201" i="1" s="1"/>
  <c r="F3202" i="1"/>
  <c r="H3202" i="1" s="1"/>
  <c r="F3203" i="1"/>
  <c r="H3203" i="1" s="1"/>
  <c r="F3204" i="1"/>
  <c r="H3204" i="1" s="1"/>
  <c r="F3205" i="1"/>
  <c r="F3206" i="1"/>
  <c r="H3206" i="1" s="1"/>
  <c r="F3207" i="1"/>
  <c r="H3207" i="1" s="1"/>
  <c r="F3208" i="1"/>
  <c r="H3208" i="1" s="1"/>
  <c r="F3209" i="1"/>
  <c r="H3209" i="1" s="1"/>
  <c r="F3210" i="1"/>
  <c r="H3210" i="1" s="1"/>
  <c r="F3211" i="1"/>
  <c r="H3211" i="1" s="1"/>
  <c r="F3212" i="1"/>
  <c r="H3212" i="1" s="1"/>
  <c r="F3213" i="1"/>
  <c r="H3213" i="1" s="1"/>
  <c r="F3214" i="1"/>
  <c r="H3214" i="1" s="1"/>
  <c r="F3215" i="1"/>
  <c r="H3215" i="1" s="1"/>
  <c r="F3216" i="1"/>
  <c r="H3216" i="1" s="1"/>
  <c r="F3217" i="1"/>
  <c r="H3217" i="1" s="1"/>
  <c r="F3218" i="1"/>
  <c r="H3218" i="1" s="1"/>
  <c r="F3219" i="1"/>
  <c r="H3219" i="1" s="1"/>
  <c r="F3220" i="1"/>
  <c r="H3220" i="1" s="1"/>
  <c r="F3221" i="1"/>
  <c r="H3221" i="1" s="1"/>
  <c r="F3222" i="1"/>
  <c r="H3222" i="1" s="1"/>
  <c r="F3223" i="1"/>
  <c r="H3223" i="1" s="1"/>
  <c r="F3224" i="1"/>
  <c r="H3224" i="1" s="1"/>
  <c r="F3225" i="1"/>
  <c r="H3225" i="1" s="1"/>
  <c r="F3226" i="1"/>
  <c r="H3226" i="1" s="1"/>
  <c r="F3227" i="1"/>
  <c r="F3228" i="1"/>
  <c r="H3228" i="1" s="1"/>
  <c r="F3229" i="1"/>
  <c r="H3229" i="1" s="1"/>
  <c r="F3230" i="1"/>
  <c r="H3230" i="1" s="1"/>
  <c r="F3231" i="1"/>
  <c r="H3231" i="1" s="1"/>
  <c r="F3232" i="1"/>
  <c r="H3232" i="1" s="1"/>
  <c r="F3233" i="1"/>
  <c r="H3233" i="1" s="1"/>
  <c r="F3234" i="1"/>
  <c r="H3234" i="1" s="1"/>
  <c r="F3235" i="1"/>
  <c r="H3235" i="1" s="1"/>
  <c r="F3236" i="1"/>
  <c r="H3236" i="1" s="1"/>
  <c r="F3237" i="1"/>
  <c r="H3237" i="1" s="1"/>
  <c r="F3238" i="1"/>
  <c r="H3238" i="1" s="1"/>
  <c r="F3239" i="1"/>
  <c r="H3239" i="1" s="1"/>
  <c r="F3240" i="1"/>
  <c r="H3240" i="1" s="1"/>
  <c r="F3241" i="1"/>
  <c r="H3241" i="1" s="1"/>
  <c r="F3242" i="1"/>
  <c r="H3242" i="1" s="1"/>
  <c r="F3243" i="1"/>
  <c r="H3243" i="1" s="1"/>
  <c r="F3244" i="1"/>
  <c r="H3244" i="1" s="1"/>
  <c r="F3245" i="1"/>
  <c r="H3245" i="1" s="1"/>
  <c r="F3246" i="1"/>
  <c r="H3246" i="1" s="1"/>
  <c r="F3247" i="1"/>
  <c r="H3247" i="1" s="1"/>
  <c r="F3248" i="1"/>
  <c r="H3248" i="1" s="1"/>
  <c r="F3249" i="1"/>
  <c r="H3249" i="1" s="1"/>
  <c r="F3250" i="1"/>
  <c r="H3250" i="1" s="1"/>
  <c r="F3251" i="1"/>
  <c r="H3251" i="1" s="1"/>
  <c r="F3252" i="1"/>
  <c r="H3252" i="1" s="1"/>
  <c r="F3253" i="1"/>
  <c r="H3253" i="1" s="1"/>
  <c r="F3254" i="1"/>
  <c r="H3254" i="1" s="1"/>
  <c r="F3255" i="1"/>
  <c r="H3255" i="1" s="1"/>
  <c r="F3256" i="1"/>
  <c r="H3256" i="1" s="1"/>
  <c r="F3257" i="1"/>
  <c r="H3257" i="1" s="1"/>
  <c r="F3258" i="1"/>
  <c r="H3258" i="1" s="1"/>
  <c r="F3259" i="1"/>
  <c r="H3259" i="1" s="1"/>
  <c r="F3260" i="1"/>
  <c r="H3260" i="1" s="1"/>
  <c r="F3261" i="1"/>
  <c r="H3261" i="1" s="1"/>
  <c r="F3262" i="1"/>
  <c r="F3263" i="1"/>
  <c r="H3263" i="1" s="1"/>
  <c r="F3264" i="1"/>
  <c r="H3264" i="1" s="1"/>
  <c r="F3265" i="1"/>
  <c r="H3265" i="1" s="1"/>
  <c r="F3266" i="1"/>
  <c r="H3266" i="1" s="1"/>
  <c r="F3267" i="1"/>
  <c r="H3267" i="1" s="1"/>
  <c r="F3268" i="1"/>
  <c r="H3268" i="1" s="1"/>
  <c r="F3269" i="1"/>
  <c r="H3269" i="1" s="1"/>
  <c r="F3270" i="1"/>
  <c r="H3270" i="1" s="1"/>
  <c r="F3271" i="1"/>
  <c r="H3271" i="1" s="1"/>
  <c r="F3272" i="1"/>
  <c r="H3272" i="1" s="1"/>
  <c r="F3273" i="1"/>
  <c r="H3273" i="1" s="1"/>
  <c r="F3274" i="1"/>
  <c r="H3274" i="1" s="1"/>
  <c r="F3275" i="1"/>
  <c r="H3275" i="1" s="1"/>
  <c r="F3276" i="1"/>
  <c r="H3276" i="1" s="1"/>
  <c r="F3277" i="1"/>
  <c r="H3277" i="1" s="1"/>
  <c r="F3278" i="1"/>
  <c r="H3278" i="1" s="1"/>
  <c r="F3279" i="1"/>
  <c r="H3279" i="1" s="1"/>
  <c r="F3280" i="1"/>
  <c r="H3280" i="1" s="1"/>
  <c r="F3281" i="1"/>
  <c r="H3281" i="1" s="1"/>
  <c r="F3282" i="1"/>
  <c r="H3282" i="1" s="1"/>
  <c r="F3283" i="1"/>
  <c r="H3283" i="1" s="1"/>
  <c r="H3262" i="1" l="1"/>
  <c r="H3227" i="1"/>
  <c r="H3205" i="1"/>
  <c r="H3180" i="1"/>
  <c r="H3168" i="1"/>
  <c r="H3148" i="1"/>
  <c r="H3107" i="1"/>
  <c r="H3047" i="1"/>
  <c r="H3024" i="1"/>
  <c r="H3023" i="1"/>
  <c r="H3005" i="1"/>
  <c r="H2988" i="1"/>
  <c r="H2963" i="1"/>
  <c r="H2935" i="1"/>
  <c r="H2885" i="1"/>
  <c r="H2875" i="1"/>
  <c r="H2775" i="1"/>
  <c r="H2746" i="1"/>
  <c r="H2740" i="1"/>
  <c r="H2698" i="1"/>
  <c r="H2662" i="1"/>
  <c r="H2617" i="1"/>
  <c r="H2615" i="1"/>
  <c r="H2600" i="1"/>
  <c r="H2599" i="1"/>
  <c r="H2570" i="1"/>
  <c r="H2558" i="1"/>
  <c r="H2537" i="1"/>
  <c r="H2496" i="1"/>
  <c r="H2491" i="1"/>
  <c r="H2480" i="1"/>
  <c r="H2479" i="1"/>
  <c r="H2448" i="1"/>
  <c r="H2431" i="1"/>
  <c r="H2425" i="1"/>
  <c r="H2420" i="1"/>
  <c r="H2394" i="1"/>
  <c r="H2356" i="1"/>
  <c r="H2353" i="1"/>
  <c r="H2232" i="1"/>
  <c r="H2202" i="1"/>
  <c r="H2168" i="1"/>
  <c r="H2133" i="1"/>
  <c r="H2111" i="1"/>
  <c r="H2086" i="1"/>
  <c r="H2074" i="1"/>
  <c r="H2054" i="1"/>
  <c r="H2013" i="1"/>
  <c r="H1953" i="1"/>
  <c r="H1930" i="1"/>
  <c r="H1929" i="1"/>
  <c r="H1911" i="1"/>
  <c r="H1894" i="1"/>
  <c r="H1869" i="1"/>
  <c r="H1841" i="1"/>
  <c r="H1791" i="1"/>
  <c r="H1781" i="1"/>
  <c r="H1681" i="1"/>
  <c r="H1652" i="1"/>
  <c r="H1646" i="1"/>
  <c r="H1604" i="1"/>
  <c r="H1568" i="1"/>
  <c r="H1523" i="1"/>
  <c r="H1521" i="1"/>
  <c r="H1506" i="1"/>
  <c r="H1505" i="1"/>
  <c r="H1476" i="1"/>
  <c r="H1464" i="1"/>
  <c r="H1443" i="1"/>
  <c r="H1402" i="1"/>
  <c r="H1397" i="1"/>
  <c r="H1386" i="1"/>
  <c r="H1385" i="1"/>
  <c r="H1354" i="1"/>
  <c r="H1337" i="1"/>
  <c r="H1331" i="1"/>
  <c r="H1326" i="1"/>
  <c r="H1300" i="1"/>
  <c r="H1262" i="1"/>
  <c r="H1259" i="1"/>
  <c r="H1138" i="1"/>
  <c r="H1108" i="1"/>
  <c r="H1074" i="1"/>
  <c r="H1039" i="1"/>
  <c r="H1017" i="1"/>
  <c r="H992" i="1"/>
  <c r="H980" i="1"/>
  <c r="H960" i="1"/>
  <c r="H919" i="1"/>
  <c r="H859" i="1"/>
  <c r="H836" i="1"/>
  <c r="H835" i="1"/>
  <c r="H817" i="1"/>
  <c r="H800" i="1"/>
  <c r="H775" i="1"/>
  <c r="H747" i="1"/>
  <c r="H697" i="1"/>
  <c r="H687" i="1"/>
  <c r="H587" i="1"/>
  <c r="H558" i="1"/>
  <c r="H552" i="1"/>
  <c r="H510" i="1"/>
  <c r="H474" i="1"/>
  <c r="H429" i="1"/>
  <c r="H427" i="1"/>
  <c r="H412" i="1"/>
  <c r="H411" i="1"/>
  <c r="H382" i="1"/>
  <c r="H370" i="1"/>
  <c r="H349" i="1"/>
  <c r="H308" i="1"/>
  <c r="H303" i="1"/>
  <c r="H292" i="1"/>
  <c r="H291" i="1"/>
  <c r="H260" i="1"/>
  <c r="H243" i="1"/>
  <c r="H237" i="1"/>
  <c r="H232" i="1"/>
  <c r="H206" i="1"/>
  <c r="H168" i="1"/>
  <c r="H165" i="1"/>
  <c r="H44" i="1"/>
  <c r="H14" i="1"/>
</calcChain>
</file>

<file path=xl/sharedStrings.xml><?xml version="1.0" encoding="utf-8"?>
<sst xmlns="http://schemas.openxmlformats.org/spreadsheetml/2006/main" count="13173" uniqueCount="3079">
  <si>
    <t>Sales Person</t>
  </si>
  <si>
    <t>Sum of Clean Amount</t>
  </si>
  <si>
    <t>Mallorie Waber</t>
  </si>
  <si>
    <t>Grand Total</t>
  </si>
  <si>
    <t>Country</t>
  </si>
  <si>
    <t>Australia</t>
  </si>
  <si>
    <t>Dennison Crosswaite</t>
  </si>
  <si>
    <t>Brien Boise</t>
  </si>
  <si>
    <t>Kaine Padly</t>
  </si>
  <si>
    <t>Madelene Upcott</t>
  </si>
  <si>
    <t>Van Tuxwell</t>
  </si>
  <si>
    <t>Jehu Rudeforth</t>
  </si>
  <si>
    <t>Kelci Walkden</t>
  </si>
  <si>
    <t>Husein Augar</t>
  </si>
  <si>
    <t>Marney O'Breen</t>
  </si>
  <si>
    <t>Jan Morforth</t>
  </si>
  <si>
    <t>Barr Faughny</t>
  </si>
  <si>
    <t>Ches Bonnell</t>
  </si>
  <si>
    <t>Karlen McCaffrey</t>
  </si>
  <si>
    <t>Rafaelita Blaksland</t>
  </si>
  <si>
    <t>Gigi Bohling</t>
  </si>
  <si>
    <t>Dotty Strutley</t>
  </si>
  <si>
    <t>Oby Sorrel</t>
  </si>
  <si>
    <t>Gunar Cockshoot</t>
  </si>
  <si>
    <t>Curtice Advani</t>
  </si>
  <si>
    <t>Camilla Castle</t>
  </si>
  <si>
    <t>Roddy Speechley</t>
  </si>
  <si>
    <t>Andria Kimpton</t>
  </si>
  <si>
    <t>Beverie Moffet</t>
  </si>
  <si>
    <t>Wilone O'Kielt</t>
  </si>
  <si>
    <t>Australia Total</t>
  </si>
  <si>
    <t>Product</t>
  </si>
  <si>
    <t>Date</t>
  </si>
  <si>
    <t>Amount</t>
  </si>
  <si>
    <t>Clean Amount</t>
  </si>
  <si>
    <t>Boxes Shipped</t>
  </si>
  <si>
    <t>Performance</t>
  </si>
  <si>
    <t>Market</t>
  </si>
  <si>
    <t>Lookup Test</t>
  </si>
  <si>
    <t>UK</t>
  </si>
  <si>
    <t>Mint Chip Choco</t>
  </si>
  <si>
    <t>$5,320.00</t>
  </si>
  <si>
    <t>India</t>
  </si>
  <si>
    <t>85% Dark Bars</t>
  </si>
  <si>
    <t>$7,896.00</t>
  </si>
  <si>
    <t>Peanut Butter Cubes</t>
  </si>
  <si>
    <t>$4,501.00</t>
  </si>
  <si>
    <t>$12,726.00</t>
  </si>
  <si>
    <t>$13,685.00</t>
  </si>
  <si>
    <t>Smooth Sliky Salty</t>
  </si>
  <si>
    <t>$5,376.00</t>
  </si>
  <si>
    <t>99% Dark &amp; Pure</t>
  </si>
  <si>
    <t>After Nines</t>
  </si>
  <si>
    <t>$3,080.00</t>
  </si>
  <si>
    <t>New Zealand</t>
  </si>
  <si>
    <t>50% Dark Bites</t>
  </si>
  <si>
    <t>$3,990.00</t>
  </si>
  <si>
    <t>$2,835.00</t>
  </si>
  <si>
    <t>$4,704.00</t>
  </si>
  <si>
    <t>USA</t>
  </si>
  <si>
    <t>Orange Choco</t>
  </si>
  <si>
    <t>$3,703.00</t>
  </si>
  <si>
    <t>Canada</t>
  </si>
  <si>
    <t>Eclairs</t>
  </si>
  <si>
    <t>$1,442.00</t>
  </si>
  <si>
    <t>Drinking Coco</t>
  </si>
  <si>
    <t>$168.00</t>
  </si>
  <si>
    <t>$8,379.00</t>
  </si>
  <si>
    <t>Organic Choco Syrup</t>
  </si>
  <si>
    <t>$6,790.00</t>
  </si>
  <si>
    <t>$4,067.00</t>
  </si>
  <si>
    <t>$3,017.00</t>
  </si>
  <si>
    <t>Milk Bars</t>
  </si>
  <si>
    <t>$8,799.00</t>
  </si>
  <si>
    <t>$1,085.00</t>
  </si>
  <si>
    <t>$6,888.00</t>
  </si>
  <si>
    <t>Spicy Special Slims</t>
  </si>
  <si>
    <t>$1,267.00</t>
  </si>
  <si>
    <t>$4,753.00</t>
  </si>
  <si>
    <t>$3,003.00</t>
  </si>
  <si>
    <t>$7,672.00</t>
  </si>
  <si>
    <t>Fruit &amp; Nut Bars</t>
  </si>
  <si>
    <t>$1,652.00</t>
  </si>
  <si>
    <t>$4,025.00</t>
  </si>
  <si>
    <t>White Choc</t>
  </si>
  <si>
    <t>$9,492.00</t>
  </si>
  <si>
    <t>Manuka Honey Choco</t>
  </si>
  <si>
    <t>$5,061.00</t>
  </si>
  <si>
    <t>$1,722.00</t>
  </si>
  <si>
    <t>$12,446.00</t>
  </si>
  <si>
    <t>$4,284.00</t>
  </si>
  <si>
    <t>Almond Choco</t>
  </si>
  <si>
    <t>$6,839.00</t>
  </si>
  <si>
    <t>$2,163.00</t>
  </si>
  <si>
    <t>$9,583.00</t>
  </si>
  <si>
    <t>$2,653.00</t>
  </si>
  <si>
    <t>$147.00</t>
  </si>
  <si>
    <t>$3,654.00</t>
  </si>
  <si>
    <t>$2,443.00</t>
  </si>
  <si>
    <t>$938.00</t>
  </si>
  <si>
    <t>Raspberry Choco</t>
  </si>
  <si>
    <t>$14,749.00</t>
  </si>
  <si>
    <t>Choco Coated Almonds</t>
  </si>
  <si>
    <t>$4,781.00</t>
  </si>
  <si>
    <t>$6,307.00</t>
  </si>
  <si>
    <t>$7,602.00</t>
  </si>
  <si>
    <t>$9,737.00</t>
  </si>
  <si>
    <t>$6,979.00</t>
  </si>
  <si>
    <t>$4,382.00</t>
  </si>
  <si>
    <t>$5,243.00</t>
  </si>
  <si>
    <t>$4,865.00</t>
  </si>
  <si>
    <t>$8,575.00</t>
  </si>
  <si>
    <t>$91.00</t>
  </si>
  <si>
    <t>$14,798.00</t>
  </si>
  <si>
    <t>$2,205.00</t>
  </si>
  <si>
    <t>$441.00</t>
  </si>
  <si>
    <t>$3,556.00</t>
  </si>
  <si>
    <t>$16,793.00</t>
  </si>
  <si>
    <t>$15,421.00</t>
  </si>
  <si>
    <t>$4,438.00</t>
  </si>
  <si>
    <t>$1,603.00</t>
  </si>
  <si>
    <t>$273.00</t>
  </si>
  <si>
    <t>Baker's Choco Chips</t>
  </si>
  <si>
    <t>$3,073.00</t>
  </si>
  <si>
    <t>$6,090.00</t>
  </si>
  <si>
    <t>$10,255.00</t>
  </si>
  <si>
    <t>Caramel Stuffed Bars</t>
  </si>
  <si>
    <t>$2,030.00</t>
  </si>
  <si>
    <t>$19,453.00</t>
  </si>
  <si>
    <t>$9,275.00</t>
  </si>
  <si>
    <t>$6,181.00</t>
  </si>
  <si>
    <t>$9,037.00</t>
  </si>
  <si>
    <t>$12,313.00</t>
  </si>
  <si>
    <t>$5,642.00</t>
  </si>
  <si>
    <t>$2,800.00</t>
  </si>
  <si>
    <t>$959.00</t>
  </si>
  <si>
    <t>$2,002.00</t>
  </si>
  <si>
    <t>$609.00</t>
  </si>
  <si>
    <t>$1,274.00</t>
  </si>
  <si>
    <t>$7,595.00</t>
  </si>
  <si>
    <t>$4,725.00</t>
  </si>
  <si>
    <t>$9,681.00</t>
  </si>
  <si>
    <t>$14,504.00</t>
  </si>
  <si>
    <t>$280.00</t>
  </si>
  <si>
    <t>$63.00</t>
  </si>
  <si>
    <t>$8,001.00</t>
  </si>
  <si>
    <t>$4,032.00</t>
  </si>
  <si>
    <t>70% Dark Bites</t>
  </si>
  <si>
    <t>$5,859.00</t>
  </si>
  <si>
    <t>$11,095.00</t>
  </si>
  <si>
    <t>$7,182.00</t>
  </si>
  <si>
    <t>$6,881.00</t>
  </si>
  <si>
    <t>$7,154.00</t>
  </si>
  <si>
    <t>$6,188.00</t>
  </si>
  <si>
    <t>$4,221.00</t>
  </si>
  <si>
    <t>$630.00</t>
  </si>
  <si>
    <t>$1,743.00</t>
  </si>
  <si>
    <t>$2,919.00</t>
  </si>
  <si>
    <t>$49.00</t>
  </si>
  <si>
    <t>$1,827.00</t>
  </si>
  <si>
    <t>$13,006.00</t>
  </si>
  <si>
    <t>$1,064.00</t>
  </si>
  <si>
    <t>$11,571.00</t>
  </si>
  <si>
    <t>$5,740.00</t>
  </si>
  <si>
    <t>$1,456.00</t>
  </si>
  <si>
    <t>$5,334.00</t>
  </si>
  <si>
    <t>$4,151.00</t>
  </si>
  <si>
    <t>$8,106.00</t>
  </si>
  <si>
    <t>$126.00</t>
  </si>
  <si>
    <t>$4,697.00</t>
  </si>
  <si>
    <t>$7,798.00</t>
  </si>
  <si>
    <t>$9,408.00</t>
  </si>
  <si>
    <t>$1,939.00</t>
  </si>
  <si>
    <t>$10,906.00</t>
  </si>
  <si>
    <t>$5,929.00</t>
  </si>
  <si>
    <t>$5,579.00</t>
  </si>
  <si>
    <t>$10,927.00</t>
  </si>
  <si>
    <t>$623.00</t>
  </si>
  <si>
    <t>$6,013.00</t>
  </si>
  <si>
    <t>$1,505.00</t>
  </si>
  <si>
    <t>$476.00</t>
  </si>
  <si>
    <t>$11,550.00</t>
  </si>
  <si>
    <t>$17,318.00</t>
  </si>
  <si>
    <t>$1,848.00</t>
  </si>
  <si>
    <t>$7,273.00</t>
  </si>
  <si>
    <t>$854.00</t>
  </si>
  <si>
    <t>$6,832.00</t>
  </si>
  <si>
    <t>$4,606.00</t>
  </si>
  <si>
    <t>$4,466.00</t>
  </si>
  <si>
    <t>$16,114.00</t>
  </si>
  <si>
    <t>$1,561.00</t>
  </si>
  <si>
    <t>$8,897.00</t>
  </si>
  <si>
    <t>$2,464.00</t>
  </si>
  <si>
    <t>$4,830.00</t>
  </si>
  <si>
    <t>$2,765.00</t>
  </si>
  <si>
    <t>$7,126.00</t>
  </si>
  <si>
    <t>$4,263.00</t>
  </si>
  <si>
    <t>$3,605.00</t>
  </si>
  <si>
    <t>$19,929.00</t>
  </si>
  <si>
    <t>$5,103.00</t>
  </si>
  <si>
    <t>$2,541.00</t>
  </si>
  <si>
    <t>$5,663.00</t>
  </si>
  <si>
    <t>$392.00</t>
  </si>
  <si>
    <t>$10,976.00</t>
  </si>
  <si>
    <t>$9,282.00</t>
  </si>
  <si>
    <t>$8,267.00</t>
  </si>
  <si>
    <t>$4,116.00</t>
  </si>
  <si>
    <t>$2,093.00</t>
  </si>
  <si>
    <t>$1,015.00</t>
  </si>
  <si>
    <t>$12,516.00</t>
  </si>
  <si>
    <t>$2,758.00</t>
  </si>
  <si>
    <t>$3,297.00</t>
  </si>
  <si>
    <t>$6,048.00</t>
  </si>
  <si>
    <t>$10,101.00</t>
  </si>
  <si>
    <t>$2,282.00</t>
  </si>
  <si>
    <t>$4,361.00</t>
  </si>
  <si>
    <t>$3,052.00</t>
  </si>
  <si>
    <t>$8,029.00</t>
  </si>
  <si>
    <t>$5,460.00</t>
  </si>
  <si>
    <t>$8,911.00</t>
  </si>
  <si>
    <t>$7,203.00</t>
  </si>
  <si>
    <t>$13,083.00</t>
  </si>
  <si>
    <t>$2,779.00</t>
  </si>
  <si>
    <t>$9,058.00</t>
  </si>
  <si>
    <t>$3,549.00</t>
  </si>
  <si>
    <t>$9,436.00</t>
  </si>
  <si>
    <t>$10,283.00</t>
  </si>
  <si>
    <t>$5,446.00</t>
  </si>
  <si>
    <t>$1,043.00</t>
  </si>
  <si>
    <t>$12,586.00</t>
  </si>
  <si>
    <t>$1,687.00</t>
  </si>
  <si>
    <t>$5,299.00</t>
  </si>
  <si>
    <t>$3,213.00</t>
  </si>
  <si>
    <t>$5,194.00</t>
  </si>
  <si>
    <t>$13,706.00</t>
  </si>
  <si>
    <t>$6,489.00</t>
  </si>
  <si>
    <t>$9,324.00</t>
  </si>
  <si>
    <t>$10,829.00</t>
  </si>
  <si>
    <t>$8,113.00</t>
  </si>
  <si>
    <t>$3,269.00</t>
  </si>
  <si>
    <t>$7,287.00</t>
  </si>
  <si>
    <t>$2,583.00</t>
  </si>
  <si>
    <t>$9,982.00</t>
  </si>
  <si>
    <t>$4,795.00</t>
  </si>
  <si>
    <t>$9,310.00</t>
  </si>
  <si>
    <t>$497.00</t>
  </si>
  <si>
    <t>$581.00</t>
  </si>
  <si>
    <t>$3,472.00</t>
  </si>
  <si>
    <t>$4,333.00</t>
  </si>
  <si>
    <t>$3,325.00</t>
  </si>
  <si>
    <t>$11,718.00</t>
  </si>
  <si>
    <t>$2,100.00</t>
  </si>
  <si>
    <t>$4,018.00</t>
  </si>
  <si>
    <t>$6,468.00</t>
  </si>
  <si>
    <t>$7,238.00</t>
  </si>
  <si>
    <t>$6,454.00</t>
  </si>
  <si>
    <t>$3,115.00</t>
  </si>
  <si>
    <t>$6,475.00</t>
  </si>
  <si>
    <t>$1,162.00</t>
  </si>
  <si>
    <t>$14,238.00</t>
  </si>
  <si>
    <t>$1,428.00</t>
  </si>
  <si>
    <t>$8,064.00</t>
  </si>
  <si>
    <t>$9,660.00</t>
  </si>
  <si>
    <t>$7,357.00</t>
  </si>
  <si>
    <t>$6,055.00</t>
  </si>
  <si>
    <t>$5,124.00</t>
  </si>
  <si>
    <t>$3,479.00</t>
  </si>
  <si>
    <t>$784.00</t>
  </si>
  <si>
    <t>$18,991.00</t>
  </si>
  <si>
    <t>$1,372.00</t>
  </si>
  <si>
    <t>$735.00</t>
  </si>
  <si>
    <t>$6,538.00</t>
  </si>
  <si>
    <t>$3,199.00</t>
  </si>
  <si>
    <t>$4,571.00</t>
  </si>
  <si>
    <t>$5,481.00</t>
  </si>
  <si>
    <t>$3,136.00</t>
  </si>
  <si>
    <t>$252.00</t>
  </si>
  <si>
    <t>$3,395.00</t>
  </si>
  <si>
    <t>$14,938.00</t>
  </si>
  <si>
    <t>$4,053.00</t>
  </si>
  <si>
    <t>$5,565.00</t>
  </si>
  <si>
    <t>$7,161.00</t>
  </si>
  <si>
    <t>$8,883.00</t>
  </si>
  <si>
    <t>$1,351.00</t>
  </si>
  <si>
    <t>$3,171.00</t>
  </si>
  <si>
    <t>$7,910.00</t>
  </si>
  <si>
    <t>$3,108.00</t>
  </si>
  <si>
    <t>$5,075.00</t>
  </si>
  <si>
    <t>$378.00</t>
  </si>
  <si>
    <t>$7,350.00</t>
  </si>
  <si>
    <t>$3,388.00</t>
  </si>
  <si>
    <t>$11,837.00</t>
  </si>
  <si>
    <t>$5,425.00</t>
  </si>
  <si>
    <t>$3,752.00</t>
  </si>
  <si>
    <t>$7,728.00</t>
  </si>
  <si>
    <t>$2,296.00</t>
  </si>
  <si>
    <t>$4,403.00</t>
  </si>
  <si>
    <t>$3,192.00</t>
  </si>
  <si>
    <t>$448.00</t>
  </si>
  <si>
    <t>$4,270.00</t>
  </si>
  <si>
    <t>$70.00</t>
  </si>
  <si>
    <t>$6,762.00</t>
  </si>
  <si>
    <t>$3,745.00</t>
  </si>
  <si>
    <t>$2,639.00</t>
  </si>
  <si>
    <t>$4,389.00</t>
  </si>
  <si>
    <t>$2,604.00</t>
  </si>
  <si>
    <t>$16,569.00</t>
  </si>
  <si>
    <t>$14,658.00</t>
  </si>
  <si>
    <t>$161.00</t>
  </si>
  <si>
    <t>$2,807.00</t>
  </si>
  <si>
    <t>$13,034.00</t>
  </si>
  <si>
    <t>$8,484.00</t>
  </si>
  <si>
    <t>$2,240.00</t>
  </si>
  <si>
    <t>$13,447.00</t>
  </si>
  <si>
    <t>$9,422.00</t>
  </si>
  <si>
    <t>$8,687.00</t>
  </si>
  <si>
    <t>$2,415.00</t>
  </si>
  <si>
    <t>$6,272.00</t>
  </si>
  <si>
    <t>$3,122.00</t>
  </si>
  <si>
    <t>$8,043.00</t>
  </si>
  <si>
    <t>$11,662.00</t>
  </si>
  <si>
    <t>$8,925.00</t>
  </si>
  <si>
    <t>$7,294.00</t>
  </si>
  <si>
    <t>$1,526.00</t>
  </si>
  <si>
    <t>$2,688.00</t>
  </si>
  <si>
    <t>$14,889.00</t>
  </si>
  <si>
    <t>$2,912.00</t>
  </si>
  <si>
    <t>$2,632.00</t>
  </si>
  <si>
    <t>$6,328.00</t>
  </si>
  <si>
    <t>$2,527.00</t>
  </si>
  <si>
    <t>$1,414.00</t>
  </si>
  <si>
    <t>$7,714.00</t>
  </si>
  <si>
    <t>$4,347.00</t>
  </si>
  <si>
    <t>$7,490.00</t>
  </si>
  <si>
    <t>$2,058.00</t>
  </si>
  <si>
    <t>$3,640.00</t>
  </si>
  <si>
    <t>$455.00</t>
  </si>
  <si>
    <t>$10,990.00</t>
  </si>
  <si>
    <t>$5,558.00</t>
  </si>
  <si>
    <t>$1,876.00</t>
  </si>
  <si>
    <t>$5,523.00</t>
  </si>
  <si>
    <t>$11,200.00</t>
  </si>
  <si>
    <t>$5,593.00</t>
  </si>
  <si>
    <t>$7,882.00</t>
  </si>
  <si>
    <t>$10,241.00</t>
  </si>
  <si>
    <t>$1,379.00</t>
  </si>
  <si>
    <t>$3,010.00</t>
  </si>
  <si>
    <t>$1,540.00</t>
  </si>
  <si>
    <t>$6,916.00</t>
  </si>
  <si>
    <t>$1,232.00</t>
  </si>
  <si>
    <t>$602.00</t>
  </si>
  <si>
    <t>$10,185.00</t>
  </si>
  <si>
    <t>$2,170.00</t>
  </si>
  <si>
    <t>$8,673.00</t>
  </si>
  <si>
    <t>$4,760.00</t>
  </si>
  <si>
    <t>$3,374.00</t>
  </si>
  <si>
    <t>$420.00</t>
  </si>
  <si>
    <t>$2,863.00</t>
  </si>
  <si>
    <t>$5,936.00</t>
  </si>
  <si>
    <t>$889.00</t>
  </si>
  <si>
    <t>$16,016.00</t>
  </si>
  <si>
    <t>$10,479.00</t>
  </si>
  <si>
    <t>$1,575.00</t>
  </si>
  <si>
    <t>$8,197.00</t>
  </si>
  <si>
    <t>$840.00</t>
  </si>
  <si>
    <t>$5,691.00</t>
  </si>
  <si>
    <t>$4,193.00</t>
  </si>
  <si>
    <t>$9,016.00</t>
  </si>
  <si>
    <t>$9,870.00</t>
  </si>
  <si>
    <t>$2,576.00</t>
  </si>
  <si>
    <t>$3,178.00</t>
  </si>
  <si>
    <t>$4,676.00</t>
  </si>
  <si>
    <t>$5,502.00</t>
  </si>
  <si>
    <t>$7,462.00</t>
  </si>
  <si>
    <t>$5,803.00</t>
  </si>
  <si>
    <t>$13,888.00</t>
  </si>
  <si>
    <t>$6,867.00</t>
  </si>
  <si>
    <t>$2,317.00</t>
  </si>
  <si>
    <t>$1,218.00</t>
  </si>
  <si>
    <t>$4,109.00</t>
  </si>
  <si>
    <t>$1,953.00</t>
  </si>
  <si>
    <t>$6,797.00</t>
  </si>
  <si>
    <t>$9,226.00</t>
  </si>
  <si>
    <t>$5,733.00</t>
  </si>
  <si>
    <t>$4,312.00</t>
  </si>
  <si>
    <t>$1,638.00</t>
  </si>
  <si>
    <t>$10,815.00</t>
  </si>
  <si>
    <t>$987.00</t>
  </si>
  <si>
    <t>$4,669.00</t>
  </si>
  <si>
    <t>$2,905.00</t>
  </si>
  <si>
    <t>$6,986.00</t>
  </si>
  <si>
    <t>$1,288.00</t>
  </si>
  <si>
    <t>$2,345.00</t>
  </si>
  <si>
    <t>$3,619.00</t>
  </si>
  <si>
    <t>$16,982.00</t>
  </si>
  <si>
    <t>$8,092.00</t>
  </si>
  <si>
    <t>$6,993.00</t>
  </si>
  <si>
    <t>$637.00</t>
  </si>
  <si>
    <t>$6,034.00</t>
  </si>
  <si>
    <t>$980.00</t>
  </si>
  <si>
    <t>$2,821.00</t>
  </si>
  <si>
    <t>$3,563.00</t>
  </si>
  <si>
    <t>$2,996.00</t>
  </si>
  <si>
    <t>$2,436.00</t>
  </si>
  <si>
    <t>$5,509.00</t>
  </si>
  <si>
    <t>$12,992.00</t>
  </si>
  <si>
    <t>$3,724.00</t>
  </si>
  <si>
    <t>$7,133.00</t>
  </si>
  <si>
    <t>$8,617.00</t>
  </si>
  <si>
    <t>$9,198.00</t>
  </si>
  <si>
    <t>$11,823.00</t>
  </si>
  <si>
    <t>$5,775.00</t>
  </si>
  <si>
    <t>$13,125.00</t>
  </si>
  <si>
    <t>$14,287.00</t>
  </si>
  <si>
    <t>$16,233.00</t>
  </si>
  <si>
    <t>$5,313.00</t>
  </si>
  <si>
    <t>$3,577.00</t>
  </si>
  <si>
    <t>$3,528.00</t>
  </si>
  <si>
    <t>$679.00</t>
  </si>
  <si>
    <t>$2,450.00</t>
  </si>
  <si>
    <t>$10,577.00</t>
  </si>
  <si>
    <t>$2,597.00</t>
  </si>
  <si>
    <t>$2,219.00</t>
  </si>
  <si>
    <t>$11,319.00</t>
  </si>
  <si>
    <t>$5,978.00</t>
  </si>
  <si>
    <t>$5,327.00</t>
  </si>
  <si>
    <t>$6,020.00</t>
  </si>
  <si>
    <t>$5,614.00</t>
  </si>
  <si>
    <t>$1,736.00</t>
  </si>
  <si>
    <t>$6,384.00</t>
  </si>
  <si>
    <t>$14,539.00</t>
  </si>
  <si>
    <t>$3,493.00</t>
  </si>
  <si>
    <t>$994.00</t>
  </si>
  <si>
    <t>$1,554.00</t>
  </si>
  <si>
    <t>$966.00</t>
  </si>
  <si>
    <t>$4,935.00</t>
  </si>
  <si>
    <t>$10,024.00</t>
  </si>
  <si>
    <t>$2,506.00</t>
  </si>
  <si>
    <t>$6,524.00</t>
  </si>
  <si>
    <t>$8,148.00</t>
  </si>
  <si>
    <t>$3,948.00</t>
  </si>
  <si>
    <t>$5,271.00</t>
  </si>
  <si>
    <t>$12,327.00</t>
  </si>
  <si>
    <t>$6,167.00</t>
  </si>
  <si>
    <t>$18,340.00</t>
  </si>
  <si>
    <t>$7,014.00</t>
  </si>
  <si>
    <t>$7,119.00</t>
  </si>
  <si>
    <t>$15,491.00</t>
  </si>
  <si>
    <t>$5,747.00</t>
  </si>
  <si>
    <t>$4,550.00</t>
  </si>
  <si>
    <t>$2,191.00</t>
  </si>
  <si>
    <t>$7,623.00</t>
  </si>
  <si>
    <t>$9,023.00</t>
  </si>
  <si>
    <t>$3,402.00</t>
  </si>
  <si>
    <t>$10,507.00</t>
  </si>
  <si>
    <t>$7,721.00</t>
  </si>
  <si>
    <t>$5,033.00</t>
  </si>
  <si>
    <t>$1,960.00</t>
  </si>
  <si>
    <t>$238.00</t>
  </si>
  <si>
    <t>$7,756.00</t>
  </si>
  <si>
    <t>$2,660.00</t>
  </si>
  <si>
    <t>$11,564.00</t>
  </si>
  <si>
    <t>$1,365.00</t>
  </si>
  <si>
    <t>$4,186.00</t>
  </si>
  <si>
    <t>$7,406.00</t>
  </si>
  <si>
    <t>$112.00</t>
  </si>
  <si>
    <t>$8,204.00</t>
  </si>
  <si>
    <t>$2,611.00</t>
  </si>
  <si>
    <t>$15,652.00</t>
  </si>
  <si>
    <t>$4,074.00</t>
  </si>
  <si>
    <t>$12,250.00</t>
  </si>
  <si>
    <t>$2,366.00</t>
  </si>
  <si>
    <t>$6,965.00</t>
  </si>
  <si>
    <t>$5,292.00</t>
  </si>
  <si>
    <t>$588.00</t>
  </si>
  <si>
    <t>$4,046.00</t>
  </si>
  <si>
    <t>$7,042.00</t>
  </si>
  <si>
    <t>$6,713.00</t>
  </si>
  <si>
    <t>$6,440.00</t>
  </si>
  <si>
    <t>$10,885.00</t>
  </si>
  <si>
    <t>$2,387.00</t>
  </si>
  <si>
    <t>$6,678.00</t>
  </si>
  <si>
    <t>$4,515.00</t>
  </si>
  <si>
    <t>$5,852.00</t>
  </si>
  <si>
    <t>$1,750.00</t>
  </si>
  <si>
    <t>$5,782.00</t>
  </si>
  <si>
    <t>$2,870.00</t>
  </si>
  <si>
    <t>$3,094.00</t>
  </si>
  <si>
    <t>$12,761.00</t>
  </si>
  <si>
    <t>$3,696.00</t>
  </si>
  <si>
    <t>$5,222.00</t>
  </si>
  <si>
    <t>$8,939.00</t>
  </si>
  <si>
    <t>$2,156.00</t>
  </si>
  <si>
    <t>$2,380.00</t>
  </si>
  <si>
    <t>$3,339.00</t>
  </si>
  <si>
    <t>$14,980.00</t>
  </si>
  <si>
    <t>$1,512.00</t>
  </si>
  <si>
    <t>$6,657.00</t>
  </si>
  <si>
    <t>$3,836.00</t>
  </si>
  <si>
    <t>$8,771.00</t>
  </si>
  <si>
    <t>$651.00</t>
  </si>
  <si>
    <t>$6,706.00</t>
  </si>
  <si>
    <t>$1,421.00</t>
  </si>
  <si>
    <t>$8,526.00</t>
  </si>
  <si>
    <t>$1,435.00</t>
  </si>
  <si>
    <t>$7,434.00</t>
  </si>
  <si>
    <t>$15,316.00</t>
  </si>
  <si>
    <t>$2,751.00</t>
  </si>
  <si>
    <t>$2,786.00</t>
  </si>
  <si>
    <t>$2,303.00</t>
  </si>
  <si>
    <t>$12,271.00</t>
  </si>
  <si>
    <t>$11,298.00</t>
  </si>
  <si>
    <t>$15,855.00</t>
  </si>
  <si>
    <t>$12,404.00</t>
  </si>
  <si>
    <t>$10,808.00</t>
  </si>
  <si>
    <t>$4,858.00</t>
  </si>
  <si>
    <t>$7,742.00</t>
  </si>
  <si>
    <t>$10,983.00</t>
  </si>
  <si>
    <t>$6,769.00</t>
  </si>
  <si>
    <t>$777.00</t>
  </si>
  <si>
    <t>$3,843.00</t>
  </si>
  <si>
    <t>$6,930.00</t>
  </si>
  <si>
    <t>$8,393.00</t>
  </si>
  <si>
    <t>$3,822.00</t>
  </si>
  <si>
    <t>$6,342.00</t>
  </si>
  <si>
    <t>$6,510.00</t>
  </si>
  <si>
    <t>$10,171.00</t>
  </si>
  <si>
    <t>$5,908.00</t>
  </si>
  <si>
    <t>$10,164.00</t>
  </si>
  <si>
    <t>$9,716.00</t>
  </si>
  <si>
    <t>$22,050.00</t>
  </si>
  <si>
    <t>$9,989.00</t>
  </si>
  <si>
    <t>$4,739.00</t>
  </si>
  <si>
    <t>$3,185.00</t>
  </si>
  <si>
    <t>$8,225.00</t>
  </si>
  <si>
    <t>$14,301.00</t>
  </si>
  <si>
    <t>$1,316.00</t>
  </si>
  <si>
    <t>$3,486.00</t>
  </si>
  <si>
    <t>$13,930.00</t>
  </si>
  <si>
    <t>$8,470.00</t>
  </si>
  <si>
    <t>$77.00</t>
  </si>
  <si>
    <t>$3,381.00</t>
  </si>
  <si>
    <t>$4,102.00</t>
  </si>
  <si>
    <t>$2,975.00</t>
  </si>
  <si>
    <t>$4,137.00</t>
  </si>
  <si>
    <t>$9,541.00</t>
  </si>
  <si>
    <t>$5,152.00</t>
  </si>
  <si>
    <t>$11,116.00</t>
  </si>
  <si>
    <t>$13,076.00</t>
  </si>
  <si>
    <t>$10,213.00</t>
  </si>
  <si>
    <t>$2,485.00</t>
  </si>
  <si>
    <t>$8,715.00</t>
  </si>
  <si>
    <t>$7.00</t>
  </si>
  <si>
    <t>$8,904.00</t>
  </si>
  <si>
    <t>$4,396.00</t>
  </si>
  <si>
    <t>$12,068.00</t>
  </si>
  <si>
    <t>$9,772.00</t>
  </si>
  <si>
    <t>$10,458.00</t>
  </si>
  <si>
    <t>$6,426.00</t>
  </si>
  <si>
    <t>$7,504.00</t>
  </si>
  <si>
    <t>$5,439.00</t>
  </si>
  <si>
    <t>$15,547.00</t>
  </si>
  <si>
    <t>$11,956.00</t>
  </si>
  <si>
    <t>$2,723.00</t>
  </si>
  <si>
    <t>$19,327.00</t>
  </si>
  <si>
    <t>$8,848.00</t>
  </si>
  <si>
    <t>$14,336.00</t>
  </si>
  <si>
    <t>$16,401.00</t>
  </si>
  <si>
    <t>$5,173.00</t>
  </si>
  <si>
    <t>$2,534.00</t>
  </si>
  <si>
    <t>$910.00</t>
  </si>
  <si>
    <t>$2,331.00</t>
  </si>
  <si>
    <t>$2,086.00</t>
  </si>
  <si>
    <t>$5,012.00</t>
  </si>
  <si>
    <t>$13,482.00</t>
  </si>
  <si>
    <t>$5,621.00</t>
  </si>
  <si>
    <t>$10,486.00</t>
  </si>
  <si>
    <t>$17,626.00</t>
  </si>
  <si>
    <t>$4,494.00</t>
  </si>
  <si>
    <t>$105.00</t>
  </si>
  <si>
    <t>$3,220.00</t>
  </si>
  <si>
    <t>$4,802.00</t>
  </si>
  <si>
    <t>$5,677.00</t>
  </si>
  <si>
    <t>$945.00</t>
  </si>
  <si>
    <t>$8,757.00</t>
  </si>
  <si>
    <t>$4,816.00</t>
  </si>
  <si>
    <t>$7,532.00</t>
  </si>
  <si>
    <t>$4,340.00</t>
  </si>
  <si>
    <t>$1,799.00</t>
  </si>
  <si>
    <t>$1,127.00</t>
  </si>
  <si>
    <t>$10,038.00</t>
  </si>
  <si>
    <t>$2,926.00</t>
  </si>
  <si>
    <t>$6,279.00</t>
  </si>
  <si>
    <t>$308.00</t>
  </si>
  <si>
    <t>$3,500.00</t>
  </si>
  <si>
    <t>$658.00</t>
  </si>
  <si>
    <t>$12,565.00</t>
  </si>
  <si>
    <t>$3,955.00</t>
  </si>
  <si>
    <t>$8,512.00</t>
  </si>
  <si>
    <t>$504.00</t>
  </si>
  <si>
    <t>$4,256.00</t>
  </si>
  <si>
    <t>$13,573.00</t>
  </si>
  <si>
    <t>$6,566.00</t>
  </si>
  <si>
    <t>$13,503.00</t>
  </si>
  <si>
    <t>$8,680.00</t>
  </si>
  <si>
    <t>$385.00</t>
  </si>
  <si>
    <t>$2,961.00</t>
  </si>
  <si>
    <t>$1,981.00</t>
  </si>
  <si>
    <t>$7,959.00</t>
  </si>
  <si>
    <t>$10,794.00</t>
  </si>
  <si>
    <t>$1,897.00</t>
  </si>
  <si>
    <t>$2,744.00</t>
  </si>
  <si>
    <t>$5,474.00</t>
  </si>
  <si>
    <t>$6,069.00</t>
  </si>
  <si>
    <t>$6,944.00</t>
  </si>
  <si>
    <t>$12,173.00</t>
  </si>
  <si>
    <t>$5,705.00</t>
  </si>
  <si>
    <t>$2,492.00</t>
  </si>
  <si>
    <t>$3,024.00</t>
  </si>
  <si>
    <t>$3,437.00</t>
  </si>
  <si>
    <t>$1,869.00</t>
  </si>
  <si>
    <t>$1,225.00</t>
  </si>
  <si>
    <t>$1,155.00</t>
  </si>
  <si>
    <t>$6,811.00</t>
  </si>
  <si>
    <t>$6,433.00</t>
  </si>
  <si>
    <t>$8,169.00</t>
  </si>
  <si>
    <t>$2,275.00</t>
  </si>
  <si>
    <t>$3,857.00</t>
  </si>
  <si>
    <t>$1,463.00</t>
  </si>
  <si>
    <t>$7,924.00</t>
  </si>
  <si>
    <t>$2,898.00</t>
  </si>
  <si>
    <t>$9,506.00</t>
  </si>
  <si>
    <t>$7,175.00</t>
  </si>
  <si>
    <t>$1,729.00</t>
  </si>
  <si>
    <t>$1,589.00</t>
  </si>
  <si>
    <t>$5,187.00</t>
  </si>
  <si>
    <t>$6,223.00</t>
  </si>
  <si>
    <t>$9,457.00</t>
  </si>
  <si>
    <t>$2,107.00</t>
  </si>
  <si>
    <t>$1,862.00</t>
  </si>
  <si>
    <t>$6,972.00</t>
  </si>
  <si>
    <t>$10,220.00</t>
  </si>
  <si>
    <t>$3,969.00</t>
  </si>
  <si>
    <t>$1,547.00</t>
  </si>
  <si>
    <t>$10,633.00</t>
  </si>
  <si>
    <t>$15,057.00</t>
  </si>
  <si>
    <t>$9,338.00</t>
  </si>
  <si>
    <t>$14,525.00</t>
  </si>
  <si>
    <t>$5,810.00</t>
  </si>
  <si>
    <t>$1,582.00</t>
  </si>
  <si>
    <t>$791.00</t>
  </si>
  <si>
    <t>$9,100.00</t>
  </si>
  <si>
    <t>$9,884.00</t>
  </si>
  <si>
    <t>$3,780.00</t>
  </si>
  <si>
    <t>$4,557.00</t>
  </si>
  <si>
    <t>$5,796.00</t>
  </si>
  <si>
    <t>$84.00</t>
  </si>
  <si>
    <t>$4,746.00</t>
  </si>
  <si>
    <t>$6,237.00</t>
  </si>
  <si>
    <t>$7,483.00</t>
  </si>
  <si>
    <t>$1,309.00</t>
  </si>
  <si>
    <t>$2,989.00</t>
  </si>
  <si>
    <t>$9,625.00</t>
  </si>
  <si>
    <t>$10,031.00</t>
  </si>
  <si>
    <t>$6,587.00</t>
  </si>
  <si>
    <t>$3,311.00</t>
  </si>
  <si>
    <t>$15,330.00</t>
  </si>
  <si>
    <t>$14,028.00</t>
  </si>
  <si>
    <t>$8,624.00</t>
  </si>
  <si>
    <t>$1,197.00</t>
  </si>
  <si>
    <t>$483.00</t>
  </si>
  <si>
    <t>$9,534.00</t>
  </si>
  <si>
    <t>$1,694.00</t>
  </si>
  <si>
    <t>$2,933.00</t>
  </si>
  <si>
    <t>$2,044.00</t>
  </si>
  <si>
    <t>$12,656.00</t>
  </si>
  <si>
    <t>$8,722.00</t>
  </si>
  <si>
    <t>$15,750.00</t>
  </si>
  <si>
    <t>$19,481.00</t>
  </si>
  <si>
    <t>$8,099.00</t>
  </si>
  <si>
    <t>$13,727.00</t>
  </si>
  <si>
    <t>$8,659.00</t>
  </si>
  <si>
    <t>$8,463.00</t>
  </si>
  <si>
    <t>$4,914.00</t>
  </si>
  <si>
    <t>$3,087.00</t>
  </si>
  <si>
    <t>$9,205.00</t>
  </si>
  <si>
    <t>$1,358.00</t>
  </si>
  <si>
    <t>$8,498.00</t>
  </si>
  <si>
    <t>$700.00</t>
  </si>
  <si>
    <t>$644.00</t>
  </si>
  <si>
    <t>$826.00</t>
  </si>
  <si>
    <t>$203.00</t>
  </si>
  <si>
    <t>$13,356.00</t>
  </si>
  <si>
    <t>$5,894.00</t>
  </si>
  <si>
    <t>$1,617.00</t>
  </si>
  <si>
    <t>$10,822.00</t>
  </si>
  <si>
    <t>$10,724.00</t>
  </si>
  <si>
    <t>$2,016.00</t>
  </si>
  <si>
    <t>$7,588.00</t>
  </si>
  <si>
    <t>$1,904.00</t>
  </si>
  <si>
    <t>$4,844.00</t>
  </si>
  <si>
    <t>$4,599.00</t>
  </si>
  <si>
    <t>$9,744.00</t>
  </si>
  <si>
    <t>$1,400.00</t>
  </si>
  <si>
    <t>$364.00</t>
  </si>
  <si>
    <t>$7,231.00</t>
  </si>
  <si>
    <t>$8,309.00</t>
  </si>
  <si>
    <t>$3,164.00</t>
  </si>
  <si>
    <t>$490.00</t>
  </si>
  <si>
    <t>$18,032.00</t>
  </si>
  <si>
    <t>$5,131.00</t>
  </si>
  <si>
    <t>$1,141.00</t>
  </si>
  <si>
    <t>$7,980.00</t>
  </si>
  <si>
    <t>$5,229.00</t>
  </si>
  <si>
    <t>$3,423.00</t>
  </si>
  <si>
    <t>$4,326.00</t>
  </si>
  <si>
    <t>$3,997.00</t>
  </si>
  <si>
    <t>$5,180.00</t>
  </si>
  <si>
    <t>$952.00</t>
  </si>
  <si>
    <t>$10,969.00</t>
  </si>
  <si>
    <t>$5,964.00</t>
  </si>
  <si>
    <t>$1,302.00</t>
  </si>
  <si>
    <t>$4,179.00</t>
  </si>
  <si>
    <t>$1,946.00</t>
  </si>
  <si>
    <t>$4,291.00</t>
  </si>
  <si>
    <t>$7,196.00</t>
  </si>
  <si>
    <t>$10,437.00</t>
  </si>
  <si>
    <t>$3,647.00</t>
  </si>
  <si>
    <t>$8,995.00</t>
  </si>
  <si>
    <t>$7,252.00</t>
  </si>
  <si>
    <t>$16,380.00</t>
  </si>
  <si>
    <t>$4,522.00</t>
  </si>
  <si>
    <t>$329.00</t>
  </si>
  <si>
    <t>$3,458.00</t>
  </si>
  <si>
    <t>$4,641.00</t>
  </si>
  <si>
    <t>$4,627.00</t>
  </si>
  <si>
    <t>$868.00</t>
  </si>
  <si>
    <t>$210.00</t>
  </si>
  <si>
    <t>$7,007.00</t>
  </si>
  <si>
    <t>$5,845.00</t>
  </si>
  <si>
    <t>$8,428.00</t>
  </si>
  <si>
    <t>$4,977.00</t>
  </si>
  <si>
    <t>$9,527.00</t>
  </si>
  <si>
    <t>$10,766.00</t>
  </si>
  <si>
    <t>$4,879.00</t>
  </si>
  <si>
    <t>$2,408.00</t>
  </si>
  <si>
    <t>$8,981.00</t>
  </si>
  <si>
    <t>$5,250.00</t>
  </si>
  <si>
    <t>$7,560.00</t>
  </si>
  <si>
    <t>$3,038.00</t>
  </si>
  <si>
    <t>$1,099.00</t>
  </si>
  <si>
    <t>$7,413.00</t>
  </si>
  <si>
    <t>$5,397.00</t>
  </si>
  <si>
    <t>$10,325.00</t>
  </si>
  <si>
    <t>$2,149.00</t>
  </si>
  <si>
    <t>$12,362.00</t>
  </si>
  <si>
    <t>$12,635.00</t>
  </si>
  <si>
    <t>$7,315.00</t>
  </si>
  <si>
    <t>$1,393.00</t>
  </si>
  <si>
    <t>$8,022.00</t>
  </si>
  <si>
    <t>$371.00</t>
  </si>
  <si>
    <t>$16,702.00</t>
  </si>
  <si>
    <t>$13,258.00</t>
  </si>
  <si>
    <t>$10,192.00</t>
  </si>
  <si>
    <t>$7,140.00</t>
  </si>
  <si>
    <t>$9,835.00</t>
  </si>
  <si>
    <t>$749.00</t>
  </si>
  <si>
    <t>$7,770.00</t>
  </si>
  <si>
    <t>$3,507.00</t>
  </si>
  <si>
    <t>$5,600.00</t>
  </si>
  <si>
    <t>$721.00</t>
  </si>
  <si>
    <t>$6,615.00</t>
  </si>
  <si>
    <t>$7,420.00</t>
  </si>
  <si>
    <t>$9,114.00</t>
  </si>
  <si>
    <t>$5,404.00</t>
  </si>
  <si>
    <t>$14,924.00</t>
  </si>
  <si>
    <t>$7,091.00</t>
  </si>
  <si>
    <t>$6,496.00</t>
  </si>
  <si>
    <t>$3,738.00</t>
  </si>
  <si>
    <t>$1,190.00</t>
  </si>
  <si>
    <t>$9,268.00</t>
  </si>
  <si>
    <t>$1,029.00</t>
  </si>
  <si>
    <t>$12,026.00</t>
  </si>
  <si>
    <t>$13,405.00</t>
  </si>
  <si>
    <t>$14,763.00</t>
  </si>
  <si>
    <t>$12,894.00</t>
  </si>
  <si>
    <t>$8,302.00</t>
  </si>
  <si>
    <t>$8,183.00</t>
  </si>
  <si>
    <t>$1,645.00</t>
  </si>
  <si>
    <t>$3,143.00</t>
  </si>
  <si>
    <t>$5,873.00</t>
  </si>
  <si>
    <t>$12,425.00</t>
  </si>
  <si>
    <t>$1,715.00</t>
  </si>
  <si>
    <t>$8,190.00</t>
  </si>
  <si>
    <t>$4,991.00</t>
  </si>
  <si>
    <t>$5,096.00</t>
  </si>
  <si>
    <t>$7,063.00</t>
  </si>
  <si>
    <t>$4,200.00</t>
  </si>
  <si>
    <t>$11,137.00</t>
  </si>
  <si>
    <t>$301.00</t>
  </si>
  <si>
    <t>$17,465.00</t>
  </si>
  <si>
    <t>$10,143.00</t>
  </si>
  <si>
    <t>$3,626.00</t>
  </si>
  <si>
    <t>$3,346.00</t>
  </si>
  <si>
    <t>$6,321.00</t>
  </si>
  <si>
    <t>$9,345.00</t>
  </si>
  <si>
    <t>$15,008.00</t>
  </si>
  <si>
    <t>$7,609.00</t>
  </si>
  <si>
    <t>$10,332.00</t>
  </si>
  <si>
    <t>$819.00</t>
  </si>
  <si>
    <t>$5,754.00</t>
  </si>
  <si>
    <t>$28.00</t>
  </si>
  <si>
    <t>$4,956.00</t>
  </si>
  <si>
    <t>$2,352.00</t>
  </si>
  <si>
    <t>$3,906.00</t>
  </si>
  <si>
    <t>$1,813.00</t>
  </si>
  <si>
    <t>$11,788.00</t>
  </si>
  <si>
    <t>$5,768.00</t>
  </si>
  <si>
    <t>$2,401.00</t>
  </si>
  <si>
    <t>$10,122.00</t>
  </si>
  <si>
    <t>$2,268.00</t>
  </si>
  <si>
    <t>$574.00</t>
  </si>
  <si>
    <t>$1,792.00</t>
  </si>
  <si>
    <t>$9,107.00</t>
  </si>
  <si>
    <t>$12,187.00</t>
  </si>
  <si>
    <t>$5,670.00</t>
  </si>
  <si>
    <t>$2,681.00</t>
  </si>
  <si>
    <t>$1,533.00</t>
  </si>
  <si>
    <t>$9,765.00</t>
  </si>
  <si>
    <t>$3,318.00</t>
  </si>
  <si>
    <t>$4,214.00</t>
  </si>
  <si>
    <t>$4,690.00</t>
  </si>
  <si>
    <t>$13,062.00</t>
  </si>
  <si>
    <t>$12,488.00</t>
  </si>
  <si>
    <t>$14,147.00</t>
  </si>
  <si>
    <t>$10,199.00</t>
  </si>
  <si>
    <t>$11,389.00</t>
  </si>
  <si>
    <t>$3,584.00</t>
  </si>
  <si>
    <t>$12,481.00</t>
  </si>
  <si>
    <t>$8,603.00</t>
  </si>
  <si>
    <t>$6,559.00</t>
  </si>
  <si>
    <t>$18,697.00</t>
  </si>
  <si>
    <t>$10,150.00</t>
  </si>
  <si>
    <t>$4,592.00</t>
  </si>
  <si>
    <t>$4,158.00</t>
  </si>
  <si>
    <t>$5,684.00</t>
  </si>
  <si>
    <t>$693.00</t>
  </si>
  <si>
    <t>$546.00</t>
  </si>
  <si>
    <t>$1,036.00</t>
  </si>
  <si>
    <t>$13,846.00</t>
  </si>
  <si>
    <t>$2,499.00</t>
  </si>
  <si>
    <t>$10,689.00</t>
  </si>
  <si>
    <t>$2,226.00</t>
  </si>
  <si>
    <t>$10,262.00</t>
  </si>
  <si>
    <t>$3,864.00</t>
  </si>
  <si>
    <t>$4,900.00</t>
  </si>
  <si>
    <t>$8,155.00</t>
  </si>
  <si>
    <t>$2,478.00</t>
  </si>
  <si>
    <t>$2,471.00</t>
  </si>
  <si>
    <t>$1,666.00</t>
  </si>
  <si>
    <t>$8,400.00</t>
  </si>
  <si>
    <t>$6,139.00</t>
  </si>
  <si>
    <t>$7,077.00</t>
  </si>
  <si>
    <t>$9,954.00</t>
  </si>
  <si>
    <t>$1,260.00</t>
  </si>
  <si>
    <t>$469.00</t>
  </si>
  <si>
    <t>$973.00</t>
  </si>
  <si>
    <t>$2,520.00</t>
  </si>
  <si>
    <t>$10,500.00</t>
  </si>
  <si>
    <t>$7,952.00</t>
  </si>
  <si>
    <t>$4,872.00</t>
  </si>
  <si>
    <t>$6,594.00</t>
  </si>
  <si>
    <t>$1,470.00</t>
  </si>
  <si>
    <t>$2,674.00</t>
  </si>
  <si>
    <t>$7,364.00</t>
  </si>
  <si>
    <t>$6,818.00</t>
  </si>
  <si>
    <t>$6,776.00</t>
  </si>
  <si>
    <t>$15,099.00</t>
  </si>
  <si>
    <t>$3,612.00</t>
  </si>
  <si>
    <t>$3,710.00</t>
  </si>
  <si>
    <t>$6,111.00</t>
  </si>
  <si>
    <t>$2,702.00</t>
  </si>
  <si>
    <t>$5,887.00</t>
  </si>
  <si>
    <t>$10,647.00</t>
  </si>
  <si>
    <t>$8,589.00</t>
  </si>
  <si>
    <t>$11,781.00</t>
  </si>
  <si>
    <t>$672.00</t>
  </si>
  <si>
    <t>$12,558.00</t>
  </si>
  <si>
    <t>$8,337.00</t>
  </si>
  <si>
    <t>$8,134.00</t>
  </si>
  <si>
    <t>$8,491.00</t>
  </si>
  <si>
    <t>$3,066.00</t>
  </si>
  <si>
    <t>$4,410.00</t>
  </si>
  <si>
    <t>$5,902.13</t>
  </si>
  <si>
    <t>$8,074.39</t>
  </si>
  <si>
    <t>$4,666.18</t>
  </si>
  <si>
    <t>$14,103.40</t>
  </si>
  <si>
    <t>$14,167.84</t>
  </si>
  <si>
    <t>$5,768.75</t>
  </si>
  <si>
    <t>$14,673.20</t>
  </si>
  <si>
    <t>$3,249.23</t>
  </si>
  <si>
    <t>$4,526.24</t>
  </si>
  <si>
    <t>$3,166.56</t>
  </si>
  <si>
    <t>$4,866.39</t>
  </si>
  <si>
    <t>$4,254.37</t>
  </si>
  <si>
    <t>$1,652.61</t>
  </si>
  <si>
    <t>$171.49</t>
  </si>
  <si>
    <t>$8,549.84</t>
  </si>
  <si>
    <t>$7,807.74</t>
  </si>
  <si>
    <t>$4,561.43</t>
  </si>
  <si>
    <t>$3,041.12</t>
  </si>
  <si>
    <t>$9,786.09</t>
  </si>
  <si>
    <t>$1,131.25</t>
  </si>
  <si>
    <t>$7,484.07</t>
  </si>
  <si>
    <t>$1,339.61</t>
  </si>
  <si>
    <t>$5,481.18</t>
  </si>
  <si>
    <t>$3,275.40</t>
  </si>
  <si>
    <t>$7,677.78</t>
  </si>
  <si>
    <t>$189.37</t>
  </si>
  <si>
    <t>$1,658.79</t>
  </si>
  <si>
    <t>$4,168.93</t>
  </si>
  <si>
    <t>$10,604.89</t>
  </si>
  <si>
    <t>$5,773.51</t>
  </si>
  <si>
    <t>$1,838.78</t>
  </si>
  <si>
    <t>$12,643.10</t>
  </si>
  <si>
    <t>$4,439.52</t>
  </si>
  <si>
    <t>$7,698.60</t>
  </si>
  <si>
    <t>$2,222.30</t>
  </si>
  <si>
    <t>$10,959.02</t>
  </si>
  <si>
    <t>$2,854.85</t>
  </si>
  <si>
    <t>$147.82</t>
  </si>
  <si>
    <t>$3,790.51</t>
  </si>
  <si>
    <t>$2,487.19</t>
  </si>
  <si>
    <t>$1,021.27</t>
  </si>
  <si>
    <t>$15,370.06</t>
  </si>
  <si>
    <t>$5,345.58</t>
  </si>
  <si>
    <t>$6,559.44</t>
  </si>
  <si>
    <t>$8,282.93</t>
  </si>
  <si>
    <t>$6,981.40</t>
  </si>
  <si>
    <t>$10,280.17</t>
  </si>
  <si>
    <t>$7,703.62</t>
  </si>
  <si>
    <t>$4,489.81</t>
  </si>
  <si>
    <t>$5,806.11</t>
  </si>
  <si>
    <t>$5,148.70</t>
  </si>
  <si>
    <t>$8,558.59</t>
  </si>
  <si>
    <t>$94.19</t>
  </si>
  <si>
    <t>$16,223.83</t>
  </si>
  <si>
    <t>$2,439.06</t>
  </si>
  <si>
    <t>$466.65</t>
  </si>
  <si>
    <t>$4,044.24</t>
  </si>
  <si>
    <t>$17,675.28</t>
  </si>
  <si>
    <t>$17,280.98</t>
  </si>
  <si>
    <t>$5,091.78</t>
  </si>
  <si>
    <t>$1,657.20</t>
  </si>
  <si>
    <t>$305.79</t>
  </si>
  <si>
    <t>$3,377.41</t>
  </si>
  <si>
    <t>$6,188.62</t>
  </si>
  <si>
    <t>$10,914.36</t>
  </si>
  <si>
    <t>$2,342.07</t>
  </si>
  <si>
    <t>$21,762.80</t>
  </si>
  <si>
    <t>$10,539.54</t>
  </si>
  <si>
    <t>$6,665.87</t>
  </si>
  <si>
    <t>$9,605.11</t>
  </si>
  <si>
    <t>$13,018.00</t>
  </si>
  <si>
    <t>$6,046.40</t>
  </si>
  <si>
    <t>$3,078.33</t>
  </si>
  <si>
    <t>$970.96</t>
  </si>
  <si>
    <t>$2,064.71</t>
  </si>
  <si>
    <t>$679.94</t>
  </si>
  <si>
    <t>$1,311.25</t>
  </si>
  <si>
    <t>$8,692.64</t>
  </si>
  <si>
    <t>$4,993.21</t>
  </si>
  <si>
    <t>$10,898.19</t>
  </si>
  <si>
    <t>$15,565.91</t>
  </si>
  <si>
    <t>$280.59</t>
  </si>
  <si>
    <t>$66.35</t>
  </si>
  <si>
    <t>$8,766.45</t>
  </si>
  <si>
    <t>$4,265.48</t>
  </si>
  <si>
    <t>$6,087.53</t>
  </si>
  <si>
    <t>$11,694.48</t>
  </si>
  <si>
    <t>$7,616.38</t>
  </si>
  <si>
    <t>$7,807.02</t>
  </si>
  <si>
    <t>$7,990.91</t>
  </si>
  <si>
    <t>$6,757.17</t>
  </si>
  <si>
    <t>$4,409.21</t>
  </si>
  <si>
    <t>$722.25</t>
  </si>
  <si>
    <t>$1,896.24</t>
  </si>
  <si>
    <t>$2,966.83</t>
  </si>
  <si>
    <t>$51.29</t>
  </si>
  <si>
    <t>$1,835.42</t>
  </si>
  <si>
    <t>$14,592.11</t>
  </si>
  <si>
    <t>$1,114.13</t>
  </si>
  <si>
    <t>$13,051.75</t>
  </si>
  <si>
    <t>$5,997.71</t>
  </si>
  <si>
    <t>$1,588.28</t>
  </si>
  <si>
    <t>$5,344.21</t>
  </si>
  <si>
    <t>$4,646.91</t>
  </si>
  <si>
    <t>$8,929.88</t>
  </si>
  <si>
    <t>$141.23</t>
  </si>
  <si>
    <t>$5,068.99</t>
  </si>
  <si>
    <t>$8,012.72</t>
  </si>
  <si>
    <t>$10,587.71</t>
  </si>
  <si>
    <t>$2,155.62</t>
  </si>
  <si>
    <t>$11,010.43</t>
  </si>
  <si>
    <t>$6,787.72</t>
  </si>
  <si>
    <t>$5,715.07</t>
  </si>
  <si>
    <t>$12,100.65</t>
  </si>
  <si>
    <t>$623.75</t>
  </si>
  <si>
    <t>$6,528.42</t>
  </si>
  <si>
    <t>$1,540.55</t>
  </si>
  <si>
    <t>$487.06</t>
  </si>
  <si>
    <t>$11,630.38</t>
  </si>
  <si>
    <t>$17,297.66</t>
  </si>
  <si>
    <t>$2,043.55</t>
  </si>
  <si>
    <t>$8,168.86</t>
  </si>
  <si>
    <t>$933.45</t>
  </si>
  <si>
    <t>$6,826.32</t>
  </si>
  <si>
    <t>$5,029.35</t>
  </si>
  <si>
    <t>$5,143.49</t>
  </si>
  <si>
    <t>$16,707.88</t>
  </si>
  <si>
    <t>$1,558.87</t>
  </si>
  <si>
    <t>$9,332.76</t>
  </si>
  <si>
    <t>$2,673.47</t>
  </si>
  <si>
    <t>$4,950.21</t>
  </si>
  <si>
    <t>$2,919.11</t>
  </si>
  <si>
    <t>$8,003.23</t>
  </si>
  <si>
    <t>$4,902.78</t>
  </si>
  <si>
    <t>$4,033.53</t>
  </si>
  <si>
    <t>$22,751.18</t>
  </si>
  <si>
    <t>$5,118.11</t>
  </si>
  <si>
    <t>$2,835.90</t>
  </si>
  <si>
    <t>$5,828.22</t>
  </si>
  <si>
    <t>$396.19</t>
  </si>
  <si>
    <t>$11,226.50</t>
  </si>
  <si>
    <t>$10,102.86</t>
  </si>
  <si>
    <t>$2,084.86</t>
  </si>
  <si>
    <t>$8,495.79</t>
  </si>
  <si>
    <t>$4,248.34</t>
  </si>
  <si>
    <t>$2,236.11</t>
  </si>
  <si>
    <t>$1,124.27</t>
  </si>
  <si>
    <t>$12,870.47</t>
  </si>
  <si>
    <t>$3,017.66</t>
  </si>
  <si>
    <t>$3,574.12</t>
  </si>
  <si>
    <t>$6,249.31</t>
  </si>
  <si>
    <t>$10,759.61</t>
  </si>
  <si>
    <t>$2,508.03</t>
  </si>
  <si>
    <t>$4,997.82</t>
  </si>
  <si>
    <t>$7,901.09</t>
  </si>
  <si>
    <t>$3,133.42</t>
  </si>
  <si>
    <t>$8,320.29</t>
  </si>
  <si>
    <t>$909.93</t>
  </si>
  <si>
    <t>$5,631.26</t>
  </si>
  <si>
    <t>$3,283.44</t>
  </si>
  <si>
    <t>$9,458.03</t>
  </si>
  <si>
    <t>$7,726.25</t>
  </si>
  <si>
    <t>$14,369.40</t>
  </si>
  <si>
    <t>$2,829.57</t>
  </si>
  <si>
    <t>$9,370.61</t>
  </si>
  <si>
    <t>$3,651.49</t>
  </si>
  <si>
    <t>$10,229.99</t>
  </si>
  <si>
    <t>$11,596.89</t>
  </si>
  <si>
    <t>$5,857.90</t>
  </si>
  <si>
    <t>$1,177.64</t>
  </si>
  <si>
    <t>$12,930.11</t>
  </si>
  <si>
    <t>$1,732.04</t>
  </si>
  <si>
    <t>$5,837.17</t>
  </si>
  <si>
    <t>$3,424.66</t>
  </si>
  <si>
    <t>$5,700.28</t>
  </si>
  <si>
    <t>$5,094.48</t>
  </si>
  <si>
    <t>$14,529.20</t>
  </si>
  <si>
    <t>$6,761.28</t>
  </si>
  <si>
    <t>$10,370.44</t>
  </si>
  <si>
    <t>$12,450.24</t>
  </si>
  <si>
    <t>$8,927.63</t>
  </si>
  <si>
    <t>$3,438.70</t>
  </si>
  <si>
    <t>$299.71</t>
  </si>
  <si>
    <t>$7,374.26</t>
  </si>
  <si>
    <t>$2,775.87</t>
  </si>
  <si>
    <t>$9,957.66</t>
  </si>
  <si>
    <t>$5,064.88</t>
  </si>
  <si>
    <t>$9,865.05</t>
  </si>
  <si>
    <t>$571.52</t>
  </si>
  <si>
    <t>$656.44</t>
  </si>
  <si>
    <t>$4,008.93</t>
  </si>
  <si>
    <t>$4,679.06</t>
  </si>
  <si>
    <t>$3,446.84</t>
  </si>
  <si>
    <t>$11,884.52</t>
  </si>
  <si>
    <t>$2,167.19</t>
  </si>
  <si>
    <t>$4,199.84</t>
  </si>
  <si>
    <t>$7,358.70</t>
  </si>
  <si>
    <t>$7,870.09</t>
  </si>
  <si>
    <t>$7,454.25</t>
  </si>
  <si>
    <t>$3,112.30</t>
  </si>
  <si>
    <t>$6,901.22</t>
  </si>
  <si>
    <t>$1,178.00</t>
  </si>
  <si>
    <t>$14,953.83</t>
  </si>
  <si>
    <t>$3,958.57</t>
  </si>
  <si>
    <t>$1,639.01</t>
  </si>
  <si>
    <t>$8,586.04</t>
  </si>
  <si>
    <t>$10,000.22</t>
  </si>
  <si>
    <t>$8,448.39</t>
  </si>
  <si>
    <t>$6,984.74</t>
  </si>
  <si>
    <t>$5,641.54</t>
  </si>
  <si>
    <t>$3,850.87</t>
  </si>
  <si>
    <t>$885.68</t>
  </si>
  <si>
    <t>$21,251.67</t>
  </si>
  <si>
    <t>$1,452.61</t>
  </si>
  <si>
    <t>$793.17</t>
  </si>
  <si>
    <t>$7,152.22</t>
  </si>
  <si>
    <t>$3,364.44</t>
  </si>
  <si>
    <t>$3,470.60</t>
  </si>
  <si>
    <t>$4,676.32</t>
  </si>
  <si>
    <t>$6,323.45</t>
  </si>
  <si>
    <t>$3,252.70</t>
  </si>
  <si>
    <t>$254.16</t>
  </si>
  <si>
    <t>$6,127.37</t>
  </si>
  <si>
    <t>$3,791.66</t>
  </si>
  <si>
    <t>$17,059.69</t>
  </si>
  <si>
    <t>$4,154.44</t>
  </si>
  <si>
    <t>$6,168.51</t>
  </si>
  <si>
    <t>$7,984.45</t>
  </si>
  <si>
    <t>$9,108.33</t>
  </si>
  <si>
    <t>$1,511.51</t>
  </si>
  <si>
    <t>$3,364.28</t>
  </si>
  <si>
    <t>$934.49</t>
  </si>
  <si>
    <t>$8,895.70</t>
  </si>
  <si>
    <t>$9,957.20</t>
  </si>
  <si>
    <t>$3,359.18</t>
  </si>
  <si>
    <t>$5,098.29</t>
  </si>
  <si>
    <t>$398.28</t>
  </si>
  <si>
    <t>$7,473.14</t>
  </si>
  <si>
    <t>$3,638.66</t>
  </si>
  <si>
    <t>$12,507.08</t>
  </si>
  <si>
    <t>$2,393.79</t>
  </si>
  <si>
    <t>$6,136.99</t>
  </si>
  <si>
    <t>$1,264.43</t>
  </si>
  <si>
    <t>$4,101.26</t>
  </si>
  <si>
    <t>$8,106.88</t>
  </si>
  <si>
    <t>$2,456.10</t>
  </si>
  <si>
    <t>$4,726.60</t>
  </si>
  <si>
    <t>$3,482.73</t>
  </si>
  <si>
    <t>$467.19</t>
  </si>
  <si>
    <t>$4,875.38</t>
  </si>
  <si>
    <t>$70.60</t>
  </si>
  <si>
    <t>$1,835.22</t>
  </si>
  <si>
    <t>$7,304.74</t>
  </si>
  <si>
    <t>$3,967.85</t>
  </si>
  <si>
    <t>$2,800.67</t>
  </si>
  <si>
    <t>$4,474.52</t>
  </si>
  <si>
    <t>$2,737.03</t>
  </si>
  <si>
    <t>$16,717.26</t>
  </si>
  <si>
    <t>$16,112.73</t>
  </si>
  <si>
    <t>$6,898.00</t>
  </si>
  <si>
    <t>$2,151.04</t>
  </si>
  <si>
    <t>$172.51</t>
  </si>
  <si>
    <t>$2,949.02</t>
  </si>
  <si>
    <t>$2,790.72</t>
  </si>
  <si>
    <t>$5,054.42</t>
  </si>
  <si>
    <t>$5,418.75</t>
  </si>
  <si>
    <t>$14,604.67</t>
  </si>
  <si>
    <t>$6,668.93</t>
  </si>
  <si>
    <t>$9,689.70</t>
  </si>
  <si>
    <t>$5,026.81</t>
  </si>
  <si>
    <t>$2,379.01</t>
  </si>
  <si>
    <t>$7,770.55</t>
  </si>
  <si>
    <t>$1,837.47</t>
  </si>
  <si>
    <t>$14,625.75</t>
  </si>
  <si>
    <t>$10,305.40</t>
  </si>
  <si>
    <t>$8,798.99</t>
  </si>
  <si>
    <t>$2,466.59</t>
  </si>
  <si>
    <t>$6,564.20</t>
  </si>
  <si>
    <t>$4,764.56</t>
  </si>
  <si>
    <t>$3,172.08</t>
  </si>
  <si>
    <t>$8,062.00</t>
  </si>
  <si>
    <t>$12,382.41</t>
  </si>
  <si>
    <t>$413.60</t>
  </si>
  <si>
    <t>$10,186.18</t>
  </si>
  <si>
    <t>$7,936.84</t>
  </si>
  <si>
    <t>$1,712.72</t>
  </si>
  <si>
    <t>$3,088.98</t>
  </si>
  <si>
    <t>$14,953.43</t>
  </si>
  <si>
    <t>$3,219.13</t>
  </si>
  <si>
    <t>$2,700.61</t>
  </si>
  <si>
    <t>$7,219.96</t>
  </si>
  <si>
    <t>$2,634.13</t>
  </si>
  <si>
    <t>$1,630.95</t>
  </si>
  <si>
    <t>$8,250.66</t>
  </si>
  <si>
    <t>$4,849.30</t>
  </si>
  <si>
    <t>$7,940.49</t>
  </si>
  <si>
    <t>$2,106.93</t>
  </si>
  <si>
    <t>$3,911.85</t>
  </si>
  <si>
    <t>$483.04</t>
  </si>
  <si>
    <t>$11,380.70</t>
  </si>
  <si>
    <t>$6,372.68</t>
  </si>
  <si>
    <t>$2,714.76</t>
  </si>
  <si>
    <t>$2,106.17</t>
  </si>
  <si>
    <t>$5,805.24</t>
  </si>
  <si>
    <t>$12,205.52</t>
  </si>
  <si>
    <t>$6,318.70</t>
  </si>
  <si>
    <t>$8,522.80</t>
  </si>
  <si>
    <t>$10,315.88</t>
  </si>
  <si>
    <t>$7,262.12</t>
  </si>
  <si>
    <t>$1,414.84</t>
  </si>
  <si>
    <t>$3,067.90</t>
  </si>
  <si>
    <t>$7,369.69</t>
  </si>
  <si>
    <t>$1,775.18</t>
  </si>
  <si>
    <t>$7,683.78</t>
  </si>
  <si>
    <t>$1,412.22</t>
  </si>
  <si>
    <t>$607.08</t>
  </si>
  <si>
    <t>$11,688.75</t>
  </si>
  <si>
    <t>$10,275.55</t>
  </si>
  <si>
    <t>$1,788.10</t>
  </si>
  <si>
    <t>$2,378.08</t>
  </si>
  <si>
    <t>$9,545.03</t>
  </si>
  <si>
    <t>$4,999.52</t>
  </si>
  <si>
    <t>$5,312.50</t>
  </si>
  <si>
    <t>$3,750.88</t>
  </si>
  <si>
    <t>$2,375.74</t>
  </si>
  <si>
    <t>$7,013.61</t>
  </si>
  <si>
    <t>$481.52</t>
  </si>
  <si>
    <t>$3,136.92</t>
  </si>
  <si>
    <t>$6,584.26</t>
  </si>
  <si>
    <t>$1,024.77</t>
  </si>
  <si>
    <t>$17,680.19</t>
  </si>
  <si>
    <t>$10,707.82</t>
  </si>
  <si>
    <t>$3,019.09</t>
  </si>
  <si>
    <t>$1,758.62</t>
  </si>
  <si>
    <t>$8,385.38</t>
  </si>
  <si>
    <t>$4,854.12</t>
  </si>
  <si>
    <t>$949.18</t>
  </si>
  <si>
    <t>$6,047.05</t>
  </si>
  <si>
    <t>$3,883.32</t>
  </si>
  <si>
    <t>$4,382.07</t>
  </si>
  <si>
    <t>$9,928.10</t>
  </si>
  <si>
    <t>$6,315.53</t>
  </si>
  <si>
    <t>$10,630.08</t>
  </si>
  <si>
    <t>$167.33</t>
  </si>
  <si>
    <t>$2,690.14</t>
  </si>
  <si>
    <t>$3,242.04</t>
  </si>
  <si>
    <t>$5,363.69</t>
  </si>
  <si>
    <t>$6,160.89</t>
  </si>
  <si>
    <t>$7,968.23</t>
  </si>
  <si>
    <t>$6,388.95</t>
  </si>
  <si>
    <t>$15,840.74</t>
  </si>
  <si>
    <t>$7,265.05</t>
  </si>
  <si>
    <t>$2,342.49</t>
  </si>
  <si>
    <t>$1,365.88</t>
  </si>
  <si>
    <t>$4,437.46</t>
  </si>
  <si>
    <t>$2,072.24</t>
  </si>
  <si>
    <t>$7,091.81</t>
  </si>
  <si>
    <t>$7,213.16</t>
  </si>
  <si>
    <t>$9,672.76</t>
  </si>
  <si>
    <t>$5,750.05</t>
  </si>
  <si>
    <t>$4,641.29</t>
  </si>
  <si>
    <t>$1,871.33</t>
  </si>
  <si>
    <t>$10,843.46</t>
  </si>
  <si>
    <t>$5,032.45</t>
  </si>
  <si>
    <t>$1,106.38</t>
  </si>
  <si>
    <t>$4,977.55</t>
  </si>
  <si>
    <t>$3,210.14</t>
  </si>
  <si>
    <t>$7,794.80</t>
  </si>
  <si>
    <t>$7,613.37</t>
  </si>
  <si>
    <t>$1,332.76</t>
  </si>
  <si>
    <t>$2,587.76</t>
  </si>
  <si>
    <t>$3,826.22</t>
  </si>
  <si>
    <t>$18,687.87</t>
  </si>
  <si>
    <t>$8,859.63</t>
  </si>
  <si>
    <t>$7,299.40</t>
  </si>
  <si>
    <t>$2,556.26</t>
  </si>
  <si>
    <t>$703.40</t>
  </si>
  <si>
    <t>$6,421.18</t>
  </si>
  <si>
    <t>$1,048.26</t>
  </si>
  <si>
    <t>$3,099.14</t>
  </si>
  <si>
    <t>$3,737.68</t>
  </si>
  <si>
    <t>$3,086.89</t>
  </si>
  <si>
    <t>$2,618.15</t>
  </si>
  <si>
    <t>$1,643.45</t>
  </si>
  <si>
    <t>$7,368.94</t>
  </si>
  <si>
    <t>$6,082.19</t>
  </si>
  <si>
    <t>$14,456.14</t>
  </si>
  <si>
    <t>$4,173.40</t>
  </si>
  <si>
    <t>$7,189.18</t>
  </si>
  <si>
    <t>$8,962.96</t>
  </si>
  <si>
    <t>$10,085.02</t>
  </si>
  <si>
    <t>$12,073.18</t>
  </si>
  <si>
    <t>$6,655.62</t>
  </si>
  <si>
    <t>$14,193.67</t>
  </si>
  <si>
    <t>$15,507.29</t>
  </si>
  <si>
    <t>$17,383.08</t>
  </si>
  <si>
    <t>$5,912.59</t>
  </si>
  <si>
    <t>$4,029.28</t>
  </si>
  <si>
    <t>$3,563.09</t>
  </si>
  <si>
    <t>$773.73</t>
  </si>
  <si>
    <t>$2,620.19</t>
  </si>
  <si>
    <t>$11,426.56</t>
  </si>
  <si>
    <t>$2,935.80</t>
  </si>
  <si>
    <t>$2,431.53</t>
  </si>
  <si>
    <t>$11,882.82</t>
  </si>
  <si>
    <t>$6,297.06</t>
  </si>
  <si>
    <t>$5,859.21</t>
  </si>
  <si>
    <t>$6,276.91</t>
  </si>
  <si>
    <t>$5,674.70</t>
  </si>
  <si>
    <t>$1,960.10</t>
  </si>
  <si>
    <t>$6,540.30</t>
  </si>
  <si>
    <t>$3,818.21</t>
  </si>
  <si>
    <t>$14,769.97</t>
  </si>
  <si>
    <t>$3,687.44</t>
  </si>
  <si>
    <t>$1,123.58</t>
  </si>
  <si>
    <t>$4,612.08</t>
  </si>
  <si>
    <t>$1,600.11</t>
  </si>
  <si>
    <t>$975.67</t>
  </si>
  <si>
    <t>$5,487.30</t>
  </si>
  <si>
    <t>$4,948.15</t>
  </si>
  <si>
    <t>$11,460.08</t>
  </si>
  <si>
    <t>$2,628.33</t>
  </si>
  <si>
    <t>$1,044.35</t>
  </si>
  <si>
    <t>$7,449.70</t>
  </si>
  <si>
    <t>$9,315.64</t>
  </si>
  <si>
    <t>$3,820.94</t>
  </si>
  <si>
    <t>$3,782.83</t>
  </si>
  <si>
    <t>$4,525.72</t>
  </si>
  <si>
    <t>$3,730.79</t>
  </si>
  <si>
    <t>$6,068.19</t>
  </si>
  <si>
    <t>$4,944.46</t>
  </si>
  <si>
    <t>$12,331.35</t>
  </si>
  <si>
    <t>$5,290.76</t>
  </si>
  <si>
    <t>$6,874.06</t>
  </si>
  <si>
    <t>$20,402.17</t>
  </si>
  <si>
    <t>$7,923.10</t>
  </si>
  <si>
    <t>$8,145.99</t>
  </si>
  <si>
    <t>$16,253.25</t>
  </si>
  <si>
    <t>$5,744.07</t>
  </si>
  <si>
    <t>$4,908.71</t>
  </si>
  <si>
    <t>$2,369.87</t>
  </si>
  <si>
    <t>$5,973.24</t>
  </si>
  <si>
    <t>$8,047.16</t>
  </si>
  <si>
    <t>$9,656.56</t>
  </si>
  <si>
    <t>$3,925.06</t>
  </si>
  <si>
    <t>$11,682.62</t>
  </si>
  <si>
    <t>$7,874.15</t>
  </si>
  <si>
    <t>$5,061.37</t>
  </si>
  <si>
    <t>$2,099.24</t>
  </si>
  <si>
    <t>$237.57</t>
  </si>
  <si>
    <t>$8,829.77</t>
  </si>
  <si>
    <t>$1,733.09</t>
  </si>
  <si>
    <t>$3,047.18</t>
  </si>
  <si>
    <t>$8,497.72</t>
  </si>
  <si>
    <t>$12,557.56</t>
  </si>
  <si>
    <t>$1,406.91</t>
  </si>
  <si>
    <t>$4,496.32</t>
  </si>
  <si>
    <t>$8,220.25</t>
  </si>
  <si>
    <t>$9,588.03</t>
  </si>
  <si>
    <t>$114.82</t>
  </si>
  <si>
    <t>$8,804.98</t>
  </si>
  <si>
    <t>$2,900.61</t>
  </si>
  <si>
    <t>$16,773.08</t>
  </si>
  <si>
    <t>$4,153.59</t>
  </si>
  <si>
    <t>$12,571.07</t>
  </si>
  <si>
    <t>$2,553.46</t>
  </si>
  <si>
    <t>$1,888.94</t>
  </si>
  <si>
    <t>$1,310.04</t>
  </si>
  <si>
    <t>$7,805.90</t>
  </si>
  <si>
    <t>$6,101.12</t>
  </si>
  <si>
    <t>$1,425.81</t>
  </si>
  <si>
    <t>$8,724.40</t>
  </si>
  <si>
    <t>$664.82</t>
  </si>
  <si>
    <t>$4,351.31</t>
  </si>
  <si>
    <t>$5,825.09</t>
  </si>
  <si>
    <t>$2,418.93</t>
  </si>
  <si>
    <t>$7,725.52</t>
  </si>
  <si>
    <t>$7,144.08</t>
  </si>
  <si>
    <t>$2,043.13</t>
  </si>
  <si>
    <t>$6,526.01</t>
  </si>
  <si>
    <t>$11,334.77</t>
  </si>
  <si>
    <t>$2,492.67</t>
  </si>
  <si>
    <t>$2,066.48</t>
  </si>
  <si>
    <t>$7,009.01</t>
  </si>
  <si>
    <t>$4,562.97</t>
  </si>
  <si>
    <t>$3,442.99</t>
  </si>
  <si>
    <t>$6,669.60</t>
  </si>
  <si>
    <t>$1,902.47</t>
  </si>
  <si>
    <t>$6,157.17</t>
  </si>
  <si>
    <t>$3,012.68</t>
  </si>
  <si>
    <t>$3,473.62</t>
  </si>
  <si>
    <t>$4,129.98</t>
  </si>
  <si>
    <t>$14,566.22</t>
  </si>
  <si>
    <t>$4,049.61</t>
  </si>
  <si>
    <t>$5,924.44</t>
  </si>
  <si>
    <t>$10,100.95</t>
  </si>
  <si>
    <t>$2,362.01</t>
  </si>
  <si>
    <t>$2,638.76</t>
  </si>
  <si>
    <t>$3,496.41</t>
  </si>
  <si>
    <t>$17,222.86</t>
  </si>
  <si>
    <t>$1,604.87</t>
  </si>
  <si>
    <t>$7,170.21</t>
  </si>
  <si>
    <t>$4,090.16</t>
  </si>
  <si>
    <t>$9,574.38</t>
  </si>
  <si>
    <t>$717.90</t>
  </si>
  <si>
    <t>$7,734.54</t>
  </si>
  <si>
    <t>$1,606.49</t>
  </si>
  <si>
    <t>$9,170.09</t>
  </si>
  <si>
    <t>$1,583.57</t>
  </si>
  <si>
    <t>$7,684.52</t>
  </si>
  <si>
    <t>$16,765.07</t>
  </si>
  <si>
    <t>$11,796.63</t>
  </si>
  <si>
    <t>$2,766.65</t>
  </si>
  <si>
    <t>$13,232.74</t>
  </si>
  <si>
    <t>$2,820.41</t>
  </si>
  <si>
    <t>$2,483.32</t>
  </si>
  <si>
    <t>$9,124.16</t>
  </si>
  <si>
    <t>$12,728.16</t>
  </si>
  <si>
    <t>$12,624.64</t>
  </si>
  <si>
    <t>$17,584.16</t>
  </si>
  <si>
    <t>$13,156.49</t>
  </si>
  <si>
    <t>$4,164.10</t>
  </si>
  <si>
    <t>$11,698.98</t>
  </si>
  <si>
    <t>$4,964.25</t>
  </si>
  <si>
    <t>$8,258.37</t>
  </si>
  <si>
    <t>$3,938.20</t>
  </si>
  <si>
    <t>$1,368.27</t>
  </si>
  <si>
    <t>$12,449.46</t>
  </si>
  <si>
    <t>$7,323.82</t>
  </si>
  <si>
    <t>$4,560.81</t>
  </si>
  <si>
    <t>$777.46</t>
  </si>
  <si>
    <t>$3,857.27</t>
  </si>
  <si>
    <t>$7,442.69</t>
  </si>
  <si>
    <t>$5,799.30</t>
  </si>
  <si>
    <t>$8,836.90</t>
  </si>
  <si>
    <t>$4,185.00</t>
  </si>
  <si>
    <t>$6,984.06</t>
  </si>
  <si>
    <t>$7,362.70</t>
  </si>
  <si>
    <t>$10,338.27</t>
  </si>
  <si>
    <t>$6,215.72</t>
  </si>
  <si>
    <t>$10,400.66</t>
  </si>
  <si>
    <t>$1,062.61</t>
  </si>
  <si>
    <t>$10,095.71</t>
  </si>
  <si>
    <t>$23,251.68</t>
  </si>
  <si>
    <t>$2,669.61</t>
  </si>
  <si>
    <t>$10,265.97</t>
  </si>
  <si>
    <t>$5,423.54</t>
  </si>
  <si>
    <t>$3,272.68</t>
  </si>
  <si>
    <t>$8,840.59</t>
  </si>
  <si>
    <t>$14,460.51</t>
  </si>
  <si>
    <t>$1,461.99</t>
  </si>
  <si>
    <t>$3,701.60</t>
  </si>
  <si>
    <t>$13,951.32</t>
  </si>
  <si>
    <t>$5,774.92</t>
  </si>
  <si>
    <t>$9,718.87</t>
  </si>
  <si>
    <t>$87.52</t>
  </si>
  <si>
    <t>$3,398.51</t>
  </si>
  <si>
    <t>$4,371.77</t>
  </si>
  <si>
    <t>$3,632.32</t>
  </si>
  <si>
    <t>$3,343.85</t>
  </si>
  <si>
    <t>$4,400.28</t>
  </si>
  <si>
    <t>$10,802.13</t>
  </si>
  <si>
    <t>$9,154.17</t>
  </si>
  <si>
    <t>$5,360.89</t>
  </si>
  <si>
    <t>$11,597.46</t>
  </si>
  <si>
    <t>$14,939.24</t>
  </si>
  <si>
    <t>$10,845.85</t>
  </si>
  <si>
    <t>$2,832.78</t>
  </si>
  <si>
    <t>$8,879.72</t>
  </si>
  <si>
    <t>$298.34</t>
  </si>
  <si>
    <t>$7,799.51</t>
  </si>
  <si>
    <t>$8.04</t>
  </si>
  <si>
    <t>$3,212.35</t>
  </si>
  <si>
    <t>$12,048.56</t>
  </si>
  <si>
    <t>$4,499.64</t>
  </si>
  <si>
    <t>$9,984.16</t>
  </si>
  <si>
    <t>$11,867.83</t>
  </si>
  <si>
    <t>$4,806.65</t>
  </si>
  <si>
    <t>$13,420.93</t>
  </si>
  <si>
    <t>$10,407.51</t>
  </si>
  <si>
    <t>$10,849.39</t>
  </si>
  <si>
    <t>$7,247.29</t>
  </si>
  <si>
    <t>$6,387.65</t>
  </si>
  <si>
    <t>$8,373.42</t>
  </si>
  <si>
    <t>$1,887.19</t>
  </si>
  <si>
    <t>$6,054.04</t>
  </si>
  <si>
    <t>$16,254.61</t>
  </si>
  <si>
    <t>$13,173.56</t>
  </si>
  <si>
    <t>$2,721.46</t>
  </si>
  <si>
    <t>$19,283.64</t>
  </si>
  <si>
    <t>$9,327.52</t>
  </si>
  <si>
    <t>$3,184.03</t>
  </si>
  <si>
    <t>$9,738.74</t>
  </si>
  <si>
    <t>$16,486.65</t>
  </si>
  <si>
    <t>$16,792.23</t>
  </si>
  <si>
    <t>$5,752.62</t>
  </si>
  <si>
    <t>$6,833.28</t>
  </si>
  <si>
    <t>$2,815.72</t>
  </si>
  <si>
    <t>$1,545.36</t>
  </si>
  <si>
    <t>$3,432.73</t>
  </si>
  <si>
    <t>$1,001.99</t>
  </si>
  <si>
    <t>$2,494.19</t>
  </si>
  <si>
    <t>$770.25</t>
  </si>
  <si>
    <t>$2,261.98</t>
  </si>
  <si>
    <t>$5,667.58</t>
  </si>
  <si>
    <t>$4,738.71</t>
  </si>
  <si>
    <t>$13,661.89</t>
  </si>
  <si>
    <t>$6,067.19</t>
  </si>
  <si>
    <t>$11,720.99</t>
  </si>
  <si>
    <t>$19,999.55</t>
  </si>
  <si>
    <t>$4,484.03</t>
  </si>
  <si>
    <t>$107.24</t>
  </si>
  <si>
    <t>$2,525.98</t>
  </si>
  <si>
    <t>$1,577.84</t>
  </si>
  <si>
    <t>$2,972.07</t>
  </si>
  <si>
    <t>$3,691.63</t>
  </si>
  <si>
    <t>$5,188.89</t>
  </si>
  <si>
    <t>$5,766.51</t>
  </si>
  <si>
    <t>$1,036.77</t>
  </si>
  <si>
    <t>$10,033.52</t>
  </si>
  <si>
    <t>$5,220.69</t>
  </si>
  <si>
    <t>$8,106.62</t>
  </si>
  <si>
    <t>$3,934.09</t>
  </si>
  <si>
    <t>$4,508.93</t>
  </si>
  <si>
    <t>$1,921.57</t>
  </si>
  <si>
    <t>$1,161.31</t>
  </si>
  <si>
    <t>$11,389.29</t>
  </si>
  <si>
    <t>$3,032.30</t>
  </si>
  <si>
    <t>$6,871.55</t>
  </si>
  <si>
    <t>$339.99</t>
  </si>
  <si>
    <t>$3,720.22</t>
  </si>
  <si>
    <t>$731.19</t>
  </si>
  <si>
    <t>$13,288.65</t>
  </si>
  <si>
    <t>$5,332.79</t>
  </si>
  <si>
    <t>$3,971.78</t>
  </si>
  <si>
    <t>$9,538.21</t>
  </si>
  <si>
    <t>$547.85</t>
  </si>
  <si>
    <t>$2,994.76</t>
  </si>
  <si>
    <t>$4,451.38</t>
  </si>
  <si>
    <t>$14,691.77</t>
  </si>
  <si>
    <t>$7,042.98</t>
  </si>
  <si>
    <t>$15,583.00</t>
  </si>
  <si>
    <t>$9,059.82</t>
  </si>
  <si>
    <t>$430.59</t>
  </si>
  <si>
    <t>$1,264.25</t>
  </si>
  <si>
    <t>$2,995.47</t>
  </si>
  <si>
    <t>$2,117.82</t>
  </si>
  <si>
    <t>$8,081.79</t>
  </si>
  <si>
    <t>$11,542.54</t>
  </si>
  <si>
    <t>$2,183.68</t>
  </si>
  <si>
    <t>$3,125.34</t>
  </si>
  <si>
    <t>$4,891.86</t>
  </si>
  <si>
    <t>$4,881.32</t>
  </si>
  <si>
    <t>$5,917.62</t>
  </si>
  <si>
    <t>$6,312.53</t>
  </si>
  <si>
    <t>$7,956.28</t>
  </si>
  <si>
    <t>$5,895.88</t>
  </si>
  <si>
    <t>$13,535.70</t>
  </si>
  <si>
    <t>$5,639.90</t>
  </si>
  <si>
    <t>$5,813.44</t>
  </si>
  <si>
    <t>$2,514.82</t>
  </si>
  <si>
    <t>$3,044.01</t>
  </si>
  <si>
    <t>$3,902.04</t>
  </si>
  <si>
    <t>$1,928.74</t>
  </si>
  <si>
    <t>$3,251.53</t>
  </si>
  <si>
    <t>$5,031.94</t>
  </si>
  <si>
    <t>$1,350.26</t>
  </si>
  <si>
    <t>$1,187.71</t>
  </si>
  <si>
    <t>$7,055.38</t>
  </si>
  <si>
    <t>$7,231.89</t>
  </si>
  <si>
    <t>$9,295.83</t>
  </si>
  <si>
    <t>$2,276.94</t>
  </si>
  <si>
    <t>$4,229.79</t>
  </si>
  <si>
    <t>$1,640.53</t>
  </si>
  <si>
    <t>$8,234.50</t>
  </si>
  <si>
    <t>$10,087.04</t>
  </si>
  <si>
    <t>$3,169.26</t>
  </si>
  <si>
    <t>$10,355.42</t>
  </si>
  <si>
    <t>$7,772.63</t>
  </si>
  <si>
    <t>$1,992.77</t>
  </si>
  <si>
    <t>$1,815.56</t>
  </si>
  <si>
    <t>$727.11</t>
  </si>
  <si>
    <t>$114.96</t>
  </si>
  <si>
    <t>$5,378.09</t>
  </si>
  <si>
    <t>$6,707.63</t>
  </si>
  <si>
    <t>$8,167.18</t>
  </si>
  <si>
    <t>$9,950.14</t>
  </si>
  <si>
    <t>$7,229.26</t>
  </si>
  <si>
    <t>$2,260.21</t>
  </si>
  <si>
    <t>$6,206.90</t>
  </si>
  <si>
    <t>$1,889.83</t>
  </si>
  <si>
    <t>$7,797.24</t>
  </si>
  <si>
    <t>$11,644.92</t>
  </si>
  <si>
    <t>$4,207.22</t>
  </si>
  <si>
    <t>$1,683.88</t>
  </si>
  <si>
    <t>$1,337.36</t>
  </si>
  <si>
    <t>$7,147.04</t>
  </si>
  <si>
    <t>$12,030.46</t>
  </si>
  <si>
    <t>$15,844.58</t>
  </si>
  <si>
    <t>$5,025.84</t>
  </si>
  <si>
    <t>$9,902.03</t>
  </si>
  <si>
    <t>$7,944.07</t>
  </si>
  <si>
    <t>$9,523.65</t>
  </si>
  <si>
    <t>$16,240.71</t>
  </si>
  <si>
    <t>$5,891.94</t>
  </si>
  <si>
    <t>$6,924.52</t>
  </si>
  <si>
    <t>$4,552.57</t>
  </si>
  <si>
    <t>$1,724.91</t>
  </si>
  <si>
    <t>$897.30</t>
  </si>
  <si>
    <t>$10,283.90</t>
  </si>
  <si>
    <t>$10,415.77</t>
  </si>
  <si>
    <t>$4,220.83</t>
  </si>
  <si>
    <t>$4,909.86</t>
  </si>
  <si>
    <t>$6,549.62</t>
  </si>
  <si>
    <t>$88.72</t>
  </si>
  <si>
    <t>$9,793.16</t>
  </si>
  <si>
    <t>$4,823.65</t>
  </si>
  <si>
    <t>$7,556.55</t>
  </si>
  <si>
    <t>$7,082.03</t>
  </si>
  <si>
    <t>$8,361.47</t>
  </si>
  <si>
    <t>$1,310.50</t>
  </si>
  <si>
    <t>$1,288.10</t>
  </si>
  <si>
    <t>$3,288.29</t>
  </si>
  <si>
    <t>$10,669.09</t>
  </si>
  <si>
    <t>$7,361.93</t>
  </si>
  <si>
    <t>$10,336.22</t>
  </si>
  <si>
    <t>$6,985.95</t>
  </si>
  <si>
    <t>$3,394.46</t>
  </si>
  <si>
    <t>$15,337.23</t>
  </si>
  <si>
    <t>$15,925.17</t>
  </si>
  <si>
    <t>$7,355.77</t>
  </si>
  <si>
    <t>$9,489.27</t>
  </si>
  <si>
    <t>$1,281.32</t>
  </si>
  <si>
    <t>$518.07</t>
  </si>
  <si>
    <t>$1,933.56</t>
  </si>
  <si>
    <t>$1,308.52</t>
  </si>
  <si>
    <t>$9,878.50</t>
  </si>
  <si>
    <t>$1,943.70</t>
  </si>
  <si>
    <t>$80.62</t>
  </si>
  <si>
    <t>$2,678.37</t>
  </si>
  <si>
    <t>$2,931.10</t>
  </si>
  <si>
    <t>$2,316.09</t>
  </si>
  <si>
    <t>$6,722.22</t>
  </si>
  <si>
    <t>$14,528.51</t>
  </si>
  <si>
    <t>$9,390.28</t>
  </si>
  <si>
    <t>$16,230.41</t>
  </si>
  <si>
    <t>$7,224.39</t>
  </si>
  <si>
    <t>$15,567.58</t>
  </si>
  <si>
    <t>$2,964.20</t>
  </si>
  <si>
    <t>$3,357.08</t>
  </si>
  <si>
    <t>$1,010.37</t>
  </si>
  <si>
    <t>$20,470.43</t>
  </si>
  <si>
    <t>$8,762.75</t>
  </si>
  <si>
    <t>$14,613.52</t>
  </si>
  <si>
    <t>$9,839.46</t>
  </si>
  <si>
    <t>$6,633.23</t>
  </si>
  <si>
    <t>$9,749.07</t>
  </si>
  <si>
    <t>$5,254.38</t>
  </si>
  <si>
    <t>$3,430.43</t>
  </si>
  <si>
    <t>$10,454.55</t>
  </si>
  <si>
    <t>$2,413.87</t>
  </si>
  <si>
    <t>$1,445.14</t>
  </si>
  <si>
    <t>$4,022.64</t>
  </si>
  <si>
    <t>$8,651.20</t>
  </si>
  <si>
    <t>$725.16</t>
  </si>
  <si>
    <t>$2,385.40</t>
  </si>
  <si>
    <t>$726.04</t>
  </si>
  <si>
    <t>$4,742.35</t>
  </si>
  <si>
    <t>$2,556.96</t>
  </si>
  <si>
    <t>$8,376.69</t>
  </si>
  <si>
    <t>$840.71</t>
  </si>
  <si>
    <t>$207.87</t>
  </si>
  <si>
    <t>$13,370.34</t>
  </si>
  <si>
    <t>$6,811.37</t>
  </si>
  <si>
    <t>$6,096.52</t>
  </si>
  <si>
    <t>$8,684.58</t>
  </si>
  <si>
    <t>$873.26</t>
  </si>
  <si>
    <t>$1,912.66</t>
  </si>
  <si>
    <t>$321.61</t>
  </si>
  <si>
    <t>$511.12</t>
  </si>
  <si>
    <t>$7,887.15</t>
  </si>
  <si>
    <t>$1,793.67</t>
  </si>
  <si>
    <t>$12,129.42</t>
  </si>
  <si>
    <t>$11,749.75</t>
  </si>
  <si>
    <t>$3,967.25</t>
  </si>
  <si>
    <t>$8,105.37</t>
  </si>
  <si>
    <t>$1,614.17</t>
  </si>
  <si>
    <t>$1,613.30</t>
  </si>
  <si>
    <t>$2,155.64</t>
  </si>
  <si>
    <t>$8,184.37</t>
  </si>
  <si>
    <t>$3,613.32</t>
  </si>
  <si>
    <t>$801.09</t>
  </si>
  <si>
    <t>$2,069.48</t>
  </si>
  <si>
    <t>$5,096.21</t>
  </si>
  <si>
    <t>$10,573.50</t>
  </si>
  <si>
    <t>$4,611.37</t>
  </si>
  <si>
    <t>$3,288.77</t>
  </si>
  <si>
    <t>$10,883.13</t>
  </si>
  <si>
    <t>$1,516.56</t>
  </si>
  <si>
    <t>$391.33</t>
  </si>
  <si>
    <t>$7,969.08</t>
  </si>
  <si>
    <t>$63.71</t>
  </si>
  <si>
    <t>$8,832.33</t>
  </si>
  <si>
    <t>$3,542.19</t>
  </si>
  <si>
    <t>$6,052.07</t>
  </si>
  <si>
    <t>$543.20</t>
  </si>
  <si>
    <t>$18,894.92</t>
  </si>
  <si>
    <t>$689.40</t>
  </si>
  <si>
    <t>$4,435.95</t>
  </si>
  <si>
    <t>$9,111.34</t>
  </si>
  <si>
    <t>$10,369.71</t>
  </si>
  <si>
    <t>$5,833.20</t>
  </si>
  <si>
    <t>$1,229.96</t>
  </si>
  <si>
    <t>$8,839.72</t>
  </si>
  <si>
    <t>$5,747.66</t>
  </si>
  <si>
    <t>$3,666.04</t>
  </si>
  <si>
    <t>$6,853.82</t>
  </si>
  <si>
    <t>$4,361.01</t>
  </si>
  <si>
    <t>$7,686.15</t>
  </si>
  <si>
    <t>$4,188.43</t>
  </si>
  <si>
    <t>$5,425.24</t>
  </si>
  <si>
    <t>$2,896.97</t>
  </si>
  <si>
    <t>$1,071.31</t>
  </si>
  <si>
    <t>$6,417.05</t>
  </si>
  <si>
    <t>$10,967.31</t>
  </si>
  <si>
    <t>$6,345.02</t>
  </si>
  <si>
    <t>$2,824.71</t>
  </si>
  <si>
    <t>$1,463.67</t>
  </si>
  <si>
    <t>$5,856.52</t>
  </si>
  <si>
    <t>$4,303.86</t>
  </si>
  <si>
    <t>$2,047.77</t>
  </si>
  <si>
    <t>$4,692.36</t>
  </si>
  <si>
    <t>$7,302.42</t>
  </si>
  <si>
    <t>$2,056.92</t>
  </si>
  <si>
    <t>$11,032.79</t>
  </si>
  <si>
    <t>$7,773.64</t>
  </si>
  <si>
    <t>$3,843.01</t>
  </si>
  <si>
    <t>$9,163.79</t>
  </si>
  <si>
    <t>$7,628.59</t>
  </si>
  <si>
    <t>$18,220.59</t>
  </si>
  <si>
    <t>$9,828.94</t>
  </si>
  <si>
    <t>$4,726.65</t>
  </si>
  <si>
    <t>$344.82</t>
  </si>
  <si>
    <t>$3,451.24</t>
  </si>
  <si>
    <t>$5,071.49</t>
  </si>
  <si>
    <t>$4,719.38</t>
  </si>
  <si>
    <t>$3,430.58</t>
  </si>
  <si>
    <t>$268.30</t>
  </si>
  <si>
    <t>$991.46</t>
  </si>
  <si>
    <t>$213.45</t>
  </si>
  <si>
    <t>$7,586.38</t>
  </si>
  <si>
    <t>$6,192.19</t>
  </si>
  <si>
    <t>$1,510.58</t>
  </si>
  <si>
    <t>$8,693.31</t>
  </si>
  <si>
    <t>$5,509.77</t>
  </si>
  <si>
    <t>$1,863.20</t>
  </si>
  <si>
    <t>$4,822.50</t>
  </si>
  <si>
    <t>$10,856.55</t>
  </si>
  <si>
    <t>$11,252.11</t>
  </si>
  <si>
    <t>$1,387.72</t>
  </si>
  <si>
    <t>$5,509.22</t>
  </si>
  <si>
    <t>$2,444.25</t>
  </si>
  <si>
    <t>$3,175.62</t>
  </si>
  <si>
    <t>$7,900.42</t>
  </si>
  <si>
    <t>$9,072.46</t>
  </si>
  <si>
    <t>$8.06</t>
  </si>
  <si>
    <t>$1,548.54</t>
  </si>
  <si>
    <t>$5,501.67</t>
  </si>
  <si>
    <t>$7,685.42</t>
  </si>
  <si>
    <t>$5,147.77</t>
  </si>
  <si>
    <t>$3,070.43</t>
  </si>
  <si>
    <t>$1,127.50</t>
  </si>
  <si>
    <t>$8,502.77</t>
  </si>
  <si>
    <t>$5,961.02</t>
  </si>
  <si>
    <t>$2,478.33</t>
  </si>
  <si>
    <t>$1,269.56</t>
  </si>
  <si>
    <t>$11,130.52</t>
  </si>
  <si>
    <t>$2,455.09</t>
  </si>
  <si>
    <t>$12,764.94</t>
  </si>
  <si>
    <t>$13,351.42</t>
  </si>
  <si>
    <t>$2,763.22</t>
  </si>
  <si>
    <t>$6,523.34</t>
  </si>
  <si>
    <t>$1,868.25</t>
  </si>
  <si>
    <t>$8,431.83</t>
  </si>
  <si>
    <t>$5,646.99</t>
  </si>
  <si>
    <t>$1,484.67</t>
  </si>
  <si>
    <t>$3,859.95</t>
  </si>
  <si>
    <t>$3,237.30</t>
  </si>
  <si>
    <t>$4,072.43</t>
  </si>
  <si>
    <t>$8,054.87</t>
  </si>
  <si>
    <t>$420.30</t>
  </si>
  <si>
    <t>$17,073.99</t>
  </si>
  <si>
    <t>$13,624.31</t>
  </si>
  <si>
    <t>$2,318.46</t>
  </si>
  <si>
    <t>$10,740.05</t>
  </si>
  <si>
    <t>$7,624.67</t>
  </si>
  <si>
    <t>$10,168.32</t>
  </si>
  <si>
    <t>$6,635.15</t>
  </si>
  <si>
    <t>$860.12</t>
  </si>
  <si>
    <t>$8,671.21</t>
  </si>
  <si>
    <t>$5,534.11</t>
  </si>
  <si>
    <t>$6,800.26</t>
  </si>
  <si>
    <t>$3,927.83</t>
  </si>
  <si>
    <t>$5,833.80</t>
  </si>
  <si>
    <t>$733.08</t>
  </si>
  <si>
    <t>$7,164.51</t>
  </si>
  <si>
    <t>$7,900.52</t>
  </si>
  <si>
    <t>$3,550.76</t>
  </si>
  <si>
    <t>$10,281.51</t>
  </si>
  <si>
    <t>$5,936.81</t>
  </si>
  <si>
    <t>$4,552.15</t>
  </si>
  <si>
    <t>$15,944.86</t>
  </si>
  <si>
    <t>$7,722.58</t>
  </si>
  <si>
    <t>$3,105.38</t>
  </si>
  <si>
    <t>$6,994.35</t>
  </si>
  <si>
    <t>$4,264.49</t>
  </si>
  <si>
    <t>$1,215.30</t>
  </si>
  <si>
    <t>$8,519.37</t>
  </si>
  <si>
    <t>$9,810.95</t>
  </si>
  <si>
    <t>$1,065.63</t>
  </si>
  <si>
    <t>$3,894.68</t>
  </si>
  <si>
    <t>$12,194.27</t>
  </si>
  <si>
    <t>$2,455.13</t>
  </si>
  <si>
    <t>$14,887.76</t>
  </si>
  <si>
    <t>$15,276.46</t>
  </si>
  <si>
    <t>$13,520.48</t>
  </si>
  <si>
    <t>$9,195.53</t>
  </si>
  <si>
    <t>$460.98</t>
  </si>
  <si>
    <t>$8,216.56</t>
  </si>
  <si>
    <t>$1,863.54</t>
  </si>
  <si>
    <t>$3,283.00</t>
  </si>
  <si>
    <t>$5,967.18</t>
  </si>
  <si>
    <t>$12,083.50</t>
  </si>
  <si>
    <t>$12,397.06</t>
  </si>
  <si>
    <t>$1,746.01</t>
  </si>
  <si>
    <t>$9,021.65</t>
  </si>
  <si>
    <t>$5,263.45</t>
  </si>
  <si>
    <t>$15,473.00</t>
  </si>
  <si>
    <t>$5,566.57</t>
  </si>
  <si>
    <t>$8,111.43</t>
  </si>
  <si>
    <t>$2,341.80</t>
  </si>
  <si>
    <t>$8,650.42</t>
  </si>
  <si>
    <t>$4,444.72</t>
  </si>
  <si>
    <t>$12,531.37</t>
  </si>
  <si>
    <t>$3,558.89</t>
  </si>
  <si>
    <t>$7,889.90</t>
  </si>
  <si>
    <t>$3,589.18</t>
  </si>
  <si>
    <t>$305.39</t>
  </si>
  <si>
    <t>$1,896.64</t>
  </si>
  <si>
    <t>$18,494.72</t>
  </si>
  <si>
    <t>$11,103.47</t>
  </si>
  <si>
    <t>$4,162.28</t>
  </si>
  <si>
    <t>$3,357.30</t>
  </si>
  <si>
    <t>$7,033.52</t>
  </si>
  <si>
    <t>$9,896.80</t>
  </si>
  <si>
    <t>$15,653.44</t>
  </si>
  <si>
    <t>$7,899.31</t>
  </si>
  <si>
    <t>$10,644.74</t>
  </si>
  <si>
    <t>$872.83</t>
  </si>
  <si>
    <t>$6,337.94</t>
  </si>
  <si>
    <t>$31.15</t>
  </si>
  <si>
    <t>$7,107.55</t>
  </si>
  <si>
    <t>$5,465.85</t>
  </si>
  <si>
    <t>$2,462.14</t>
  </si>
  <si>
    <t>$4,194.44</t>
  </si>
  <si>
    <t>$1,994.44</t>
  </si>
  <si>
    <t>$12,124.05</t>
  </si>
  <si>
    <t>$5,884.09</t>
  </si>
  <si>
    <t>$2,639.16</t>
  </si>
  <si>
    <t>$5,031.40</t>
  </si>
  <si>
    <t>$11,510.71</t>
  </si>
  <si>
    <t>$15,021.98</t>
  </si>
  <si>
    <t>$4,517.19</t>
  </si>
  <si>
    <t>$10,778.53</t>
  </si>
  <si>
    <t>$1,145.72</t>
  </si>
  <si>
    <t>$2,518.50</t>
  </si>
  <si>
    <t>$596.63</t>
  </si>
  <si>
    <t>$1,858.71</t>
  </si>
  <si>
    <t>$5,194.28</t>
  </si>
  <si>
    <t>$960.69</t>
  </si>
  <si>
    <t>$5,347.12</t>
  </si>
  <si>
    <t>$9,805.11</t>
  </si>
  <si>
    <t>$13,205.42</t>
  </si>
  <si>
    <t>$5,929.20</t>
  </si>
  <si>
    <t>$516.92</t>
  </si>
  <si>
    <t>$2,882.76</t>
  </si>
  <si>
    <t>$1,637.72</t>
  </si>
  <si>
    <t>$10,791.46</t>
  </si>
  <si>
    <t>$1,093.46</t>
  </si>
  <si>
    <t>$3,407.61</t>
  </si>
  <si>
    <t>$4,753.93</t>
  </si>
  <si>
    <t>$8,280.62</t>
  </si>
  <si>
    <t>$4,981.78</t>
  </si>
  <si>
    <t>$13,998.33</t>
  </si>
  <si>
    <t>$13,105.65</t>
  </si>
  <si>
    <t>$15,728.81</t>
  </si>
  <si>
    <t>$53.85</t>
  </si>
  <si>
    <t>$10,857.23</t>
  </si>
  <si>
    <t>$12,412.53</t>
  </si>
  <si>
    <t>$3,669.15</t>
  </si>
  <si>
    <t>$13,555.26</t>
  </si>
  <si>
    <t>$2,333.84</t>
  </si>
  <si>
    <t>$8,973.05</t>
  </si>
  <si>
    <t>$8,610.38</t>
  </si>
  <si>
    <t>$3,432.30</t>
  </si>
  <si>
    <t>$2,283.39</t>
  </si>
  <si>
    <t>$7,190.49</t>
  </si>
  <si>
    <t>$11,303.07</t>
  </si>
  <si>
    <t>$18,911.49</t>
  </si>
  <si>
    <t>$6,233.02</t>
  </si>
  <si>
    <t>$2,334.50</t>
  </si>
  <si>
    <t>$11,099.73</t>
  </si>
  <si>
    <t>$3,590.55</t>
  </si>
  <si>
    <t>$5,209.40</t>
  </si>
  <si>
    <t>$6,315.14</t>
  </si>
  <si>
    <t>$4,454.71</t>
  </si>
  <si>
    <t>$6,078.71</t>
  </si>
  <si>
    <t>$695.96</t>
  </si>
  <si>
    <t>$563.76</t>
  </si>
  <si>
    <t>$4,479.69</t>
  </si>
  <si>
    <t>$1,093.72</t>
  </si>
  <si>
    <t>$15,870.43</t>
  </si>
  <si>
    <t>$2,529.82</t>
  </si>
  <si>
    <t>$11,258.39</t>
  </si>
  <si>
    <t>$6,180.45</t>
  </si>
  <si>
    <t>$2,496.06</t>
  </si>
  <si>
    <t>$10,964.29</t>
  </si>
  <si>
    <t>$4,012.51</t>
  </si>
  <si>
    <t>$4,919.25</t>
  </si>
  <si>
    <t>$5,602.02</t>
  </si>
  <si>
    <t>$3,563.87</t>
  </si>
  <si>
    <t>$8,313.09</t>
  </si>
  <si>
    <t>$8,447.48</t>
  </si>
  <si>
    <t>$2,646.23</t>
  </si>
  <si>
    <t>$2,706.83</t>
  </si>
  <si>
    <t>$1,710.48</t>
  </si>
  <si>
    <t>$318.19</t>
  </si>
  <si>
    <t>$9,479.65</t>
  </si>
  <si>
    <t>$6,393.20</t>
  </si>
  <si>
    <t>$1,355.65</t>
  </si>
  <si>
    <t>$7,911.23</t>
  </si>
  <si>
    <t>$2,583.03</t>
  </si>
  <si>
    <t>$66.13</t>
  </si>
  <si>
    <t>$10,668.69</t>
  </si>
  <si>
    <t>$10,994.30</t>
  </si>
  <si>
    <t>$1,259.61</t>
  </si>
  <si>
    <t>$492.13</t>
  </si>
  <si>
    <t>$1,016.77</t>
  </si>
  <si>
    <t>$4,111.42</t>
  </si>
  <si>
    <t>$503.97</t>
  </si>
  <si>
    <t>$2,883.71</t>
  </si>
  <si>
    <t>$11,861.89</t>
  </si>
  <si>
    <t>$8,564.73</t>
  </si>
  <si>
    <t>$538.03</t>
  </si>
  <si>
    <t>$5,231.88</t>
  </si>
  <si>
    <t>$7,916.13</t>
  </si>
  <si>
    <t>$6,016.32</t>
  </si>
  <si>
    <t>$7,504.86</t>
  </si>
  <si>
    <t>$1,590.98</t>
  </si>
  <si>
    <t>$740.07</t>
  </si>
  <si>
    <t>$4,591.11</t>
  </si>
  <si>
    <t>$2,686.51</t>
  </si>
  <si>
    <t>$735.48</t>
  </si>
  <si>
    <t>$1,160.54</t>
  </si>
  <si>
    <t>$8,078.15</t>
  </si>
  <si>
    <t>$7,467.74</t>
  </si>
  <si>
    <t>$7,588.41</t>
  </si>
  <si>
    <t>$15,372.54</t>
  </si>
  <si>
    <t>$3,907.50</t>
  </si>
  <si>
    <t>$3,740.76</t>
  </si>
  <si>
    <t>$6,211.75</t>
  </si>
  <si>
    <t>$2,924.46</t>
  </si>
  <si>
    <t>$501.79</t>
  </si>
  <si>
    <t>$6,594.09</t>
  </si>
  <si>
    <t>$960.68</t>
  </si>
  <si>
    <t>$11,370.32</t>
  </si>
  <si>
    <t>$6,067.94</t>
  </si>
  <si>
    <t>$8,909.75</t>
  </si>
  <si>
    <t>$6,865.35</t>
  </si>
  <si>
    <t>$805.23</t>
  </si>
  <si>
    <t>$9,851.62</t>
  </si>
  <si>
    <t>$11,823.35</t>
  </si>
  <si>
    <t>$683.63</t>
  </si>
  <si>
    <t>$14,002.42</t>
  </si>
  <si>
    <t>$8,744.95</t>
  </si>
  <si>
    <t>$9,294.14</t>
  </si>
  <si>
    <t>$8,831.89</t>
  </si>
  <si>
    <t>$3,474.98</t>
  </si>
  <si>
    <t>$311.61</t>
  </si>
  <si>
    <t>$4,791.20</t>
  </si>
  <si>
    <t>$6,646.33</t>
  </si>
  <si>
    <t>$593.63</t>
  </si>
  <si>
    <t>$2,345.95</t>
  </si>
  <si>
    <t>$5,083.07</t>
  </si>
  <si>
    <t>$6,339.57</t>
  </si>
  <si>
    <t>$9,005.87</t>
  </si>
  <si>
    <t>$5,159.07</t>
  </si>
  <si>
    <t>$13,370.97</t>
  </si>
  <si>
    <t>$14,791.64</t>
  </si>
  <si>
    <t>$6,429.35</t>
  </si>
  <si>
    <t>$15,900.60</t>
  </si>
  <si>
    <t>$3,400.26</t>
  </si>
  <si>
    <t>$4,357.76</t>
  </si>
  <si>
    <t>$3,356.17</t>
  </si>
  <si>
    <t>$5,287.86</t>
  </si>
  <si>
    <t>$4,244.36</t>
  </si>
  <si>
    <t>$1,671.64</t>
  </si>
  <si>
    <t>$181.84</t>
  </si>
  <si>
    <t>$8,950.59</t>
  </si>
  <si>
    <t>$7,271.76</t>
  </si>
  <si>
    <t>$4,864.83</t>
  </si>
  <si>
    <t>$3,175.11</t>
  </si>
  <si>
    <t>$10,137.79</t>
  </si>
  <si>
    <t>$1,206.95</t>
  </si>
  <si>
    <t>$8,222.65</t>
  </si>
  <si>
    <t>$1,440.85</t>
  </si>
  <si>
    <t>$5,611.65</t>
  </si>
  <si>
    <t>$3,562.44</t>
  </si>
  <si>
    <t>$8,385.26</t>
  </si>
  <si>
    <t>$181.31</t>
  </si>
  <si>
    <t>$1,800.27</t>
  </si>
  <si>
    <t>$4,449.37</t>
  </si>
  <si>
    <t>$10,113.40</t>
  </si>
  <si>
    <t>$5,932.84</t>
  </si>
  <si>
    <t>$2,006.71</t>
  </si>
  <si>
    <t>$14,086.69</t>
  </si>
  <si>
    <t>$4,799.54</t>
  </si>
  <si>
    <t>$8,101.98</t>
  </si>
  <si>
    <t>$2,321.97</t>
  </si>
  <si>
    <t>$10,245.00</t>
  </si>
  <si>
    <t>$2,930.40</t>
  </si>
  <si>
    <t>$170.24</t>
  </si>
  <si>
    <t>$4,247.49</t>
  </si>
  <si>
    <t>$2,696.10</t>
  </si>
  <si>
    <t>$1,083.76</t>
  </si>
  <si>
    <t>$17,037.09</t>
  </si>
  <si>
    <t>$5,706.43</t>
  </si>
  <si>
    <t>$6,682.34</t>
  </si>
  <si>
    <t>$8,192.60</t>
  </si>
  <si>
    <t>$7,568.16</t>
  </si>
  <si>
    <t>$10,772.33</t>
  </si>
  <si>
    <t>$7,467.12</t>
  </si>
  <si>
    <t>$4,985.90</t>
  </si>
  <si>
    <t>$5,693.60</t>
  </si>
  <si>
    <t>$5,879.10</t>
  </si>
  <si>
    <t>$9,771.93</t>
  </si>
  <si>
    <t>$105.06</t>
  </si>
  <si>
    <t>$16,414.69</t>
  </si>
  <si>
    <t>$2,553.41</t>
  </si>
  <si>
    <t>$473.99</t>
  </si>
  <si>
    <t>$3,873.98</t>
  </si>
  <si>
    <t>$17,718.25</t>
  </si>
  <si>
    <t>$16,572.07</t>
  </si>
  <si>
    <t>$5,220.19</t>
  </si>
  <si>
    <t>$1,797.26</t>
  </si>
  <si>
    <t>$295.62</t>
  </si>
  <si>
    <t>$3,597.37</t>
  </si>
  <si>
    <t>$6,580.43</t>
  </si>
  <si>
    <t>$12,232.97</t>
  </si>
  <si>
    <t>$2,243.44</t>
  </si>
  <si>
    <t>$22,943.37</t>
  </si>
  <si>
    <t>$10,590.61</t>
  </si>
  <si>
    <t>$6,468.82</t>
  </si>
  <si>
    <t>$10,463.57</t>
  </si>
  <si>
    <t>$14,154.35</t>
  </si>
  <si>
    <t>$6,031.14</t>
  </si>
  <si>
    <t>$3,308.40</t>
  </si>
  <si>
    <t>$1,119.94</t>
  </si>
  <si>
    <t>$2,303.39</t>
  </si>
  <si>
    <t>$723.37</t>
  </si>
  <si>
    <t>$1,413.64</t>
  </si>
  <si>
    <t>$9,001.89</t>
  </si>
  <si>
    <t>$5,283.91</t>
  </si>
  <si>
    <t>$10,958.51</t>
  </si>
  <si>
    <t>$15,531.78</t>
  </si>
  <si>
    <t>$317.36</t>
  </si>
  <si>
    <t>$71.41</t>
  </si>
  <si>
    <t>$9,317.33</t>
  </si>
  <si>
    <t>$4,790.71</t>
  </si>
  <si>
    <t>$6,166.80</t>
  </si>
  <si>
    <t>$11,741.46</t>
  </si>
  <si>
    <t>$8,519.77</t>
  </si>
  <si>
    <t>$8,278.86</t>
  </si>
  <si>
    <t>$7,560.62</t>
  </si>
  <si>
    <t>$6,702.11</t>
  </si>
  <si>
    <t>$4,758.69</t>
  </si>
  <si>
    <t>$709.25</t>
  </si>
  <si>
    <t>$2,003.05</t>
  </si>
  <si>
    <t>$3,248.00</t>
  </si>
  <si>
    <t>$51.98</t>
  </si>
  <si>
    <t>$2,134.65</t>
  </si>
  <si>
    <t>$15,540.41</t>
  </si>
  <si>
    <t>$1,117.77</t>
  </si>
  <si>
    <t>$13,999.05</t>
  </si>
  <si>
    <t>$6,265.59</t>
  </si>
  <si>
    <t>$1,536.82</t>
  </si>
  <si>
    <t>$6,069.93</t>
  </si>
  <si>
    <t>$4,861.33</t>
  </si>
  <si>
    <t>$8,993.24</t>
  </si>
  <si>
    <t>$150.42</t>
  </si>
  <si>
    <t>$5,593.68</t>
  </si>
  <si>
    <t>$9,376.61</t>
  </si>
  <si>
    <t>$11,315.16</t>
  </si>
  <si>
    <t>$2,048.34</t>
  </si>
  <si>
    <t>$12,562.81</t>
  </si>
  <si>
    <t>$6,883.75</t>
  </si>
  <si>
    <t>$6,105.60</t>
  </si>
  <si>
    <t>$12,634.72</t>
  </si>
  <si>
    <t>$663.74</t>
  </si>
  <si>
    <t>$7,044.68</t>
  </si>
  <si>
    <t>$1,804.90</t>
  </si>
  <si>
    <t>$513.43</t>
  </si>
  <si>
    <t>$13,699.76</t>
  </si>
  <si>
    <t>$19,995.68</t>
  </si>
  <si>
    <t>$2,189.70</t>
  </si>
  <si>
    <t>$8,727.09</t>
  </si>
  <si>
    <t>$911.46</t>
  </si>
  <si>
    <t>$7,620.86</t>
  </si>
  <si>
    <t>$5,054.56</t>
  </si>
  <si>
    <t>$5,230.50</t>
  </si>
  <si>
    <t>$17,104.04</t>
  </si>
  <si>
    <t>$1,642.32</t>
  </si>
  <si>
    <t>$10,322.19</t>
  </si>
  <si>
    <t>$2,715.92</t>
  </si>
  <si>
    <t>$5,598.05</t>
  </si>
  <si>
    <t>$2,996.99</t>
  </si>
  <si>
    <t>$7,946.49</t>
  </si>
  <si>
    <t>$4,991.22</t>
  </si>
  <si>
    <t>$4,151.70</t>
  </si>
  <si>
    <t>$22,701.85</t>
  </si>
  <si>
    <t>$6,014.30</t>
  </si>
  <si>
    <t>$2,788.60</t>
  </si>
  <si>
    <t>$6,503.75</t>
  </si>
  <si>
    <t>$433.92</t>
  </si>
  <si>
    <t>$12,314.13</t>
  </si>
  <si>
    <t>$9,876.86</t>
  </si>
  <si>
    <t>$2,043.06</t>
  </si>
  <si>
    <t>$8,728.80</t>
  </si>
  <si>
    <t>$4,906.57</t>
  </si>
  <si>
    <t>$2,278.06</t>
  </si>
  <si>
    <t>$1,108.18</t>
  </si>
  <si>
    <t>$14,957.65</t>
  </si>
  <si>
    <t>$3,020.67</t>
  </si>
  <si>
    <t>$3,677.47</t>
  </si>
  <si>
    <t>$6,999.62</t>
  </si>
  <si>
    <t>$10,901.65</t>
  </si>
  <si>
    <t>$2,586.62</t>
  </si>
  <si>
    <t>$5,077.50</t>
  </si>
  <si>
    <t>$8,360.11</t>
  </si>
  <si>
    <t>$3,566.77</t>
  </si>
  <si>
    <t>$9,186.69</t>
  </si>
  <si>
    <t>$917.35</t>
  </si>
  <si>
    <t>$6,199.12</t>
  </si>
  <si>
    <t>$3,368.63</t>
  </si>
  <si>
    <t>$10,527.23</t>
  </si>
  <si>
    <t>$7,927.57</t>
  </si>
  <si>
    <t>$14,493.50</t>
  </si>
  <si>
    <t>$3,112.20</t>
  </si>
  <si>
    <t>$9,617.64</t>
  </si>
  <si>
    <t>$4,198.08</t>
  </si>
  <si>
    <t>$10,927.22</t>
  </si>
  <si>
    <t>$10,759.18</t>
  </si>
  <si>
    <t>$6,250.42</t>
  </si>
  <si>
    <t>$1,103.54</t>
  </si>
  <si>
    <t>$13,435.98</t>
  </si>
  <si>
    <t>$1,855.03</t>
  </si>
  <si>
    <t>$5,799.09</t>
  </si>
  <si>
    <t>$3,631.78</t>
  </si>
  <si>
    <t>$5,461.43</t>
  </si>
  <si>
    <t>$5,315.95</t>
  </si>
  <si>
    <t>$16,059.94</t>
  </si>
  <si>
    <t>$7,803.84</t>
  </si>
  <si>
    <t>$10,751.19</t>
  </si>
  <si>
    <t>$12,156.54</t>
  </si>
  <si>
    <t>$9,402.26</t>
  </si>
  <si>
    <t>$3,653.39</t>
  </si>
  <si>
    <t>$320.11</t>
  </si>
  <si>
    <t>$7,618.91</t>
  </si>
  <si>
    <t>$2,843.90</t>
  </si>
  <si>
    <t>$11,946.40</t>
  </si>
  <si>
    <t>$5,055.05</t>
  </si>
  <si>
    <t>$10,378.36</t>
  </si>
  <si>
    <t>$595.16</t>
  </si>
  <si>
    <t>$639.95</t>
  </si>
  <si>
    <t>$3,717.35</t>
  </si>
  <si>
    <t>$5,057.10</t>
  </si>
  <si>
    <t>$3,729.83</t>
  </si>
  <si>
    <t>$13,786.87</t>
  </si>
  <si>
    <t>$2,206.28</t>
  </si>
  <si>
    <t>$4,672.25</t>
  </si>
  <si>
    <t>$7,667.99</t>
  </si>
  <si>
    <t>$8,338.51</t>
  </si>
  <si>
    <t>$7,548.62</t>
  </si>
  <si>
    <t>$3,608.83</t>
  </si>
  <si>
    <t>$7,108.96</t>
  </si>
  <si>
    <t>$1,293.02</t>
  </si>
  <si>
    <t>$15,365.78</t>
  </si>
  <si>
    <t>$3,766.49</t>
  </si>
  <si>
    <t>$1,664.68</t>
  </si>
  <si>
    <t>$8,972.79</t>
  </si>
  <si>
    <t>$10,576.55</t>
  </si>
  <si>
    <t>$8,857.15</t>
  </si>
  <si>
    <t>$6,756.17</t>
  </si>
  <si>
    <t>$5,532.85</t>
  </si>
  <si>
    <t>$3,713.66</t>
  </si>
  <si>
    <t>$906.85</t>
  </si>
  <si>
    <t>$22,558.88</t>
  </si>
  <si>
    <t>$1,517.05</t>
  </si>
  <si>
    <t>$770.45</t>
  </si>
  <si>
    <t>$7,623.35</t>
  </si>
  <si>
    <t>$3,418.05</t>
  </si>
  <si>
    <t>$4,055.71</t>
  </si>
  <si>
    <t>$5,432.84</t>
  </si>
  <si>
    <t>$6,016.80</t>
  </si>
  <si>
    <t>$3,609.76</t>
  </si>
  <si>
    <t>$302.25</t>
  </si>
  <si>
    <t>$6,062.87</t>
  </si>
  <si>
    <t>$3,589.91</t>
  </si>
  <si>
    <t>$16,457.28</t>
  </si>
  <si>
    <t>$4,813.53</t>
  </si>
  <si>
    <t>$5,819.17</t>
  </si>
  <si>
    <t>$7,824.91</t>
  </si>
  <si>
    <t>$9,446.67</t>
  </si>
  <si>
    <t>$1,447.58</t>
  </si>
  <si>
    <t>$3,356.27</t>
  </si>
  <si>
    <t>$1,031.25</t>
  </si>
  <si>
    <t>$9,471.51</t>
  </si>
  <si>
    <t>$10,573.29</t>
  </si>
  <si>
    <t>$3,321.90</t>
  </si>
  <si>
    <t>$5,318.00</t>
  </si>
  <si>
    <t>$415.67</t>
  </si>
  <si>
    <t>$8,295.88</t>
  </si>
  <si>
    <t>$3,857.25</t>
  </si>
  <si>
    <t>$14,102.83</t>
  </si>
  <si>
    <t>$2,453.44</t>
  </si>
  <si>
    <t>$5,910.67</t>
  </si>
  <si>
    <t>$1,515.42</t>
  </si>
  <si>
    <t>$4,498.05</t>
  </si>
  <si>
    <t>$8,755.31</t>
  </si>
  <si>
    <t>$2,651.48</t>
  </si>
  <si>
    <t>$5,119.35</t>
  </si>
  <si>
    <t>$3,360.74</t>
  </si>
  <si>
    <t>$495.65</t>
  </si>
  <si>
    <t>$5,108.85</t>
  </si>
  <si>
    <t>$77.10</t>
  </si>
  <si>
    <t>$1,860.29</t>
  </si>
  <si>
    <t>$7,917.76</t>
  </si>
  <si>
    <t>$4,059.92</t>
  </si>
  <si>
    <t>$2,816.85</t>
  </si>
  <si>
    <t>$5,306.48</t>
  </si>
  <si>
    <t>$2,756.63</t>
  </si>
  <si>
    <t>$17,903.70</t>
  </si>
  <si>
    <t>$15,825.08</t>
  </si>
  <si>
    <t>$7,745.33</t>
  </si>
  <si>
    <t>$2,214.91</t>
  </si>
  <si>
    <t>$190.24</t>
  </si>
  <si>
    <t>$2,960.00</t>
  </si>
  <si>
    <t>$2,937.62</t>
  </si>
  <si>
    <t>$4,778.36</t>
  </si>
  <si>
    <t>$5,401.01</t>
  </si>
  <si>
    <t>$15,372.94</t>
  </si>
  <si>
    <t>$7,121.02</t>
  </si>
  <si>
    <t>$9,057.64</t>
  </si>
  <si>
    <t>$5,439.43</t>
  </si>
  <si>
    <t>$2,659.78</t>
  </si>
  <si>
    <t>$7,897.59</t>
  </si>
  <si>
    <t>$1,959.22</t>
  </si>
  <si>
    <t>$15,305.32</t>
  </si>
  <si>
    <t>$11,257.11</t>
  </si>
  <si>
    <t>$9,207.09</t>
  </si>
  <si>
    <t>$2,769.94</t>
  </si>
  <si>
    <t>$7,477.56</t>
  </si>
  <si>
    <t>$5,231.54</t>
  </si>
  <si>
    <t>$3,745.21</t>
  </si>
  <si>
    <t>$8,503.93</t>
  </si>
  <si>
    <t>$12,524.30</t>
  </si>
  <si>
    <t>$472.27</t>
  </si>
  <si>
    <t>$9,771.87</t>
  </si>
  <si>
    <t>$8,130.06</t>
  </si>
  <si>
    <t>$1,624.06</t>
  </si>
  <si>
    <t>$2,984.40</t>
  </si>
  <si>
    <t>$15,593.50</t>
  </si>
  <si>
    <t>$3,387.76</t>
  </si>
  <si>
    <t>$2,847.18</t>
  </si>
  <si>
    <t>$7,511.77</t>
  </si>
  <si>
    <t>$2,711.58</t>
  </si>
  <si>
    <t>$1,673.44</t>
  </si>
  <si>
    <t>$8,853.16</t>
  </si>
  <si>
    <t>$4,722.39</t>
  </si>
  <si>
    <t>$8,408.12</t>
  </si>
  <si>
    <t>$2,442.36</t>
  </si>
  <si>
    <t>$4,010.08</t>
  </si>
  <si>
    <t>$492.21</t>
  </si>
  <si>
    <t>$11,650.88</t>
  </si>
  <si>
    <t>$6,426.04</t>
  </si>
  <si>
    <t>$2,665.28</t>
  </si>
  <si>
    <t>$2,048.58</t>
  </si>
  <si>
    <t>$6,267.19</t>
  </si>
  <si>
    <t>$12,886.26</t>
  </si>
  <si>
    <t>$6,143.64</t>
  </si>
  <si>
    <t>$8,273.83</t>
  </si>
  <si>
    <t>$12,163.59</t>
  </si>
  <si>
    <t>$7,192.41</t>
  </si>
  <si>
    <t>$1,452.94</t>
  </si>
  <si>
    <t>$3,375.83</t>
  </si>
  <si>
    <t>$8,328.80</t>
  </si>
  <si>
    <t>$1,634.54</t>
  </si>
  <si>
    <t>$8,265.41</t>
  </si>
  <si>
    <t>$1,448.10</t>
  </si>
  <si>
    <t>$709.53</t>
  </si>
  <si>
    <t>$12,197.19</t>
  </si>
  <si>
    <t>$10,917.59</t>
  </si>
  <si>
    <t>$1,679.89</t>
  </si>
  <si>
    <t>$2,303.17</t>
  </si>
  <si>
    <t>$9,261.26</t>
  </si>
  <si>
    <t>$5,252.80</t>
  </si>
  <si>
    <t>$5,385.55</t>
  </si>
  <si>
    <t>$3,741.19</t>
  </si>
  <si>
    <t>$2,223.49</t>
  </si>
  <si>
    <t>$7,720.37</t>
  </si>
  <si>
    <t>$468.09</t>
  </si>
  <si>
    <t>$3,083.39</t>
  </si>
  <si>
    <t>$6,898.94</t>
  </si>
  <si>
    <t>$1,036.05</t>
  </si>
  <si>
    <t>$17,518.04</t>
  </si>
  <si>
    <t>$11,691.86</t>
  </si>
  <si>
    <t>$3,136.53</t>
  </si>
  <si>
    <t>$1,677.71</t>
  </si>
  <si>
    <t>$8,937.37</t>
  </si>
  <si>
    <t>$4,761.38</t>
  </si>
  <si>
    <t>$942.02</t>
  </si>
  <si>
    <t>$6,623.03</t>
  </si>
  <si>
    <t>$4,067.36</t>
  </si>
  <si>
    <t>$4,712.55</t>
  </si>
  <si>
    <t>$9,571.30</t>
  </si>
  <si>
    <t>$6,779.99</t>
  </si>
  <si>
    <t>$10,772.46</t>
  </si>
  <si>
    <t>$189.34</t>
  </si>
  <si>
    <t>$3,015.47</t>
  </si>
  <si>
    <t>$3,538.27</t>
  </si>
  <si>
    <t>$5,196.97</t>
  </si>
  <si>
    <t>$6,654.14</t>
  </si>
  <si>
    <t>$8,639.19</t>
  </si>
  <si>
    <t>$6,397.05</t>
  </si>
  <si>
    <t>$14,596.37</t>
  </si>
  <si>
    <t>$7,712.91</t>
  </si>
  <si>
    <t>$2,456.77</t>
  </si>
  <si>
    <t>$1,435.27</t>
  </si>
  <si>
    <t>$4,324.48</t>
  </si>
  <si>
    <t>$2,207.76</t>
  </si>
  <si>
    <t>$7,571.51</t>
  </si>
  <si>
    <t>$7,189.76</t>
  </si>
  <si>
    <t>$10,858.21</t>
  </si>
  <si>
    <t>$6,524.65</t>
  </si>
  <si>
    <t>$4,624.45</t>
  </si>
  <si>
    <t>$1,961.82</t>
  </si>
  <si>
    <t>$12,782.63</t>
  </si>
  <si>
    <t>$4,928.30</t>
  </si>
  <si>
    <t>$1,115.84</t>
  </si>
  <si>
    <t>$5,346.62</t>
  </si>
  <si>
    <t>$3,168.11</t>
  </si>
  <si>
    <t>$9,007.92</t>
  </si>
  <si>
    <t>$7,400.07</t>
  </si>
  <si>
    <t>$1,420.22</t>
  </si>
  <si>
    <t>$2,555.95</t>
  </si>
  <si>
    <t>$4,059.65</t>
  </si>
  <si>
    <t>$18,581.37</t>
  </si>
  <si>
    <t>$8,813.58</t>
  </si>
  <si>
    <t>$7,914.74</t>
  </si>
  <si>
    <t>$2,787.72</t>
  </si>
  <si>
    <t>$681.71</t>
  </si>
  <si>
    <t>$6,827.53</t>
  </si>
  <si>
    <t>$1,082.00</t>
  </si>
  <si>
    <t>$2,966.98</t>
  </si>
  <si>
    <t>$3,951.74</t>
  </si>
  <si>
    <t>$3,151.23</t>
  </si>
  <si>
    <t>$2,672.67</t>
  </si>
  <si>
    <t>$1,742.37</t>
  </si>
  <si>
    <t>$7,301.31</t>
  </si>
  <si>
    <t>$6,322.14</t>
  </si>
  <si>
    <t>$13,731.44</t>
  </si>
  <si>
    <t>$4,051.88</t>
  </si>
  <si>
    <t>$8,474.69</t>
  </si>
  <si>
    <t>$9,426.56</t>
  </si>
  <si>
    <t>$9,770.28</t>
  </si>
  <si>
    <t>$14,234.61</t>
  </si>
  <si>
    <t>$6,885.01</t>
  </si>
  <si>
    <t>$14,687.62</t>
  </si>
  <si>
    <t>$16,585.43</t>
  </si>
  <si>
    <t>$17,415.67</t>
  </si>
  <si>
    <t>$5,954.47</t>
  </si>
  <si>
    <t>$4,179.91</t>
  </si>
  <si>
    <t>$3,939.95</t>
  </si>
  <si>
    <t>$791.19</t>
  </si>
  <si>
    <t>$2,941.65</t>
  </si>
  <si>
    <t>$12,476.68</t>
  </si>
  <si>
    <t>$2,817.14</t>
  </si>
  <si>
    <t>$2,411.52</t>
  </si>
  <si>
    <t>$13,072.74</t>
  </si>
  <si>
    <t>$6,790.41</t>
  </si>
  <si>
    <t>$6,092.47</t>
  </si>
  <si>
    <t>$7,185.50</t>
  </si>
  <si>
    <t>$6,170.80</t>
  </si>
  <si>
    <t>$1,945.05</t>
  </si>
  <si>
    <t>$6,767.42</t>
  </si>
  <si>
    <t>$3,911.69</t>
  </si>
  <si>
    <t>$16,733.76</t>
  </si>
  <si>
    <t>$3,916.92</t>
  </si>
  <si>
    <t>$1,082.69</t>
  </si>
  <si>
    <t>$4,822.33</t>
  </si>
  <si>
    <t>$1,827.45</t>
  </si>
  <si>
    <t>$1,142.41</t>
  </si>
  <si>
    <t>$6,290.89</t>
  </si>
  <si>
    <t>$5,616.01</t>
  </si>
  <si>
    <t>$11,250.69</t>
  </si>
  <si>
    <t>$2,799.42</t>
  </si>
  <si>
    <t>$1,157.88</t>
  </si>
  <si>
    <t>$7,049.32</t>
  </si>
  <si>
    <t>$9,460.50</t>
  </si>
  <si>
    <t>$4,173.73</t>
  </si>
  <si>
    <t>$4,005.08</t>
  </si>
  <si>
    <t>$4,650.58</t>
  </si>
  <si>
    <t>$3,814.56</t>
  </si>
  <si>
    <t>$6,321.35</t>
  </si>
  <si>
    <t>$5,245.53</t>
  </si>
  <si>
    <t>$12,998.67</t>
  </si>
  <si>
    <t>$5,932.12</t>
  </si>
  <si>
    <t>$6,811.55</t>
  </si>
  <si>
    <t>$21,381.14</t>
  </si>
  <si>
    <t>$8,423.36</t>
  </si>
  <si>
    <t>$7,951.43</t>
  </si>
  <si>
    <t>$18,389.10</t>
  </si>
  <si>
    <t>$6,555.46</t>
  </si>
  <si>
    <t>$5,129.71</t>
  </si>
  <si>
    <t>$2,399.02</t>
  </si>
  <si>
    <t>$6,096.53</t>
  </si>
  <si>
    <t>$8,134.67</t>
  </si>
  <si>
    <t>$9,969.65</t>
  </si>
  <si>
    <t>$3,894.16</t>
  </si>
  <si>
    <t>$11,533.35</t>
  </si>
  <si>
    <t>$8,754.31</t>
  </si>
  <si>
    <t>$5,475.65</t>
  </si>
  <si>
    <t>$2,252.94</t>
  </si>
  <si>
    <t>$278.78</t>
  </si>
  <si>
    <t>$8,936.91</t>
  </si>
  <si>
    <t>$2,010.22</t>
  </si>
  <si>
    <t>$2,901.91</t>
  </si>
  <si>
    <t>$9,231.31</t>
  </si>
  <si>
    <t>$12,744.67</t>
  </si>
  <si>
    <t>$1,436.97</t>
  </si>
  <si>
    <t>$4,900.32</t>
  </si>
  <si>
    <t>$8,263.11</t>
  </si>
  <si>
    <t>$10,139.68</t>
  </si>
  <si>
    <t>$132.68</t>
  </si>
  <si>
    <t>$9,479.63</t>
  </si>
  <si>
    <t>$3,114.84</t>
  </si>
  <si>
    <t>$17,866.48</t>
  </si>
  <si>
    <t>$4,651.03</t>
  </si>
  <si>
    <t>$14,360.42</t>
  </si>
  <si>
    <t>$2,595.52</t>
  </si>
  <si>
    <t>$1,853.03</t>
  </si>
  <si>
    <t>$1,392.99</t>
  </si>
  <si>
    <t>$7,943.17</t>
  </si>
  <si>
    <t>$5,552.79</t>
  </si>
  <si>
    <t>$1,539.14</t>
  </si>
  <si>
    <t>$9,117.77</t>
  </si>
  <si>
    <t>$631.02</t>
  </si>
  <si>
    <t>$4,486.37</t>
  </si>
  <si>
    <t>$5,591.29</t>
  </si>
  <si>
    <t>$2,662.54</t>
  </si>
  <si>
    <t>$7,481.93</t>
  </si>
  <si>
    <t>$7,418.41</t>
  </si>
  <si>
    <t>$1,969.06</t>
  </si>
  <si>
    <t>$7,197.75</t>
  </si>
  <si>
    <t>$11,719.06</t>
  </si>
  <si>
    <t>$2,755.14</t>
  </si>
  <si>
    <t>$2,438.56</t>
  </si>
  <si>
    <t>$7,661.86</t>
  </si>
  <si>
    <t>$4,886.15</t>
  </si>
  <si>
    <t>$3,572.26</t>
  </si>
  <si>
    <t>$6,937.75</t>
  </si>
  <si>
    <t>$1,941.25</t>
  </si>
  <si>
    <t>$6,173.15</t>
  </si>
  <si>
    <t>$3,105.45</t>
  </si>
  <si>
    <t>$3,691.60</t>
  </si>
  <si>
    <t>$3,950.65</t>
  </si>
  <si>
    <t>$13,497.17</t>
  </si>
  <si>
    <t>$4,389.23</t>
  </si>
  <si>
    <t>$6,310.98</t>
  </si>
  <si>
    <t>$9,693.37</t>
  </si>
  <si>
    <t>$2,348.20</t>
  </si>
  <si>
    <t>$3,516.72</t>
  </si>
  <si>
    <t>$16,807.37</t>
  </si>
  <si>
    <t>$1,736.59</t>
  </si>
  <si>
    <t>$7,900.11</t>
  </si>
  <si>
    <t>$4,016.89</t>
  </si>
  <si>
    <t>$9,642.62</t>
  </si>
  <si>
    <t>$773.70</t>
  </si>
  <si>
    <t>$7,852.03</t>
  </si>
  <si>
    <t>$1,649.57</t>
  </si>
  <si>
    <t>$9,333.45</t>
  </si>
  <si>
    <t>$1,540.11</t>
  </si>
  <si>
    <t>$7,840.94</t>
  </si>
  <si>
    <t>$17,102.97</t>
  </si>
  <si>
    <t>$11,496.42</t>
  </si>
  <si>
    <t>$3,072.89</t>
  </si>
  <si>
    <t>$14,990.79</t>
  </si>
  <si>
    <t>$3,170.18</t>
  </si>
  <si>
    <t>$2,528.14</t>
  </si>
  <si>
    <t>$8,551.60</t>
  </si>
  <si>
    <t>$13,072.95</t>
  </si>
  <si>
    <t>$11,987.26</t>
  </si>
  <si>
    <t>$18,385.44</t>
  </si>
  <si>
    <t>$14,028.40</t>
  </si>
  <si>
    <t>$4,812.71</t>
  </si>
  <si>
    <t>$11,963.91</t>
  </si>
  <si>
    <t>$5,574.83</t>
  </si>
  <si>
    <t>$9,205.15</t>
  </si>
  <si>
    <t>$4,133.74</t>
  </si>
  <si>
    <t>$1,312.23</t>
  </si>
  <si>
    <t>$11,735.75</t>
  </si>
  <si>
    <t>$7,650.76</t>
  </si>
  <si>
    <t>$4,994.93</t>
  </si>
  <si>
    <t>$890.78</t>
  </si>
  <si>
    <t>$4,142.16</t>
  </si>
  <si>
    <t>$7,308.24</t>
  </si>
  <si>
    <t>$6,833.86</t>
  </si>
  <si>
    <t>$8,878.27</t>
  </si>
  <si>
    <t>$4,134.93</t>
  </si>
  <si>
    <t>$6,641.89</t>
  </si>
  <si>
    <t>$7,117.30</t>
  </si>
  <si>
    <t>$11,815.59</t>
  </si>
  <si>
    <t>$6,962.79</t>
  </si>
  <si>
    <t>$11,786.42</t>
  </si>
  <si>
    <t>$1,200.19</t>
  </si>
  <si>
    <t>$10,791.08</t>
  </si>
  <si>
    <t>$26,170.95</t>
  </si>
  <si>
    <t>$2,987.81</t>
  </si>
  <si>
    <t>$11,705.99</t>
  </si>
  <si>
    <t>$5,256.03</t>
  </si>
  <si>
    <t>$3,794.10</t>
  </si>
  <si>
    <t>$9,655.30</t>
  </si>
  <si>
    <t>$16,001.54</t>
  </si>
  <si>
    <t>$1,386.10</t>
  </si>
  <si>
    <t>$3,821.76</t>
  </si>
  <si>
    <t>$15,722.43</t>
  </si>
  <si>
    <t>$6,287.25</t>
  </si>
  <si>
    <t>$9,831.97</t>
  </si>
  <si>
    <t>$90.36</t>
  </si>
  <si>
    <t>$3,799.50</t>
  </si>
  <si>
    <t>$4,674.20</t>
  </si>
  <si>
    <t>$4,011.83</t>
  </si>
  <si>
    <t>$3,429.85</t>
  </si>
  <si>
    <t>$4,920.68</t>
  </si>
  <si>
    <t>$10,049.72</t>
  </si>
  <si>
    <t>$8,485.10</t>
  </si>
  <si>
    <t>$6,030.31</t>
  </si>
  <si>
    <t>$13,331.77</t>
  </si>
  <si>
    <t>$15,245.95</t>
  </si>
  <si>
    <t>$11,618.55</t>
  </si>
  <si>
    <t>$2,629.59</t>
  </si>
  <si>
    <t>$10,089.49</t>
  </si>
  <si>
    <t>$308.24</t>
  </si>
  <si>
    <t>$7,978.76</t>
  </si>
  <si>
    <t>$8.16</t>
  </si>
  <si>
    <t>$3,303.13</t>
  </si>
  <si>
    <t>$13,959.74</t>
  </si>
  <si>
    <t>$4,251.42</t>
  </si>
  <si>
    <t>$9,885.53</t>
  </si>
  <si>
    <t>$12,864.47</t>
  </si>
  <si>
    <t>$5,245.60</t>
  </si>
  <si>
    <t>$14,345.50</t>
  </si>
  <si>
    <t>$11,462.19</t>
  </si>
  <si>
    <t>$11,667.94</t>
  </si>
  <si>
    <t>$7,455.17</t>
  </si>
  <si>
    <t>$7,203.64</t>
  </si>
  <si>
    <t>$8,081.58</t>
  </si>
  <si>
    <t>$2,055.40</t>
  </si>
  <si>
    <t>$6,476.09</t>
  </si>
  <si>
    <t>$17,490.08</t>
  </si>
  <si>
    <t>$13,644.00</t>
  </si>
  <si>
    <t>$2,930.46</t>
  </si>
  <si>
    <t>$22,717.09</t>
  </si>
  <si>
    <t>$9,471.72</t>
  </si>
  <si>
    <t>$3,400.47</t>
  </si>
  <si>
    <t>$10,696.21</t>
  </si>
  <si>
    <t>$17,101.67</t>
  </si>
  <si>
    <t>$18,936.88</t>
  </si>
  <si>
    <t>$6,015.37</t>
  </si>
  <si>
    <t>$7,623.58</t>
  </si>
  <si>
    <t>$2,996.83</t>
  </si>
  <si>
    <t>$1,718.97</t>
  </si>
  <si>
    <t>$3,523.33</t>
  </si>
  <si>
    <t>$1,092.36</t>
  </si>
  <si>
    <t>$2,495.71</t>
  </si>
  <si>
    <t>$813.41</t>
  </si>
  <si>
    <t>$2,489.06</t>
  </si>
  <si>
    <t>$5,701.35</t>
  </si>
  <si>
    <t>$5,084.32</t>
  </si>
  <si>
    <t>$15,789.48</t>
  </si>
  <si>
    <t>$6,541.75</t>
  </si>
  <si>
    <t>$11,409.11</t>
  </si>
  <si>
    <t>$19,258.41</t>
  </si>
  <si>
    <t>$5,074.86</t>
  </si>
  <si>
    <t>$115.90</t>
  </si>
  <si>
    <t>$2,797.19</t>
  </si>
  <si>
    <t>$1,608.04</t>
  </si>
  <si>
    <t>$2,960.99</t>
  </si>
  <si>
    <t>$3,703.51</t>
  </si>
  <si>
    <t>$5,679.57</t>
  </si>
  <si>
    <t>$6,764.17</t>
  </si>
  <si>
    <t>$1,108.85</t>
  </si>
  <si>
    <t>$9,477.32</t>
  </si>
  <si>
    <t>$5,301.93</t>
  </si>
  <si>
    <t>$8,041.25</t>
  </si>
  <si>
    <t>$3,716.17</t>
  </si>
  <si>
    <t>$4,591.77</t>
  </si>
  <si>
    <t>$1,928.33</t>
  </si>
  <si>
    <t>$1,225.12</t>
  </si>
  <si>
    <t>$11,326.55</t>
  </si>
  <si>
    <t>$3,063.08</t>
  </si>
  <si>
    <t>$7,093.33</t>
  </si>
  <si>
    <t>$337.37</t>
  </si>
  <si>
    <t>$3,764.59</t>
  </si>
  <si>
    <t>$695.32</t>
  </si>
  <si>
    <t>$14,609.99</t>
  </si>
  <si>
    <t>$5,298.68</t>
  </si>
  <si>
    <t>$4,552.30</t>
  </si>
  <si>
    <t>$9,099.26</t>
  </si>
  <si>
    <t>$603.97</t>
  </si>
  <si>
    <t>$3,172.23</t>
  </si>
  <si>
    <t>$4,737.32</t>
  </si>
  <si>
    <t>$15,201.56</t>
  </si>
  <si>
    <t>$7,912.62</t>
  </si>
  <si>
    <t>$14,190.78</t>
  </si>
  <si>
    <t>$9,327.08</t>
  </si>
  <si>
    <t>$434.42</t>
  </si>
  <si>
    <t>$1,497.58</t>
  </si>
  <si>
    <t>$3,124.74</t>
  </si>
  <si>
    <t>$2,356.21</t>
  </si>
  <si>
    <t>$8,548.00</t>
  </si>
  <si>
    <t>$12,094.34</t>
  </si>
  <si>
    <t>$2,119.42</t>
  </si>
  <si>
    <t>$3,038.32</t>
  </si>
  <si>
    <t>$5,187.72</t>
  </si>
  <si>
    <t>$5,384.52</t>
  </si>
  <si>
    <t>$6,575.07</t>
  </si>
  <si>
    <t>$6,350.37</t>
  </si>
  <si>
    <t>$7,488.06</t>
  </si>
  <si>
    <t>$6,997.57</t>
  </si>
  <si>
    <t>$13,081.57</t>
  </si>
  <si>
    <t>$5,964.72</t>
  </si>
  <si>
    <t>$6,651.11</t>
  </si>
  <si>
    <t>$2,606.11</t>
  </si>
  <si>
    <t>$3,615.98</t>
  </si>
  <si>
    <t>$3,658.27</t>
  </si>
  <si>
    <t>$1,997.46</t>
  </si>
  <si>
    <t>$3,618.67</t>
  </si>
  <si>
    <t>$5,538.85</t>
  </si>
  <si>
    <t>$1,382.49</t>
  </si>
  <si>
    <t>$1,223.79</t>
  </si>
  <si>
    <t>$8,043.29</t>
  </si>
  <si>
    <t>$6,878.47</t>
  </si>
  <si>
    <t>$9,420.22</t>
  </si>
  <si>
    <t>$2,516.34</t>
  </si>
  <si>
    <t>$4,334.75</t>
  </si>
  <si>
    <t>$1,588.49</t>
  </si>
  <si>
    <t>$8,959.38</t>
  </si>
  <si>
    <t>$9,409.06</t>
  </si>
  <si>
    <t>$3,315.64</t>
  </si>
  <si>
    <t>$10,920.70</t>
  </si>
  <si>
    <t>$7,605.55</t>
  </si>
  <si>
    <t>$1,859.96</t>
  </si>
  <si>
    <t>$1,743.87</t>
  </si>
  <si>
    <t>$758.28</t>
  </si>
  <si>
    <t>$125.37</t>
  </si>
  <si>
    <t>$6,170.75</t>
  </si>
  <si>
    <t>$6,867.13</t>
  </si>
  <si>
    <t>$8,775.45</t>
  </si>
  <si>
    <t>$10,422.84</t>
  </si>
  <si>
    <t>$7,402.04</t>
  </si>
  <si>
    <t>$2,498.04</t>
  </si>
  <si>
    <t>$6,873.56</t>
  </si>
  <si>
    <t>$2,015.93</t>
  </si>
  <si>
    <t>$8,077.51</t>
  </si>
  <si>
    <t>$11,149.46</t>
  </si>
  <si>
    <t>$4,739.39</t>
  </si>
  <si>
    <t>$1,844.54</t>
  </si>
  <si>
    <t>$1,263.98</t>
  </si>
  <si>
    <t>$7,527.84</t>
  </si>
  <si>
    <t>$12,265.45</t>
  </si>
  <si>
    <t>$17,662.05</t>
  </si>
  <si>
    <t>$5,520.00</t>
  </si>
  <si>
    <t>$10,712.76</t>
  </si>
  <si>
    <t>$8,416.80</t>
  </si>
  <si>
    <t>$9,986.05</t>
  </si>
  <si>
    <t>$15,629.82</t>
  </si>
  <si>
    <t>$6,224.33</t>
  </si>
  <si>
    <t>$7,736.85</t>
  </si>
  <si>
    <t>$4,860.75</t>
  </si>
  <si>
    <t>$1,754.64</t>
  </si>
  <si>
    <t>$897.13</t>
  </si>
  <si>
    <t>$10,607.29</t>
  </si>
  <si>
    <t>$10,772.00</t>
  </si>
  <si>
    <t>$4,116.96</t>
  </si>
  <si>
    <t>$5,185.36</t>
  </si>
  <si>
    <t>$6,974.95</t>
  </si>
  <si>
    <t>$99.50</t>
  </si>
  <si>
    <t>$10,203.47</t>
  </si>
  <si>
    <t>$5,081.52</t>
  </si>
  <si>
    <t>$7,166.62</t>
  </si>
  <si>
    <t>$7,026.54</t>
  </si>
  <si>
    <t>$8,265.32</t>
  </si>
  <si>
    <t>$1,516.19</t>
  </si>
  <si>
    <t>$1,258.54</t>
  </si>
  <si>
    <t>$3,506.38</t>
  </si>
  <si>
    <t>$8,442.19</t>
  </si>
  <si>
    <t>$11,000.85</t>
  </si>
  <si>
    <t>$6,987.59</t>
  </si>
  <si>
    <t>$3,735.00</t>
  </si>
  <si>
    <t>$17,346.79</t>
  </si>
  <si>
    <t>$16,517.20</t>
  </si>
  <si>
    <t>$7,642.94</t>
  </si>
  <si>
    <t>$10,337.23</t>
  </si>
  <si>
    <t>$1,367.24</t>
  </si>
  <si>
    <t>$570.58</t>
  </si>
  <si>
    <t>$2,012.27</t>
  </si>
  <si>
    <t>$1,469.24</t>
  </si>
  <si>
    <t>$10,020.18</t>
  </si>
  <si>
    <t>$1,914.65</t>
  </si>
  <si>
    <t>$73.91</t>
  </si>
  <si>
    <t>$2,794.33</t>
  </si>
  <si>
    <t>$3,192.06</t>
  </si>
  <si>
    <t>$2,447.37</t>
  </si>
  <si>
    <t>$7,696.46</t>
  </si>
  <si>
    <t>$14,731.55</t>
  </si>
  <si>
    <t>$9,321.64</t>
  </si>
  <si>
    <t>$18,473.63</t>
  </si>
  <si>
    <t>$7,437.55</t>
  </si>
  <si>
    <t>$14,581.33</t>
  </si>
  <si>
    <t>$3,389.96</t>
  </si>
  <si>
    <t>$3,968.38</t>
  </si>
  <si>
    <t>$1,084.26</t>
  </si>
  <si>
    <t>$20,690.20</t>
  </si>
  <si>
    <t>$8,929.57</t>
  </si>
  <si>
    <t>$15,497.27</t>
  </si>
  <si>
    <t>$9,172.13</t>
  </si>
  <si>
    <t>$6,093.61</t>
  </si>
  <si>
    <t>$9,144.79</t>
  </si>
  <si>
    <t>$5,902.91</t>
  </si>
  <si>
    <t>$3,277.47</t>
  </si>
  <si>
    <t>$9,759.53</t>
  </si>
  <si>
    <t>$2,504.90</t>
  </si>
  <si>
    <t>$1,527.99</t>
  </si>
  <si>
    <t>$3,767.49</t>
  </si>
  <si>
    <t>$9,452.18</t>
  </si>
  <si>
    <t>$764.63</t>
  </si>
  <si>
    <t>$2,432.75</t>
  </si>
  <si>
    <t>$779.04</t>
  </si>
  <si>
    <t>$5,050.53</t>
  </si>
  <si>
    <t>$2,727.35</t>
  </si>
  <si>
    <t>$9,089.21</t>
  </si>
  <si>
    <t>$881.49</t>
  </si>
  <si>
    <t>$227.55</t>
  </si>
  <si>
    <t>$14,193.58</t>
  </si>
  <si>
    <t>$7,459.88</t>
  </si>
  <si>
    <t>$6,578.55</t>
  </si>
  <si>
    <t>$8,975.44</t>
  </si>
  <si>
    <t>$852.29</t>
  </si>
  <si>
    <t>$1,955.20</t>
  </si>
  <si>
    <t>$323.29</t>
  </si>
  <si>
    <t>$542.39</t>
  </si>
  <si>
    <t>$7,666.62</t>
  </si>
  <si>
    <t>$1,826.32</t>
  </si>
  <si>
    <t>$11,510.68</t>
  </si>
  <si>
    <t>$12,263.85</t>
  </si>
  <si>
    <t>$3,878.60</t>
  </si>
  <si>
    <t>$8,328.52</t>
  </si>
  <si>
    <t>$1,666.46</t>
  </si>
  <si>
    <t>$1,754.11</t>
  </si>
  <si>
    <t>$2,390.70</t>
  </si>
  <si>
    <t>$8,546.72</t>
  </si>
  <si>
    <t>$4,115.57</t>
  </si>
  <si>
    <t>$787.38</t>
  </si>
  <si>
    <t>$2,095.78</t>
  </si>
  <si>
    <t>$5,220.80</t>
  </si>
  <si>
    <t>$11,264.45</t>
  </si>
  <si>
    <t>$5,477.33</t>
  </si>
  <si>
    <t>$3,389.00</t>
  </si>
  <si>
    <t>$11,559.52</t>
  </si>
  <si>
    <t>$1,676.82</t>
  </si>
  <si>
    <t>$437.48</t>
  </si>
  <si>
    <t>$8,487.63</t>
  </si>
  <si>
    <t>$71.99</t>
  </si>
  <si>
    <t>$9,863.62</t>
  </si>
  <si>
    <t>$3,468.53</t>
  </si>
  <si>
    <t>$6,770.35</t>
  </si>
  <si>
    <t>$564.14</t>
  </si>
  <si>
    <t>$21,044.07</t>
  </si>
  <si>
    <t>$677.38</t>
  </si>
  <si>
    <t>$4,368.01</t>
  </si>
  <si>
    <t>$9,866.20</t>
  </si>
  <si>
    <t>$10,723.86</t>
  </si>
  <si>
    <t>$5,443.42</t>
  </si>
  <si>
    <t>$1,312.35</t>
  </si>
  <si>
    <t>$8,471.68</t>
  </si>
  <si>
    <t>$5,774.60</t>
  </si>
  <si>
    <t>$3,780.02</t>
  </si>
  <si>
    <t>$6,831.03</t>
  </si>
  <si>
    <t>$4,834.51</t>
  </si>
  <si>
    <t>$8,119.65</t>
  </si>
  <si>
    <t>$4,811.88</t>
  </si>
  <si>
    <t>$5,930.01</t>
  </si>
  <si>
    <t>$3,040.05</t>
  </si>
  <si>
    <t>$1,126.87</t>
  </si>
  <si>
    <t>$6,051.65</t>
  </si>
  <si>
    <t>$12,279.35</t>
  </si>
  <si>
    <t>$7,091.66</t>
  </si>
  <si>
    <t>$3,160.97</t>
  </si>
  <si>
    <t>$1,408.28</t>
  </si>
  <si>
    <t>$5,776.61</t>
  </si>
  <si>
    <t>$4,890.59</t>
  </si>
  <si>
    <t>$2,048.13</t>
  </si>
  <si>
    <t>$4,590.46</t>
  </si>
  <si>
    <t>$8,665.99</t>
  </si>
  <si>
    <t>$2,202.46</t>
  </si>
  <si>
    <t>$11,720.11</t>
  </si>
  <si>
    <t>$7,884.86</t>
  </si>
  <si>
    <t>$3,857.88</t>
  </si>
  <si>
    <t>$10,123.96</t>
  </si>
  <si>
    <t>$8,170.88</t>
  </si>
  <si>
    <t>$19,390.61</t>
  </si>
  <si>
    <t>$10,197.43</t>
  </si>
  <si>
    <t>$5,188.18</t>
  </si>
  <si>
    <t>$350.27</t>
  </si>
  <si>
    <t>$3,766.32</t>
  </si>
  <si>
    <t>$4,888.37</t>
  </si>
  <si>
    <t>$5,230.36</t>
  </si>
  <si>
    <t>$3,790.18</t>
  </si>
  <si>
    <t>$302.18</t>
  </si>
  <si>
    <t>$1,017.17</t>
  </si>
  <si>
    <t>$241.36</t>
  </si>
  <si>
    <t>$8,347.30</t>
  </si>
  <si>
    <t>$6,291.74</t>
  </si>
  <si>
    <t>$1,543.77</t>
  </si>
  <si>
    <t>$9,744.50</t>
  </si>
  <si>
    <t>$5,414.75</t>
  </si>
  <si>
    <t>$1,898.07</t>
  </si>
  <si>
    <t>$4,911.08</t>
  </si>
  <si>
    <t>$11,293.17</t>
  </si>
  <si>
    <t>$12,398.37</t>
  </si>
  <si>
    <t>$1,508.57</t>
  </si>
  <si>
    <t>$5,869.09</t>
  </si>
  <si>
    <t>$2,770.47</t>
  </si>
  <si>
    <t>$3,541.73</t>
  </si>
  <si>
    <t>$7,624.41</t>
  </si>
  <si>
    <t>$9,928.42</t>
  </si>
  <si>
    <t>$7.67</t>
  </si>
  <si>
    <t>$1,624.86</t>
  </si>
  <si>
    <t>$6,301.56</t>
  </si>
  <si>
    <t>$8,578.40</t>
  </si>
  <si>
    <t>$5,573.57</t>
  </si>
  <si>
    <t>$3,465.68</t>
  </si>
  <si>
    <t>$1,245.91</t>
  </si>
  <si>
    <t>$8,888.61</t>
  </si>
  <si>
    <t>$5,931.82</t>
  </si>
  <si>
    <t>$2,620.66</t>
  </si>
  <si>
    <t>$1,284.37</t>
  </si>
  <si>
    <t>$11,033.61</t>
  </si>
  <si>
    <t>$2,413.05</t>
  </si>
  <si>
    <t>$13,136.08</t>
  </si>
  <si>
    <t>$14,297.82</t>
  </si>
  <si>
    <t>$2,837.65</t>
  </si>
  <si>
    <t>$7,496.03</t>
  </si>
  <si>
    <t>$1,815.29</t>
  </si>
  <si>
    <t>$8,250.03</t>
  </si>
  <si>
    <t>$5,605.82</t>
  </si>
  <si>
    <t>$1,563.39</t>
  </si>
  <si>
    <t>$3,997.02</t>
  </si>
  <si>
    <t>$3,284.22</t>
  </si>
  <si>
    <t>$4,609.67</t>
  </si>
  <si>
    <t>$9,412.06</t>
  </si>
  <si>
    <t>$427.36</t>
  </si>
  <si>
    <t>$19,449.02</t>
  </si>
  <si>
    <t>$14,122.44</t>
  </si>
  <si>
    <t>$2,257.14</t>
  </si>
  <si>
    <t>$11,334.21</t>
  </si>
  <si>
    <t>$7,865.93</t>
  </si>
  <si>
    <t>$11,462.32</t>
  </si>
  <si>
    <t>$6,154.53</t>
  </si>
  <si>
    <t>$867.50</t>
  </si>
  <si>
    <t>$9,056.10</t>
  </si>
  <si>
    <t>$6,569.40</t>
  </si>
  <si>
    <t>$7,431.00</t>
  </si>
  <si>
    <t>$3,672.65</t>
  </si>
  <si>
    <t>$6,464.80</t>
  </si>
  <si>
    <t>$813.58</t>
  </si>
  <si>
    <t>$7,301.81</t>
  </si>
  <si>
    <t>$8,523.42</t>
  </si>
  <si>
    <t>$3,822.64</t>
  </si>
  <si>
    <t>$10,219.39</t>
  </si>
  <si>
    <t>$5,798.43</t>
  </si>
  <si>
    <t>$4,487.01</t>
  </si>
  <si>
    <t>$17,237.67</t>
  </si>
  <si>
    <t>$7,497.22</t>
  </si>
  <si>
    <t>$3,034.06</t>
  </si>
  <si>
    <t>$6,795.06</t>
  </si>
  <si>
    <t>$4,273.09</t>
  </si>
  <si>
    <t>$1,412.60</t>
  </si>
  <si>
    <t>$9,852.89</t>
  </si>
  <si>
    <t>$10,744.23</t>
  </si>
  <si>
    <t>$1,213.63</t>
  </si>
  <si>
    <t>$4,263.93</t>
  </si>
  <si>
    <t>$13,808.46</t>
  </si>
  <si>
    <t>$2,411.93</t>
  </si>
  <si>
    <t>$14,603.41</t>
  </si>
  <si>
    <t>$17,813.77</t>
  </si>
  <si>
    <t>$14,346.28</t>
  </si>
  <si>
    <t>$10,009.51</t>
  </si>
  <si>
    <t>$494.27</t>
  </si>
  <si>
    <t>$9,118.67</t>
  </si>
  <si>
    <t>$1,751.26</t>
  </si>
  <si>
    <t>$3,402.47</t>
  </si>
  <si>
    <t>$6,841.28</t>
  </si>
  <si>
    <t>$12,584.46</t>
  </si>
  <si>
    <t>$14,291.30</t>
  </si>
  <si>
    <t>$1,998.41</t>
  </si>
  <si>
    <t>$9,558.06</t>
  </si>
  <si>
    <t>$5,594.84</t>
  </si>
  <si>
    <t>$16,520.75</t>
  </si>
  <si>
    <t>$5,545.62</t>
  </si>
  <si>
    <t>$8,260.58</t>
  </si>
  <si>
    <t>$2,636.16</t>
  </si>
  <si>
    <t>$8,285.38</t>
  </si>
  <si>
    <t>$4,590.00</t>
  </si>
  <si>
    <t>$13,189.14</t>
  </si>
  <si>
    <t>$3,768.30</t>
  </si>
  <si>
    <t>$7,962.71</t>
  </si>
  <si>
    <t>$3,665.13</t>
  </si>
  <si>
    <t>$334.81</t>
  </si>
  <si>
    <t>$2,187.50</t>
  </si>
  <si>
    <t>$18,481.73</t>
  </si>
  <si>
    <t>$11,863.69</t>
  </si>
  <si>
    <t>$4,332.41</t>
  </si>
  <si>
    <t>$3,653.33</t>
  </si>
  <si>
    <t>$7,023.94</t>
  </si>
  <si>
    <t>$10,001.95</t>
  </si>
  <si>
    <t>$16,460.65</t>
  </si>
  <si>
    <t>$8,575.27</t>
  </si>
  <si>
    <t>$12,191.42</t>
  </si>
  <si>
    <t>$969.15</t>
  </si>
  <si>
    <t>$6,498.96</t>
  </si>
  <si>
    <t>$33.68</t>
  </si>
  <si>
    <t>$7,640.61</t>
  </si>
  <si>
    <t>$5,596.93</t>
  </si>
  <si>
    <t>$2,639.55</t>
  </si>
  <si>
    <t>$4,626.87</t>
  </si>
  <si>
    <t>$1,900.09</t>
  </si>
  <si>
    <t>$13,315.47</t>
  </si>
  <si>
    <t>$6,359.09</t>
  </si>
  <si>
    <t>$2,644.65</t>
  </si>
  <si>
    <t>$4,879.55</t>
  </si>
  <si>
    <t>$11,572.50</t>
  </si>
  <si>
    <t>$15,626.93</t>
  </si>
  <si>
    <t>$4,781.14</t>
  </si>
  <si>
    <t>$11,793.40</t>
  </si>
  <si>
    <t>$1,061.03</t>
  </si>
  <si>
    <t>$2,499.92</t>
  </si>
  <si>
    <t>$676.29</t>
  </si>
  <si>
    <t>$1,886.06</t>
  </si>
  <si>
    <t>$5,093.92</t>
  </si>
  <si>
    <t>$1,018.80</t>
  </si>
  <si>
    <t>$5,616.77</t>
  </si>
  <si>
    <t>$10,461.82</t>
  </si>
  <si>
    <t>$12,841.79</t>
  </si>
  <si>
    <t>$6,723.42</t>
  </si>
  <si>
    <t>$521.35</t>
  </si>
  <si>
    <t>$3,106.11</t>
  </si>
  <si>
    <t>$1,684.28</t>
  </si>
  <si>
    <t>$11,226.14</t>
  </si>
  <si>
    <t>$1,172.53</t>
  </si>
  <si>
    <t>$3,917.13</t>
  </si>
  <si>
    <t>$4,871.07</t>
  </si>
  <si>
    <t>$9,306.64</t>
  </si>
  <si>
    <t>$5,270.33</t>
  </si>
  <si>
    <t>$14,722.35</t>
  </si>
  <si>
    <t>$13,444.87</t>
  </si>
  <si>
    <t>$14,885.97</t>
  </si>
  <si>
    <t>$53.31</t>
  </si>
  <si>
    <t>$11,767.94</t>
  </si>
  <si>
    <t>$12,897.53</t>
  </si>
  <si>
    <t>$3,867.62</t>
  </si>
  <si>
    <t>$13,524.05</t>
  </si>
  <si>
    <t>$2,319.10</t>
  </si>
  <si>
    <t>$9,036.58</t>
  </si>
  <si>
    <t>$8,905.53</t>
  </si>
  <si>
    <t>$4,040.65</t>
  </si>
  <si>
    <t>$2,204.17</t>
  </si>
  <si>
    <t>$7,037.21</t>
  </si>
  <si>
    <t>$12,285.41</t>
  </si>
  <si>
    <t>$21,812.86</t>
  </si>
  <si>
    <t>$6,707.97</t>
  </si>
  <si>
    <t>$2,513.58</t>
  </si>
  <si>
    <t>$11,491.21</t>
  </si>
  <si>
    <t>$3,762.58</t>
  </si>
  <si>
    <t>$5,158.01</t>
  </si>
  <si>
    <t>$6,660.69</t>
  </si>
  <si>
    <t>$4,786.05</t>
  </si>
  <si>
    <t>$6,797.67</t>
  </si>
  <si>
    <t>$782.24</t>
  </si>
  <si>
    <t>$653.10</t>
  </si>
  <si>
    <t>$4,768.88</t>
  </si>
  <si>
    <t>$1,123.57</t>
  </si>
  <si>
    <t>$16,435.38</t>
  </si>
  <si>
    <t>$2,922.18</t>
  </si>
  <si>
    <t>$12,123.84</t>
  </si>
  <si>
    <t>$6,448.87</t>
  </si>
  <si>
    <t>$2,587.61</t>
  </si>
  <si>
    <t>$12,109.00</t>
  </si>
  <si>
    <t>$4,482.33</t>
  </si>
  <si>
    <t>$5,294.88</t>
  </si>
  <si>
    <t>$5,512.57</t>
  </si>
  <si>
    <t>$3,707.27</t>
  </si>
  <si>
    <t>$7,899.01</t>
  </si>
  <si>
    <t>$9,813.42</t>
  </si>
  <si>
    <t>$2,845.74</t>
  </si>
  <si>
    <t>$2,941.72</t>
  </si>
  <si>
    <t>$1,969.62</t>
  </si>
  <si>
    <t>$339.64</t>
  </si>
  <si>
    <t>$8,818.17</t>
  </si>
  <si>
    <t>$6,829.86</t>
  </si>
  <si>
    <t>$1,370.19</t>
  </si>
  <si>
    <t>$7,731.47</t>
  </si>
  <si>
    <t>$2,757.16</t>
  </si>
  <si>
    <t>$70.19</t>
  </si>
  <si>
    <t>$10,817.45</t>
  </si>
  <si>
    <t>$11,595.41</t>
  </si>
  <si>
    <t>$1,375.22</t>
  </si>
  <si>
    <t>$503.52</t>
  </si>
  <si>
    <t>$1,135.16</t>
  </si>
  <si>
    <t>$4,375.45</t>
  </si>
  <si>
    <t>$536.74</t>
  </si>
  <si>
    <t>$2,702.08</t>
  </si>
  <si>
    <t>$11,064.27</t>
  </si>
  <si>
    <t>$8,861.83</t>
  </si>
  <si>
    <t>$564.67</t>
  </si>
  <si>
    <t>$5,267.69</t>
  </si>
  <si>
    <t>$8,698.47</t>
  </si>
  <si>
    <t>$6,025.60</t>
  </si>
  <si>
    <t>$7,032.54</t>
  </si>
  <si>
    <t>$1,572.79</t>
  </si>
  <si>
    <t>$857.34</t>
  </si>
  <si>
    <t>$4,899.47</t>
  </si>
  <si>
    <t>$2,924.06</t>
  </si>
  <si>
    <t>$730.06</t>
  </si>
  <si>
    <t>$1,348.05</t>
  </si>
  <si>
    <t>$8,561.59</t>
  </si>
  <si>
    <t>$7,326.91</t>
  </si>
  <si>
    <t>$8,196.93</t>
  </si>
  <si>
    <t>$17,841.92</t>
  </si>
  <si>
    <t>$4,285.13</t>
  </si>
  <si>
    <t>$4,196.23</t>
  </si>
  <si>
    <t>$6,409.31</t>
  </si>
  <si>
    <t>$3,010.07</t>
  </si>
  <si>
    <t>$567.91</t>
  </si>
  <si>
    <t>$6,948.79</t>
  </si>
  <si>
    <t>$1,009.28</t>
  </si>
  <si>
    <t>$12,049.05</t>
  </si>
  <si>
    <t>$6,969.38</t>
  </si>
  <si>
    <t>$10,257.74</t>
  </si>
  <si>
    <t>$7,220.35</t>
  </si>
  <si>
    <t>$783.35</t>
  </si>
  <si>
    <t>$9,434.44</t>
  </si>
  <si>
    <t>$12,755.99</t>
  </si>
  <si>
    <t>$807.26</t>
  </si>
  <si>
    <t>$13,541.21</t>
  </si>
  <si>
    <t>$9,976.22</t>
  </si>
  <si>
    <t>$9,152.72</t>
  </si>
  <si>
    <t>$9,251.37</t>
  </si>
  <si>
    <t>$3,634.26</t>
  </si>
  <si>
    <t>$352.51</t>
  </si>
  <si>
    <t>$5,303.58</t>
  </si>
  <si>
    <t>$7,339.32</t>
  </si>
  <si>
    <t>$616.09</t>
  </si>
  <si>
    <t>$2,504.62</t>
  </si>
  <si>
    <t>$5,915.87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</si>
</sst>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2" fillId="2" borderId="0" xfId="0" applyFont="1" applyFill="1" applyAlignment="1"/>
    <xf numFmtId="0" fontId="0" fillId="0" borderId="0" xfId="0" pivotButton="1" applyFont="1" applyAlignment="1"/>
    <xf numFmtId="164" fontId="1" fillId="0" borderId="0" xfId="0" applyNumberFormat="1" applyFont="1" applyAlignment="1"/>
    <xf numFmtId="164" fontId="2" fillId="2" borderId="0" xfId="0" applyNumberFormat="1" applyFont="1" applyFill="1" applyAlignment="1"/>
    <xf numFmtId="164" fontId="0" fillId="0" borderId="0" xfId="0" applyNumberFormat="1" applyFont="1" applyAlignme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£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- Datasheet.xlsx]Pivot 1 - Most Sales!PivotTable1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1 - Most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1 - Most Sales'!$A$4:$A$5</c:f>
              <c:strCache>
                <c:ptCount val="1"/>
                <c:pt idx="0">
                  <c:v>Mallorie Waber</c:v>
                </c:pt>
              </c:strCache>
            </c:strRef>
          </c:cat>
          <c:val>
            <c:numRef>
              <c:f>'Pivot 1 - Most Sales'!$B$4:$B$5</c:f>
              <c:numCache>
                <c:formatCode>"£"#,##0.00</c:formatCode>
                <c:ptCount val="1"/>
                <c:pt idx="0">
                  <c:v>642903.32999999984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7-4EC2-9C6F-FA0C6E7C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106312"/>
        <c:axId val="1731108360"/>
      </c:barChart>
      <c:catAx>
        <c:axId val="173110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108360"/>
        <c:crosses val="autoZero"/>
        <c:auto val="1"/>
        <c:lblAlgn val="ctr"/>
        <c:lblOffset val="100"/>
        <c:noMultiLvlLbl val="0"/>
      </c:catAx>
      <c:valAx>
        <c:axId val="173110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10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- Datasheet.xlsx]Pivot 2 - Highest Region!PivotTable3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2 - Highest Region'!$C$3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2 - Highest Region'!$A$4:$B$30</c:f>
              <c:multiLvlStrCache>
                <c:ptCount val="25"/>
                <c:lvl>
                  <c:pt idx="0">
                    <c:v>Mallorie Waber</c:v>
                  </c:pt>
                  <c:pt idx="1">
                    <c:v>Dennison Crosswaite</c:v>
                  </c:pt>
                  <c:pt idx="2">
                    <c:v>Brien Boise</c:v>
                  </c:pt>
                  <c:pt idx="3">
                    <c:v>Kaine Padly</c:v>
                  </c:pt>
                  <c:pt idx="4">
                    <c:v>Madelene Upcott</c:v>
                  </c:pt>
                  <c:pt idx="5">
                    <c:v>Van Tuxwell</c:v>
                  </c:pt>
                  <c:pt idx="6">
                    <c:v>Jehu Rudeforth</c:v>
                  </c:pt>
                  <c:pt idx="7">
                    <c:v>Kelci Walkden</c:v>
                  </c:pt>
                  <c:pt idx="8">
                    <c:v>Husein Augar</c:v>
                  </c:pt>
                  <c:pt idx="9">
                    <c:v>Marney O'Breen</c:v>
                  </c:pt>
                  <c:pt idx="10">
                    <c:v>Jan Morforth</c:v>
                  </c:pt>
                  <c:pt idx="11">
                    <c:v>Barr Faughny</c:v>
                  </c:pt>
                  <c:pt idx="12">
                    <c:v>Ches Bonnell</c:v>
                  </c:pt>
                  <c:pt idx="13">
                    <c:v>Karlen McCaffrey</c:v>
                  </c:pt>
                  <c:pt idx="14">
                    <c:v>Rafaelita Blaksland</c:v>
                  </c:pt>
                  <c:pt idx="15">
                    <c:v>Gigi Bohling</c:v>
                  </c:pt>
                  <c:pt idx="16">
                    <c:v>Dotty Strutley</c:v>
                  </c:pt>
                  <c:pt idx="17">
                    <c:v>Oby Sorrel</c:v>
                  </c:pt>
                  <c:pt idx="18">
                    <c:v>Gunar Cockshoot</c:v>
                  </c:pt>
                  <c:pt idx="19">
                    <c:v>Curtice Advani</c:v>
                  </c:pt>
                  <c:pt idx="20">
                    <c:v>Camilla Castle</c:v>
                  </c:pt>
                  <c:pt idx="21">
                    <c:v>Roddy Speechley</c:v>
                  </c:pt>
                  <c:pt idx="22">
                    <c:v>Andria Kimpton</c:v>
                  </c:pt>
                  <c:pt idx="23">
                    <c:v>Beverie Moffet</c:v>
                  </c:pt>
                  <c:pt idx="24">
                    <c:v>Wilone O'Kielt</c:v>
                  </c:pt>
                </c:lvl>
                <c:lvl>
                  <c:pt idx="0">
                    <c:v>Australia</c:v>
                  </c:pt>
                </c:lvl>
              </c:multiLvlStrCache>
            </c:multiLvlStrRef>
          </c:cat>
          <c:val>
            <c:numRef>
              <c:f>'Pivot 2 - Highest Region'!$C$4:$C$30</c:f>
              <c:numCache>
                <c:formatCode>"£"#,##0.00</c:formatCode>
                <c:ptCount val="25"/>
                <c:pt idx="0">
                  <c:v>228112.72000000003</c:v>
                </c:pt>
                <c:pt idx="1">
                  <c:v>210692.09</c:v>
                </c:pt>
                <c:pt idx="2">
                  <c:v>193359.38</c:v>
                </c:pt>
                <c:pt idx="3">
                  <c:v>186047.12</c:v>
                </c:pt>
                <c:pt idx="4">
                  <c:v>185998.08000000002</c:v>
                </c:pt>
                <c:pt idx="5">
                  <c:v>185081.31999999998</c:v>
                </c:pt>
                <c:pt idx="6">
                  <c:v>181023.00000000003</c:v>
                </c:pt>
                <c:pt idx="7">
                  <c:v>169119.18999999997</c:v>
                </c:pt>
                <c:pt idx="8">
                  <c:v>166507.76</c:v>
                </c:pt>
                <c:pt idx="9">
                  <c:v>159604.22</c:v>
                </c:pt>
                <c:pt idx="10">
                  <c:v>155748.20000000001</c:v>
                </c:pt>
                <c:pt idx="11">
                  <c:v>148599.65</c:v>
                </c:pt>
                <c:pt idx="12">
                  <c:v>146848.82</c:v>
                </c:pt>
                <c:pt idx="13">
                  <c:v>129884.97</c:v>
                </c:pt>
                <c:pt idx="14">
                  <c:v>129861.74</c:v>
                </c:pt>
                <c:pt idx="15">
                  <c:v>123556.90000000001</c:v>
                </c:pt>
                <c:pt idx="16">
                  <c:v>122349.29</c:v>
                </c:pt>
                <c:pt idx="17">
                  <c:v>122011.34000000003</c:v>
                </c:pt>
                <c:pt idx="18">
                  <c:v>114152.44</c:v>
                </c:pt>
                <c:pt idx="19">
                  <c:v>111123.56999999998</c:v>
                </c:pt>
                <c:pt idx="20">
                  <c:v>101819.82999999997</c:v>
                </c:pt>
                <c:pt idx="21">
                  <c:v>101458.9</c:v>
                </c:pt>
                <c:pt idx="22">
                  <c:v>98362.44</c:v>
                </c:pt>
                <c:pt idx="23">
                  <c:v>87891.540000000008</c:v>
                </c:pt>
                <c:pt idx="24">
                  <c:v>87229.84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2-49DC-A2FF-7822DCC31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079239"/>
        <c:axId val="879558663"/>
      </c:barChart>
      <c:catAx>
        <c:axId val="218079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558663"/>
        <c:crosses val="autoZero"/>
        <c:auto val="1"/>
        <c:lblAlgn val="ctr"/>
        <c:lblOffset val="100"/>
        <c:noMultiLvlLbl val="0"/>
      </c:catAx>
      <c:valAx>
        <c:axId val="879558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079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1</xdr:row>
      <xdr:rowOff>152400</xdr:rowOff>
    </xdr:from>
    <xdr:to>
      <xdr:col>5</xdr:col>
      <xdr:colOff>409575</xdr:colOff>
      <xdr:row>18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ales Person">
              <a:extLst>
                <a:ext uri="{FF2B5EF4-FFF2-40B4-BE49-F238E27FC236}">
                  <a16:creationId xmlns:a16="http://schemas.microsoft.com/office/drawing/2014/main" id="{55237D3C-4728-A5A2-E65F-0EE36E7E86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3900" y="314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247650</xdr:colOff>
      <xdr:row>2</xdr:row>
      <xdr:rowOff>0</xdr:rowOff>
    </xdr:from>
    <xdr:to>
      <xdr:col>9</xdr:col>
      <xdr:colOff>247650</xdr:colOff>
      <xdr:row>18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lean Amount">
              <a:extLst>
                <a:ext uri="{FF2B5EF4-FFF2-40B4-BE49-F238E27FC236}">
                  <a16:creationId xmlns:a16="http://schemas.microsoft.com/office/drawing/2014/main" id="{F1755291-31D0-0E00-D958-EA8766C21747}"/>
                </a:ext>
                <a:ext uri="{147F2762-F138-4A5C-976F-8EAC2B608ADB}">
                  <a16:predDERef xmlns:a16="http://schemas.microsoft.com/office/drawing/2014/main" pred="{55237D3C-4728-A5A2-E65F-0EE36E7E86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Amou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375" y="323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409575</xdr:colOff>
      <xdr:row>19</xdr:row>
      <xdr:rowOff>76200</xdr:rowOff>
    </xdr:from>
    <xdr:to>
      <xdr:col>9</xdr:col>
      <xdr:colOff>523875</xdr:colOff>
      <xdr:row>36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AEE2E6-ED1F-CD50-1E0E-CE8065BA0E5D}"/>
            </a:ext>
            <a:ext uri="{147F2762-F138-4A5C-976F-8EAC2B608ADB}">
              <a16:predDERef xmlns:a16="http://schemas.microsoft.com/office/drawing/2014/main" pred="{F1755291-31D0-0E00-D958-EA8766C21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</xdr:colOff>
      <xdr:row>1</xdr:row>
      <xdr:rowOff>85725</xdr:rowOff>
    </xdr:from>
    <xdr:to>
      <xdr:col>13</xdr:col>
      <xdr:colOff>76200</xdr:colOff>
      <xdr:row>17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untry">
              <a:extLst>
                <a:ext uri="{FF2B5EF4-FFF2-40B4-BE49-F238E27FC236}">
                  <a16:creationId xmlns:a16="http://schemas.microsoft.com/office/drawing/2014/main" id="{E7021EEE-A931-C8C2-879B-2FA2F7483D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7150" y="247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457200</xdr:colOff>
      <xdr:row>1</xdr:row>
      <xdr:rowOff>76200</xdr:rowOff>
    </xdr:from>
    <xdr:to>
      <xdr:col>9</xdr:col>
      <xdr:colOff>457200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ales Person 1">
              <a:extLst>
                <a:ext uri="{FF2B5EF4-FFF2-40B4-BE49-F238E27FC236}">
                  <a16:creationId xmlns:a16="http://schemas.microsoft.com/office/drawing/2014/main" id="{2E6A0853-D6C3-51DA-0175-1FF3853156B6}"/>
                </a:ext>
                <a:ext uri="{147F2762-F138-4A5C-976F-8EAC2B608ADB}">
                  <a16:predDERef xmlns:a16="http://schemas.microsoft.com/office/drawing/2014/main" pred="{E7021EEE-A931-C8C2-879B-2FA2F7483D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Pers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0" y="238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333375</xdr:colOff>
      <xdr:row>18</xdr:row>
      <xdr:rowOff>0</xdr:rowOff>
    </xdr:from>
    <xdr:to>
      <xdr:col>13</xdr:col>
      <xdr:colOff>28575</xdr:colOff>
      <xdr:row>34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1741F9-6E56-E128-A365-1CB7D6BABD5B}"/>
            </a:ext>
            <a:ext uri="{147F2762-F138-4A5C-976F-8EAC2B608ADB}">
              <a16:predDERef xmlns:a16="http://schemas.microsoft.com/office/drawing/2014/main" pred="{2E6A0853-D6C3-51DA-0175-1FF385315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2.500044791668" createdVersion="8" refreshedVersion="8" minRefreshableVersion="3" recordCount="3282" xr:uid="{7AFC51DE-F7A6-442C-A888-548B218BE84F}">
  <cacheSource type="worksheet">
    <worksheetSource name="Table1"/>
  </cacheSource>
  <cacheFields count="7">
    <cacheField name="Sales Person" numFmtId="0">
      <sharedItems count="25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</sharedItems>
    </cacheField>
    <cacheField name="Country" numFmtId="0">
      <sharedItems count="6">
        <s v="UK"/>
        <s v="India"/>
        <s v="Australia"/>
        <s v="New Zealand"/>
        <s v="USA"/>
        <s v="Canada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2-01-03T00:00:00" maxDate="2024-09-01T00:00:00"/>
    </cacheField>
    <cacheField name="Amount" numFmtId="0">
      <sharedItems count="3013">
        <s v="$5,320.00"/>
        <s v="$7,896.00"/>
        <s v="$4,501.00"/>
        <s v="$12,726.00"/>
        <s v="$13,685.00"/>
        <s v="$5,376.00"/>
        <s v="$3,080.00"/>
        <s v="$3,990.00"/>
        <s v="$2,835.00"/>
        <s v="$4,704.00"/>
        <s v="$3,703.00"/>
        <s v="$1,442.00"/>
        <s v="$168.00"/>
        <s v="$8,379.00"/>
        <s v="$6,790.00"/>
        <s v="$4,067.00"/>
        <s v="$3,017.00"/>
        <s v="$8,799.00"/>
        <s v="$1,085.00"/>
        <s v="$6,888.00"/>
        <s v="$1,267.00"/>
        <s v="$4,753.00"/>
        <s v="$3,003.00"/>
        <s v="$7,672.00"/>
        <s v="$1,652.00"/>
        <s v="$4,025.00"/>
        <s v="$9,492.00"/>
        <s v="$5,061.00"/>
        <s v="$1,722.00"/>
        <s v="$12,446.00"/>
        <s v="$4,284.00"/>
        <s v="$6,839.00"/>
        <s v="$2,163.00"/>
        <s v="$9,583.00"/>
        <s v="$2,653.00"/>
        <s v="$147.00"/>
        <s v="$3,654.00"/>
        <s v="$2,443.00"/>
        <s v="$938.00"/>
        <s v="$14,749.00"/>
        <s v="$4,781.00"/>
        <s v="$6,307.00"/>
        <s v="$7,602.00"/>
        <s v="$9,737.00"/>
        <s v="$6,979.00"/>
        <s v="$4,382.00"/>
        <s v="$5,243.00"/>
        <s v="$4,865.00"/>
        <s v="$8,575.00"/>
        <s v="$91.00"/>
        <s v="$14,798.00"/>
        <s v="$2,205.00"/>
        <s v="$441.00"/>
        <s v="$3,556.00"/>
        <s v="$16,793.00"/>
        <s v="$15,421.00"/>
        <s v="$4,438.00"/>
        <s v="$1,603.00"/>
        <s v="$273.00"/>
        <s v="$3,073.00"/>
        <s v="$6,090.00"/>
        <s v="$10,255.00"/>
        <s v="$2,030.00"/>
        <s v="$19,453.00"/>
        <s v="$9,275.00"/>
        <s v="$6,181.00"/>
        <s v="$9,037.00"/>
        <s v="$12,313.00"/>
        <s v="$5,642.00"/>
        <s v="$2,800.00"/>
        <s v="$959.00"/>
        <s v="$2,002.00"/>
        <s v="$609.00"/>
        <s v="$1,274.00"/>
        <s v="$7,595.00"/>
        <s v="$4,725.00"/>
        <s v="$9,681.00"/>
        <s v="$14,504.00"/>
        <s v="$280.00"/>
        <s v="$63.00"/>
        <s v="$8,001.00"/>
        <s v="$4,032.00"/>
        <s v="$5,859.00"/>
        <s v="$11,095.00"/>
        <s v="$7,182.00"/>
        <s v="$6,881.00"/>
        <s v="$7,154.00"/>
        <s v="$6,188.00"/>
        <s v="$4,221.00"/>
        <s v="$630.00"/>
        <s v="$1,743.00"/>
        <s v="$2,919.00"/>
        <s v="$49.00"/>
        <s v="$1,827.00"/>
        <s v="$13,006.00"/>
        <s v="$1,064.00"/>
        <s v="$11,571.00"/>
        <s v="$5,740.00"/>
        <s v="$1,456.00"/>
        <s v="$5,334.00"/>
        <s v="$4,151.00"/>
        <s v="$8,106.00"/>
        <s v="$126.00"/>
        <s v="$4,697.00"/>
        <s v="$7,798.00"/>
        <s v="$9,408.00"/>
        <s v="$1,939.00"/>
        <s v="$10,906.00"/>
        <s v="$5,929.00"/>
        <s v="$5,579.00"/>
        <s v="$10,927.00"/>
        <s v="$623.00"/>
        <s v="$6,013.00"/>
        <s v="$1,505.00"/>
        <s v="$476.00"/>
        <s v="$11,550.00"/>
        <s v="$17,318.00"/>
        <s v="$1,848.00"/>
        <s v="$7,273.00"/>
        <s v="$854.00"/>
        <s v="$6,832.00"/>
        <s v="$4,606.00"/>
        <s v="$4,466.00"/>
        <s v="$16,114.00"/>
        <s v="$1,561.00"/>
        <s v="$8,897.00"/>
        <s v="$2,464.00"/>
        <s v="$4,830.00"/>
        <s v="$2,765.00"/>
        <s v="$7,126.00"/>
        <s v="$4,263.00"/>
        <s v="$3,605.00"/>
        <s v="$19,929.00"/>
        <s v="$5,103.00"/>
        <s v="$2,541.00"/>
        <s v="$5,663.00"/>
        <s v="$392.00"/>
        <s v="$10,976.00"/>
        <s v="$9,282.00"/>
        <s v="$8,267.00"/>
        <s v="$4,116.00"/>
        <s v="$2,093.00"/>
        <s v="$1,015.00"/>
        <s v="$12,516.00"/>
        <s v="$2,758.00"/>
        <s v="$3,297.00"/>
        <s v="$6,048.00"/>
        <s v="$10,101.00"/>
        <s v="$2,282.00"/>
        <s v="$4,361.00"/>
        <s v="$3,052.00"/>
        <s v="$8,029.00"/>
        <s v="$5,460.00"/>
        <s v="$8,911.00"/>
        <s v="$7,203.00"/>
        <s v="$13,083.00"/>
        <s v="$2,779.00"/>
        <s v="$9,058.00"/>
        <s v="$3,549.00"/>
        <s v="$9,436.00"/>
        <s v="$10,283.00"/>
        <s v="$5,446.00"/>
        <s v="$1,043.00"/>
        <s v="$12,586.00"/>
        <s v="$1,687.00"/>
        <s v="$5,299.00"/>
        <s v="$3,213.00"/>
        <s v="$5,194.00"/>
        <s v="$13,706.00"/>
        <s v="$6,489.00"/>
        <s v="$9,324.00"/>
        <s v="$10,829.00"/>
        <s v="$8,113.00"/>
        <s v="$3,269.00"/>
        <s v="$7,287.00"/>
        <s v="$2,583.00"/>
        <s v="$9,982.00"/>
        <s v="$4,795.00"/>
        <s v="$9,310.00"/>
        <s v="$497.00"/>
        <s v="$581.00"/>
        <s v="$3,472.00"/>
        <s v="$4,333.00"/>
        <s v="$3,325.00"/>
        <s v="$11,718.00"/>
        <s v="$2,100.00"/>
        <s v="$4,018.00"/>
        <s v="$6,468.00"/>
        <s v="$7,238.00"/>
        <s v="$6,454.00"/>
        <s v="$3,115.00"/>
        <s v="$6,475.00"/>
        <s v="$1,162.00"/>
        <s v="$14,238.00"/>
        <s v="$1,428.00"/>
        <s v="$8,064.00"/>
        <s v="$9,660.00"/>
        <s v="$7,357.00"/>
        <s v="$6,055.00"/>
        <s v="$5,124.00"/>
        <s v="$3,479.00"/>
        <s v="$784.00"/>
        <s v="$18,991.00"/>
        <s v="$1,372.00"/>
        <s v="$735.00"/>
        <s v="$6,538.00"/>
        <s v="$3,199.00"/>
        <s v="$4,571.00"/>
        <s v="$5,481.00"/>
        <s v="$3,136.00"/>
        <s v="$252.00"/>
        <s v="$3,395.00"/>
        <s v="$14,938.00"/>
        <s v="$4,053.00"/>
        <s v="$5,565.00"/>
        <s v="$7,161.00"/>
        <s v="$8,883.00"/>
        <s v="$1,351.00"/>
        <s v="$3,171.00"/>
        <s v="$7,910.00"/>
        <s v="$3,108.00"/>
        <s v="$5,075.00"/>
        <s v="$378.00"/>
        <s v="$7,350.00"/>
        <s v="$3,388.00"/>
        <s v="$11,837.00"/>
        <s v="$5,425.00"/>
        <s v="$3,752.00"/>
        <s v="$7,728.00"/>
        <s v="$2,296.00"/>
        <s v="$4,403.00"/>
        <s v="$3,192.00"/>
        <s v="$448.00"/>
        <s v="$4,270.00"/>
        <s v="$70.00"/>
        <s v="$6,762.00"/>
        <s v="$3,745.00"/>
        <s v="$2,639.00"/>
        <s v="$4,389.00"/>
        <s v="$2,604.00"/>
        <s v="$16,569.00"/>
        <s v="$14,658.00"/>
        <s v="$161.00"/>
        <s v="$2,807.00"/>
        <s v="$13,034.00"/>
        <s v="$8,484.00"/>
        <s v="$2,240.00"/>
        <s v="$13,447.00"/>
        <s v="$9,422.00"/>
        <s v="$8,687.00"/>
        <s v="$2,415.00"/>
        <s v="$6,272.00"/>
        <s v="$3,122.00"/>
        <s v="$8,043.00"/>
        <s v="$11,662.00"/>
        <s v="$8,925.00"/>
        <s v="$7,294.00"/>
        <s v="$1,526.00"/>
        <s v="$2,688.00"/>
        <s v="$14,889.00"/>
        <s v="$2,912.00"/>
        <s v="$2,632.00"/>
        <s v="$6,328.00"/>
        <s v="$2,527.00"/>
        <s v="$1,414.00"/>
        <s v="$7,714.00"/>
        <s v="$4,347.00"/>
        <s v="$7,490.00"/>
        <s v="$2,058.00"/>
        <s v="$3,640.00"/>
        <s v="$455.00"/>
        <s v="$10,990.00"/>
        <s v="$5,558.00"/>
        <s v="$1,876.00"/>
        <s v="$5,523.00"/>
        <s v="$11,200.00"/>
        <s v="$5,593.00"/>
        <s v="$7,882.00"/>
        <s v="$10,241.00"/>
        <s v="$1,379.00"/>
        <s v="$3,010.00"/>
        <s v="$1,540.00"/>
        <s v="$6,916.00"/>
        <s v="$1,232.00"/>
        <s v="$602.00"/>
        <s v="$10,185.00"/>
        <s v="$2,170.00"/>
        <s v="$8,673.00"/>
        <s v="$4,760.00"/>
        <s v="$3,374.00"/>
        <s v="$420.00"/>
        <s v="$2,863.00"/>
        <s v="$5,936.00"/>
        <s v="$889.00"/>
        <s v="$16,016.00"/>
        <s v="$10,479.00"/>
        <s v="$1,575.00"/>
        <s v="$8,197.00"/>
        <s v="$840.00"/>
        <s v="$5,691.00"/>
        <s v="$4,193.00"/>
        <s v="$9,016.00"/>
        <s v="$9,870.00"/>
        <s v="$2,576.00"/>
        <s v="$3,178.00"/>
        <s v="$4,676.00"/>
        <s v="$5,502.00"/>
        <s v="$7,462.00"/>
        <s v="$5,803.00"/>
        <s v="$13,888.00"/>
        <s v="$6,867.00"/>
        <s v="$2,317.00"/>
        <s v="$1,218.00"/>
        <s v="$4,109.00"/>
        <s v="$1,953.00"/>
        <s v="$6,797.00"/>
        <s v="$9,226.00"/>
        <s v="$5,733.00"/>
        <s v="$4,312.00"/>
        <s v="$1,638.00"/>
        <s v="$10,815.00"/>
        <s v="$987.00"/>
        <s v="$4,669.00"/>
        <s v="$2,905.00"/>
        <s v="$6,986.00"/>
        <s v="$1,288.00"/>
        <s v="$2,345.00"/>
        <s v="$3,619.00"/>
        <s v="$16,982.00"/>
        <s v="$8,092.00"/>
        <s v="$6,993.00"/>
        <s v="$637.00"/>
        <s v="$6,034.00"/>
        <s v="$980.00"/>
        <s v="$2,821.00"/>
        <s v="$3,563.00"/>
        <s v="$2,996.00"/>
        <s v="$2,436.00"/>
        <s v="$5,509.00"/>
        <s v="$12,992.00"/>
        <s v="$3,724.00"/>
        <s v="$7,133.00"/>
        <s v="$8,617.00"/>
        <s v="$9,198.00"/>
        <s v="$11,823.00"/>
        <s v="$5,775.00"/>
        <s v="$13,125.00"/>
        <s v="$14,287.00"/>
        <s v="$16,233.00"/>
        <s v="$5,313.00"/>
        <s v="$3,577.00"/>
        <s v="$3,528.00"/>
        <s v="$679.00"/>
        <s v="$2,450.00"/>
        <s v="$10,577.00"/>
        <s v="$2,597.00"/>
        <s v="$2,219.00"/>
        <s v="$11,319.00"/>
        <s v="$5,978.00"/>
        <s v="$5,327.00"/>
        <s v="$6,020.00"/>
        <s v="$5,614.00"/>
        <s v="$1,736.00"/>
        <s v="$6,384.00"/>
        <s v="$14,539.00"/>
        <s v="$3,493.00"/>
        <s v="$994.00"/>
        <s v="$1,554.00"/>
        <s v="$966.00"/>
        <s v="$4,935.00"/>
        <s v="$10,024.00"/>
        <s v="$2,506.00"/>
        <s v="$6,524.00"/>
        <s v="$8,148.00"/>
        <s v="$3,948.00"/>
        <s v="$5,271.00"/>
        <s v="$12,327.00"/>
        <s v="$6,167.00"/>
        <s v="$18,340.00"/>
        <s v="$7,014.00"/>
        <s v="$7,119.00"/>
        <s v="$15,491.00"/>
        <s v="$5,747.00"/>
        <s v="$4,550.00"/>
        <s v="$2,191.00"/>
        <s v="$7,623.00"/>
        <s v="$9,023.00"/>
        <s v="$3,402.00"/>
        <s v="$10,507.00"/>
        <s v="$7,721.00"/>
        <s v="$5,033.00"/>
        <s v="$1,960.00"/>
        <s v="$238.00"/>
        <s v="$7,756.00"/>
        <s v="$2,660.00"/>
        <s v="$11,564.00"/>
        <s v="$1,365.00"/>
        <s v="$4,186.00"/>
        <s v="$7,406.00"/>
        <s v="$112.00"/>
        <s v="$8,204.00"/>
        <s v="$2,611.00"/>
        <s v="$15,652.00"/>
        <s v="$4,074.00"/>
        <s v="$12,250.00"/>
        <s v="$2,366.00"/>
        <s v="$6,965.00"/>
        <s v="$5,292.00"/>
        <s v="$588.00"/>
        <s v="$4,046.00"/>
        <s v="$7,042.00"/>
        <s v="$6,713.00"/>
        <s v="$6,440.00"/>
        <s v="$10,885.00"/>
        <s v="$2,387.00"/>
        <s v="$6,678.00"/>
        <s v="$4,515.00"/>
        <s v="$5,852.00"/>
        <s v="$1,750.00"/>
        <s v="$5,782.00"/>
        <s v="$2,870.00"/>
        <s v="$3,094.00"/>
        <s v="$12,761.00"/>
        <s v="$3,696.00"/>
        <s v="$5,222.00"/>
        <s v="$8,939.00"/>
        <s v="$2,156.00"/>
        <s v="$2,380.00"/>
        <s v="$3,339.00"/>
        <s v="$14,980.00"/>
        <s v="$1,512.00"/>
        <s v="$6,657.00"/>
        <s v="$3,836.00"/>
        <s v="$8,771.00"/>
        <s v="$651.00"/>
        <s v="$6,706.00"/>
        <s v="$1,421.00"/>
        <s v="$8,526.00"/>
        <s v="$1,435.00"/>
        <s v="$7,434.00"/>
        <s v="$15,316.00"/>
        <s v="$2,751.00"/>
        <s v="$2,786.00"/>
        <s v="$2,303.00"/>
        <s v="$12,271.00"/>
        <s v="$11,298.00"/>
        <s v="$15,855.00"/>
        <s v="$12,404.00"/>
        <s v="$10,808.00"/>
        <s v="$4,858.00"/>
        <s v="$7,742.00"/>
        <s v="$10,983.00"/>
        <s v="$6,769.00"/>
        <s v="$777.00"/>
        <s v="$3,843.00"/>
        <s v="$6,930.00"/>
        <s v="$8,393.00"/>
        <s v="$3,822.00"/>
        <s v="$6,342.00"/>
        <s v="$6,510.00"/>
        <s v="$10,171.00"/>
        <s v="$5,908.00"/>
        <s v="$10,164.00"/>
        <s v="$9,716.00"/>
        <s v="$22,050.00"/>
        <s v="$9,989.00"/>
        <s v="$4,739.00"/>
        <s v="$3,185.00"/>
        <s v="$8,225.00"/>
        <s v="$14,301.00"/>
        <s v="$1,316.00"/>
        <s v="$3,486.00"/>
        <s v="$13,930.00"/>
        <s v="$8,470.00"/>
        <s v="$77.00"/>
        <s v="$3,381.00"/>
        <s v="$4,102.00"/>
        <s v="$2,975.00"/>
        <s v="$4,137.00"/>
        <s v="$9,541.00"/>
        <s v="$5,152.00"/>
        <s v="$11,116.00"/>
        <s v="$13,076.00"/>
        <s v="$10,213.00"/>
        <s v="$2,485.00"/>
        <s v="$8,715.00"/>
        <s v="$7.00"/>
        <s v="$8,904.00"/>
        <s v="$4,396.00"/>
        <s v="$12,068.00"/>
        <s v="$9,772.00"/>
        <s v="$10,458.00"/>
        <s v="$6,426.00"/>
        <s v="$7,504.00"/>
        <s v="$5,439.00"/>
        <s v="$15,547.00"/>
        <s v="$11,956.00"/>
        <s v="$2,723.00"/>
        <s v="$19,327.00"/>
        <s v="$8,848.00"/>
        <s v="$14,336.00"/>
        <s v="$16,401.00"/>
        <s v="$5,173.00"/>
        <s v="$2,534.00"/>
        <s v="$910.00"/>
        <s v="$2,331.00"/>
        <s v="$2,086.00"/>
        <s v="$5,012.00"/>
        <s v="$13,482.00"/>
        <s v="$5,621.00"/>
        <s v="$10,486.00"/>
        <s v="$17,626.00"/>
        <s v="$4,494.00"/>
        <s v="$105.00"/>
        <s v="$3,220.00"/>
        <s v="$4,802.00"/>
        <s v="$5,677.00"/>
        <s v="$945.00"/>
        <s v="$8,757.00"/>
        <s v="$4,816.00"/>
        <s v="$7,532.00"/>
        <s v="$4,340.00"/>
        <s v="$1,799.00"/>
        <s v="$1,127.00"/>
        <s v="$10,038.00"/>
        <s v="$2,926.00"/>
        <s v="$6,279.00"/>
        <s v="$308.00"/>
        <s v="$3,500.00"/>
        <s v="$658.00"/>
        <s v="$12,565.00"/>
        <s v="$3,955.00"/>
        <s v="$8,512.00"/>
        <s v="$504.00"/>
        <s v="$4,256.00"/>
        <s v="$13,573.00"/>
        <s v="$6,566.00"/>
        <s v="$13,503.00"/>
        <s v="$8,680.00"/>
        <s v="$385.00"/>
        <s v="$2,961.00"/>
        <s v="$1,981.00"/>
        <s v="$7,959.00"/>
        <s v="$10,794.00"/>
        <s v="$1,897.00"/>
        <s v="$2,744.00"/>
        <s v="$5,474.00"/>
        <s v="$6,069.00"/>
        <s v="$6,944.00"/>
        <s v="$12,173.00"/>
        <s v="$5,705.00"/>
        <s v="$2,492.00"/>
        <s v="$3,024.00"/>
        <s v="$3,437.00"/>
        <s v="$1,869.00"/>
        <s v="$1,225.00"/>
        <s v="$1,155.00"/>
        <s v="$6,811.00"/>
        <s v="$6,433.00"/>
        <s v="$8,169.00"/>
        <s v="$2,275.00"/>
        <s v="$3,857.00"/>
        <s v="$1,463.00"/>
        <s v="$7,924.00"/>
        <s v="$2,898.00"/>
        <s v="$9,506.00"/>
        <s v="$7,175.00"/>
        <s v="$1,729.00"/>
        <s v="$1,589.00"/>
        <s v="$5,187.00"/>
        <s v="$6,223.00"/>
        <s v="$9,457.00"/>
        <s v="$2,107.00"/>
        <s v="$1,862.00"/>
        <s v="$6,972.00"/>
        <s v="$10,220.00"/>
        <s v="$3,969.00"/>
        <s v="$1,547.00"/>
        <s v="$10,633.00"/>
        <s v="$15,057.00"/>
        <s v="$9,338.00"/>
        <s v="$14,525.00"/>
        <s v="$5,810.00"/>
        <s v="$1,582.00"/>
        <s v="$791.00"/>
        <s v="$9,100.00"/>
        <s v="$9,884.00"/>
        <s v="$3,780.00"/>
        <s v="$4,557.00"/>
        <s v="$5,796.00"/>
        <s v="$84.00"/>
        <s v="$4,746.00"/>
        <s v="$6,237.00"/>
        <s v="$7,483.00"/>
        <s v="$1,309.00"/>
        <s v="$2,989.00"/>
        <s v="$9,625.00"/>
        <s v="$10,031.00"/>
        <s v="$6,587.00"/>
        <s v="$3,311.00"/>
        <s v="$15,330.00"/>
        <s v="$14,028.00"/>
        <s v="$8,624.00"/>
        <s v="$1,197.00"/>
        <s v="$483.00"/>
        <s v="$9,534.00"/>
        <s v="$1,694.00"/>
        <s v="$2,933.00"/>
        <s v="$2,044.00"/>
        <s v="$12,656.00"/>
        <s v="$8,722.00"/>
        <s v="$15,750.00"/>
        <s v="$19,481.00"/>
        <s v="$8,099.00"/>
        <s v="$13,727.00"/>
        <s v="$8,659.00"/>
        <s v="$8,463.00"/>
        <s v="$4,914.00"/>
        <s v="$3,087.00"/>
        <s v="$9,205.00"/>
        <s v="$1,358.00"/>
        <s v="$8,498.00"/>
        <s v="$700.00"/>
        <s v="$644.00"/>
        <s v="$826.00"/>
        <s v="$203.00"/>
        <s v="$13,356.00"/>
        <s v="$5,894.00"/>
        <s v="$1,617.00"/>
        <s v="$10,822.00"/>
        <s v="$10,724.00"/>
        <s v="$2,016.00"/>
        <s v="$7,588.00"/>
        <s v="$1,904.00"/>
        <s v="$4,844.00"/>
        <s v="$4,599.00"/>
        <s v="$9,744.00"/>
        <s v="$1,400.00"/>
        <s v="$364.00"/>
        <s v="$7,231.00"/>
        <s v="$8,309.00"/>
        <s v="$3,164.00"/>
        <s v="$490.00"/>
        <s v="$18,032.00"/>
        <s v="$5,131.00"/>
        <s v="$1,141.00"/>
        <s v="$7,980.00"/>
        <s v="$5,229.00"/>
        <s v="$3,423.00"/>
        <s v="$4,326.00"/>
        <s v="$3,997.00"/>
        <s v="$5,180.00"/>
        <s v="$952.00"/>
        <s v="$10,969.00"/>
        <s v="$5,964.00"/>
        <s v="$1,302.00"/>
        <s v="$4,179.00"/>
        <s v="$1,946.00"/>
        <s v="$4,291.00"/>
        <s v="$7,196.00"/>
        <s v="$10,437.00"/>
        <s v="$3,647.00"/>
        <s v="$8,995.00"/>
        <s v="$7,252.00"/>
        <s v="$16,380.00"/>
        <s v="$4,522.00"/>
        <s v="$329.00"/>
        <s v="$3,458.00"/>
        <s v="$4,641.00"/>
        <s v="$4,627.00"/>
        <s v="$868.00"/>
        <s v="$210.00"/>
        <s v="$7,007.00"/>
        <s v="$5,845.00"/>
        <s v="$8,428.00"/>
        <s v="$4,977.00"/>
        <s v="$9,527.00"/>
        <s v="$10,766.00"/>
        <s v="$4,879.00"/>
        <s v="$2,408.00"/>
        <s v="$8,981.00"/>
        <s v="$5,250.00"/>
        <s v="$7,560.00"/>
        <s v="$3,038.00"/>
        <s v="$1,099.00"/>
        <s v="$7,413.00"/>
        <s v="$5,397.00"/>
        <s v="$10,325.00"/>
        <s v="$2,149.00"/>
        <s v="$12,362.00"/>
        <s v="$12,635.00"/>
        <s v="$7,315.00"/>
        <s v="$1,393.00"/>
        <s v="$8,022.00"/>
        <s v="$371.00"/>
        <s v="$16,702.00"/>
        <s v="$13,258.00"/>
        <s v="$10,192.00"/>
        <s v="$7,140.00"/>
        <s v="$9,835.00"/>
        <s v="$749.00"/>
        <s v="$7,770.00"/>
        <s v="$3,507.00"/>
        <s v="$5,600.00"/>
        <s v="$721.00"/>
        <s v="$6,615.00"/>
        <s v="$7,420.00"/>
        <s v="$9,114.00"/>
        <s v="$5,404.00"/>
        <s v="$14,924.00"/>
        <s v="$7,091.00"/>
        <s v="$6,496.00"/>
        <s v="$3,738.00"/>
        <s v="$1,190.00"/>
        <s v="$9,268.00"/>
        <s v="$1,029.00"/>
        <s v="$12,026.00"/>
        <s v="$13,405.00"/>
        <s v="$14,763.00"/>
        <s v="$12,894.00"/>
        <s v="$8,302.00"/>
        <s v="$8,183.00"/>
        <s v="$1,645.00"/>
        <s v="$3,143.00"/>
        <s v="$5,873.00"/>
        <s v="$12,425.00"/>
        <s v="$1,715.00"/>
        <s v="$8,190.00"/>
        <s v="$4,991.00"/>
        <s v="$5,096.00"/>
        <s v="$7,063.00"/>
        <s v="$4,200.00"/>
        <s v="$11,137.00"/>
        <s v="$301.00"/>
        <s v="$17,465.00"/>
        <s v="$10,143.00"/>
        <s v="$3,626.00"/>
        <s v="$3,346.00"/>
        <s v="$6,321.00"/>
        <s v="$9,345.00"/>
        <s v="$15,008.00"/>
        <s v="$7,609.00"/>
        <s v="$10,332.00"/>
        <s v="$819.00"/>
        <s v="$5,754.00"/>
        <s v="$28.00"/>
        <s v="$4,956.00"/>
        <s v="$2,352.00"/>
        <s v="$3,906.00"/>
        <s v="$1,813.00"/>
        <s v="$11,788.00"/>
        <s v="$5,768.00"/>
        <s v="$2,401.00"/>
        <s v="$10,122.00"/>
        <s v="$2,268.00"/>
        <s v="$574.00"/>
        <s v="$1,792.00"/>
        <s v="$9,107.00"/>
        <s v="$12,187.00"/>
        <s v="$5,670.00"/>
        <s v="$2,681.00"/>
        <s v="$1,533.00"/>
        <s v="$9,765.00"/>
        <s v="$3,318.00"/>
        <s v="$4,214.00"/>
        <s v="$4,690.00"/>
        <s v="$13,062.00"/>
        <s v="$12,488.00"/>
        <s v="$14,147.00"/>
        <s v="$10,199.00"/>
        <s v="$11,389.00"/>
        <s v="$3,584.00"/>
        <s v="$12,481.00"/>
        <s v="$8,603.00"/>
        <s v="$6,559.00"/>
        <s v="$18,697.00"/>
        <s v="$10,150.00"/>
        <s v="$4,592.00"/>
        <s v="$4,158.00"/>
        <s v="$5,684.00"/>
        <s v="$693.00"/>
        <s v="$546.00"/>
        <s v="$1,036.00"/>
        <s v="$13,846.00"/>
        <s v="$2,499.00"/>
        <s v="$10,689.00"/>
        <s v="$2,226.00"/>
        <s v="$10,262.00"/>
        <s v="$3,864.00"/>
        <s v="$4,900.00"/>
        <s v="$8,155.00"/>
        <s v="$2,478.00"/>
        <s v="$2,471.00"/>
        <s v="$1,666.00"/>
        <s v="$8,400.00"/>
        <s v="$6,139.00"/>
        <s v="$7,077.00"/>
        <s v="$9,954.00"/>
        <s v="$1,260.00"/>
        <s v="$469.00"/>
        <s v="$973.00"/>
        <s v="$2,520.00"/>
        <s v="$10,500.00"/>
        <s v="$7,952.00"/>
        <s v="$4,872.00"/>
        <s v="$6,594.00"/>
        <s v="$1,470.00"/>
        <s v="$2,674.00"/>
        <s v="$7,364.00"/>
        <s v="$6,818.00"/>
        <s v="$6,776.00"/>
        <s v="$15,099.00"/>
        <s v="$3,612.00"/>
        <s v="$3,710.00"/>
        <s v="$6,111.00"/>
        <s v="$2,702.00"/>
        <s v="$5,887.00"/>
        <s v="$10,647.00"/>
        <s v="$8,589.00"/>
        <s v="$11,781.00"/>
        <s v="$672.00"/>
        <s v="$12,558.00"/>
        <s v="$8,337.00"/>
        <s v="$8,134.00"/>
        <s v="$8,491.00"/>
        <s v="$3,066.00"/>
        <s v="$4,410.00"/>
        <s v="$5,902.13"/>
        <s v="$8,074.39"/>
        <s v="$4,666.18"/>
        <s v="$14,103.40"/>
        <s v="$14,167.84"/>
        <s v="$5,768.75"/>
        <s v="$14,673.20"/>
        <s v="$3,249.23"/>
        <s v="$4,526.24"/>
        <s v="$3,166.56"/>
        <s v="$4,866.39"/>
        <s v="$4,254.37"/>
        <s v="$1,652.61"/>
        <s v="$171.49"/>
        <s v="$8,549.84"/>
        <s v="$7,807.74"/>
        <s v="$4,561.43"/>
        <s v="$3,041.12"/>
        <s v="$9,786.09"/>
        <s v="$1,131.25"/>
        <s v="$7,484.07"/>
        <s v="$1,339.61"/>
        <s v="$5,481.18"/>
        <s v="$3,275.40"/>
        <s v="$7,677.78"/>
        <s v="$189.37"/>
        <s v="$1,658.79"/>
        <s v="$4,168.93"/>
        <s v="$10,604.89"/>
        <s v="$5,773.51"/>
        <s v="$1,838.78"/>
        <s v="$12,643.10"/>
        <s v="$4,439.52"/>
        <s v="$7,698.60"/>
        <s v="$2,222.30"/>
        <s v="$10,959.02"/>
        <s v="$2,854.85"/>
        <s v="$147.82"/>
        <s v="$3,790.51"/>
        <s v="$2,487.19"/>
        <s v="$1,021.27"/>
        <s v="$15,370.06"/>
        <s v="$5,345.58"/>
        <s v="$6,559.44"/>
        <s v="$8,282.93"/>
        <s v="$6,981.40"/>
        <s v="$10,280.17"/>
        <s v="$7,703.62"/>
        <s v="$4,489.81"/>
        <s v="$5,806.11"/>
        <s v="$5,148.70"/>
        <s v="$8,558.59"/>
        <s v="$94.19"/>
        <s v="$16,223.83"/>
        <s v="$2,439.06"/>
        <s v="$466.65"/>
        <s v="$4,044.24"/>
        <s v="$17,675.28"/>
        <s v="$17,280.98"/>
        <s v="$5,091.78"/>
        <s v="$1,657.20"/>
        <s v="$305.79"/>
        <s v="$3,377.41"/>
        <s v="$6,188.62"/>
        <s v="$10,914.36"/>
        <s v="$2,342.07"/>
        <s v="$21,762.80"/>
        <s v="$10,539.54"/>
        <s v="$6,665.87"/>
        <s v="$9,605.11"/>
        <s v="$13,018.00"/>
        <s v="$6,046.40"/>
        <s v="$3,078.33"/>
        <s v="$970.96"/>
        <s v="$2,064.71"/>
        <s v="$679.94"/>
        <s v="$1,311.25"/>
        <s v="$8,692.64"/>
        <s v="$4,993.21"/>
        <s v="$10,898.19"/>
        <s v="$15,565.91"/>
        <s v="$280.59"/>
        <s v="$66.35"/>
        <s v="$8,766.45"/>
        <s v="$4,265.48"/>
        <s v="$6,087.53"/>
        <s v="$11,694.48"/>
        <s v="$7,616.38"/>
        <s v="$7,807.02"/>
        <s v="$7,990.91"/>
        <s v="$6,757.17"/>
        <s v="$4,409.21"/>
        <s v="$722.25"/>
        <s v="$1,896.24"/>
        <s v="$2,966.83"/>
        <s v="$51.29"/>
        <s v="$1,835.42"/>
        <s v="$14,592.11"/>
        <s v="$1,114.13"/>
        <s v="$13,051.75"/>
        <s v="$5,997.71"/>
        <s v="$1,588.28"/>
        <s v="$5,344.21"/>
        <s v="$4,646.91"/>
        <s v="$8,929.88"/>
        <s v="$141.23"/>
        <s v="$5,068.99"/>
        <s v="$8,012.72"/>
        <s v="$10,587.71"/>
        <s v="$2,155.62"/>
        <s v="$11,010.43"/>
        <s v="$6,787.72"/>
        <s v="$5,715.07"/>
        <s v="$12,100.65"/>
        <s v="$623.75"/>
        <s v="$6,528.42"/>
        <s v="$1,540.55"/>
        <s v="$487.06"/>
        <s v="$11,630.38"/>
        <s v="$17,297.66"/>
        <s v="$2,043.55"/>
        <s v="$8,168.86"/>
        <s v="$933.45"/>
        <s v="$6,826.32"/>
        <s v="$5,029.35"/>
        <s v="$5,143.49"/>
        <s v="$16,707.88"/>
        <s v="$1,558.87"/>
        <s v="$9,332.76"/>
        <s v="$2,673.47"/>
        <s v="$4,950.21"/>
        <s v="$2,919.11"/>
        <s v="$8,003.23"/>
        <s v="$4,902.78"/>
        <s v="$4,033.53"/>
        <s v="$22,751.18"/>
        <s v="$5,118.11"/>
        <s v="$2,835.90"/>
        <s v="$5,828.22"/>
        <s v="$396.19"/>
        <s v="$11,226.50"/>
        <s v="$10,102.86"/>
        <s v="$2,084.86"/>
        <s v="$8,495.79"/>
        <s v="$4,248.34"/>
        <s v="$2,236.11"/>
        <s v="$1,124.27"/>
        <s v="$12,870.47"/>
        <s v="$3,017.66"/>
        <s v="$3,574.12"/>
        <s v="$6,249.31"/>
        <s v="$10,759.61"/>
        <s v="$2,508.03"/>
        <s v="$4,997.82"/>
        <s v="$7,901.09"/>
        <s v="$3,133.42"/>
        <s v="$8,320.29"/>
        <s v="$909.93"/>
        <s v="$5,631.26"/>
        <s v="$3,283.44"/>
        <s v="$9,458.03"/>
        <s v="$7,726.25"/>
        <s v="$14,369.40"/>
        <s v="$2,829.57"/>
        <s v="$9,370.61"/>
        <s v="$3,651.49"/>
        <s v="$10,229.99"/>
        <s v="$11,596.89"/>
        <s v="$5,857.90"/>
        <s v="$1,177.64"/>
        <s v="$12,930.11"/>
        <s v="$1,732.04"/>
        <s v="$5,837.17"/>
        <s v="$3,424.66"/>
        <s v="$5,700.28"/>
        <s v="$5,094.48"/>
        <s v="$14,529.20"/>
        <s v="$6,761.28"/>
        <s v="$10,370.44"/>
        <s v="$12,450.24"/>
        <s v="$8,927.63"/>
        <s v="$3,438.70"/>
        <s v="$299.71"/>
        <s v="$7,374.26"/>
        <s v="$2,775.87"/>
        <s v="$9,957.66"/>
        <s v="$5,064.88"/>
        <s v="$9,865.05"/>
        <s v="$571.52"/>
        <s v="$656.44"/>
        <s v="$4,008.93"/>
        <s v="$4,679.06"/>
        <s v="$3,446.84"/>
        <s v="$11,884.52"/>
        <s v="$2,167.19"/>
        <s v="$4,199.84"/>
        <s v="$7,358.70"/>
        <s v="$7,870.09"/>
        <s v="$7,454.25"/>
        <s v="$3,112.30"/>
        <s v="$6,901.22"/>
        <s v="$1,178.00"/>
        <s v="$14,953.83"/>
        <s v="$3,958.57"/>
        <s v="$1,639.01"/>
        <s v="$8,586.04"/>
        <s v="$10,000.22"/>
        <s v="$8,448.39"/>
        <s v="$6,984.74"/>
        <s v="$5,641.54"/>
        <s v="$3,850.87"/>
        <s v="$885.68"/>
        <s v="$21,251.67"/>
        <s v="$1,452.61"/>
        <s v="$793.17"/>
        <s v="$7,152.22"/>
        <s v="$3,364.44"/>
        <s v="$3,470.60"/>
        <s v="$4,676.32"/>
        <s v="$6,323.45"/>
        <s v="$3,252.70"/>
        <s v="$254.16"/>
        <s v="$6,127.37"/>
        <s v="$3,791.66"/>
        <s v="$17,059.69"/>
        <s v="$4,154.44"/>
        <s v="$6,168.51"/>
        <s v="$7,984.45"/>
        <s v="$9,108.33"/>
        <s v="$1,511.51"/>
        <s v="$3,364.28"/>
        <s v="$934.49"/>
        <s v="$8,895.70"/>
        <s v="$9,957.20"/>
        <s v="$3,359.18"/>
        <s v="$5,098.29"/>
        <s v="$398.28"/>
        <s v="$7,473.14"/>
        <s v="$3,638.66"/>
        <s v="$12,507.08"/>
        <s v="$2,393.79"/>
        <s v="$6,136.99"/>
        <s v="$1,264.43"/>
        <s v="$4,101.26"/>
        <s v="$8,106.88"/>
        <s v="$2,456.10"/>
        <s v="$4,726.60"/>
        <s v="$3,482.73"/>
        <s v="$467.19"/>
        <s v="$4,875.38"/>
        <s v="$70.60"/>
        <s v="$1,835.22"/>
        <s v="$7,304.74"/>
        <s v="$3,967.85"/>
        <s v="$2,800.67"/>
        <s v="$4,474.52"/>
        <s v="$2,737.03"/>
        <s v="$16,717.26"/>
        <s v="$16,112.73"/>
        <s v="$6,898.00"/>
        <s v="$2,151.04"/>
        <s v="$172.51"/>
        <s v="$2,949.02"/>
        <s v="$2,790.72"/>
        <s v="$5,054.42"/>
        <s v="$5,418.75"/>
        <s v="$14,604.67"/>
        <s v="$6,668.93"/>
        <s v="$9,689.70"/>
        <s v="$5,026.81"/>
        <s v="$2,379.01"/>
        <s v="$7,770.55"/>
        <s v="$1,837.47"/>
        <s v="$14,625.75"/>
        <s v="$10,305.40"/>
        <s v="$8,798.99"/>
        <s v="$2,466.59"/>
        <s v="$6,564.20"/>
        <s v="$4,764.56"/>
        <s v="$3,172.08"/>
        <s v="$8,062.00"/>
        <s v="$12,382.41"/>
        <s v="$413.60"/>
        <s v="$10,186.18"/>
        <s v="$7,936.84"/>
        <s v="$1,712.72"/>
        <s v="$3,088.98"/>
        <s v="$14,953.43"/>
        <s v="$3,219.13"/>
        <s v="$2,700.61"/>
        <s v="$7,219.96"/>
        <s v="$2,634.13"/>
        <s v="$1,630.95"/>
        <s v="$8,250.66"/>
        <s v="$4,849.30"/>
        <s v="$7,940.49"/>
        <s v="$2,106.93"/>
        <s v="$3,911.85"/>
        <s v="$483.04"/>
        <s v="$11,380.70"/>
        <s v="$6,372.68"/>
        <s v="$2,714.76"/>
        <s v="$2,106.17"/>
        <s v="$5,805.24"/>
        <s v="$12,205.52"/>
        <s v="$6,318.70"/>
        <s v="$8,522.80"/>
        <s v="$10,315.88"/>
        <s v="$7,262.12"/>
        <s v="$1,414.84"/>
        <s v="$3,067.90"/>
        <s v="$7,369.69"/>
        <s v="$1,775.18"/>
        <s v="$7,683.78"/>
        <s v="$1,412.22"/>
        <s v="$607.08"/>
        <s v="$11,688.75"/>
        <s v="$10,275.55"/>
        <s v="$1,788.10"/>
        <s v="$2,378.08"/>
        <s v="$9,545.03"/>
        <s v="$4,999.52"/>
        <s v="$5,312.50"/>
        <s v="$3,750.88"/>
        <s v="$2,375.74"/>
        <s v="$7,013.61"/>
        <s v="$481.52"/>
        <s v="$3,136.92"/>
        <s v="$6,584.26"/>
        <s v="$1,024.77"/>
        <s v="$17,680.19"/>
        <s v="$10,707.82"/>
        <s v="$3,019.09"/>
        <s v="$1,758.62"/>
        <s v="$8,385.38"/>
        <s v="$4,854.12"/>
        <s v="$949.18"/>
        <s v="$6,047.05"/>
        <s v="$3,883.32"/>
        <s v="$4,382.07"/>
        <s v="$9,928.10"/>
        <s v="$6,315.53"/>
        <s v="$10,630.08"/>
        <s v="$167.33"/>
        <s v="$2,690.14"/>
        <s v="$3,242.04"/>
        <s v="$5,363.69"/>
        <s v="$6,160.89"/>
        <s v="$7,968.23"/>
        <s v="$6,388.95"/>
        <s v="$15,840.74"/>
        <s v="$7,265.05"/>
        <s v="$2,342.49"/>
        <s v="$1,365.88"/>
        <s v="$4,437.46"/>
        <s v="$2,072.24"/>
        <s v="$7,091.81"/>
        <s v="$7,213.16"/>
        <s v="$9,672.76"/>
        <s v="$5,750.05"/>
        <s v="$4,641.29"/>
        <s v="$1,871.33"/>
        <s v="$10,843.46"/>
        <s v="$5,032.45"/>
        <s v="$1,106.38"/>
        <s v="$4,977.55"/>
        <s v="$3,210.14"/>
        <s v="$7,794.80"/>
        <s v="$7,613.37"/>
        <s v="$1,332.76"/>
        <s v="$2,587.76"/>
        <s v="$3,826.22"/>
        <s v="$18,687.87"/>
        <s v="$8,859.63"/>
        <s v="$7,299.40"/>
        <s v="$2,556.26"/>
        <s v="$703.40"/>
        <s v="$6,421.18"/>
        <s v="$1,048.26"/>
        <s v="$3,099.14"/>
        <s v="$3,737.68"/>
        <s v="$3,086.89"/>
        <s v="$2,618.15"/>
        <s v="$1,643.45"/>
        <s v="$7,368.94"/>
        <s v="$6,082.19"/>
        <s v="$14,456.14"/>
        <s v="$4,173.40"/>
        <s v="$7,189.18"/>
        <s v="$8,962.96"/>
        <s v="$10,085.02"/>
        <s v="$12,073.18"/>
        <s v="$6,655.62"/>
        <s v="$14,193.67"/>
        <s v="$15,507.29"/>
        <s v="$17,383.08"/>
        <s v="$5,912.59"/>
        <s v="$4,029.28"/>
        <s v="$3,563.09"/>
        <s v="$773.73"/>
        <s v="$2,620.19"/>
        <s v="$11,426.56"/>
        <s v="$2,935.80"/>
        <s v="$2,431.53"/>
        <s v="$11,882.82"/>
        <s v="$6,297.06"/>
        <s v="$5,859.21"/>
        <s v="$6,276.91"/>
        <s v="$5,674.70"/>
        <s v="$1,960.10"/>
        <s v="$6,540.30"/>
        <s v="$3,818.21"/>
        <s v="$14,769.97"/>
        <s v="$3,687.44"/>
        <s v="$1,123.58"/>
        <s v="$4,612.08"/>
        <s v="$1,600.11"/>
        <s v="$975.67"/>
        <s v="$5,487.30"/>
        <s v="$4,948.15"/>
        <s v="$11,460.08"/>
        <s v="$2,628.33"/>
        <s v="$1,044.35"/>
        <s v="$7,449.70"/>
        <s v="$9,315.64"/>
        <s v="$3,820.94"/>
        <s v="$3,782.83"/>
        <s v="$4,525.72"/>
        <s v="$3,730.79"/>
        <s v="$6,068.19"/>
        <s v="$4,944.46"/>
        <s v="$12,331.35"/>
        <s v="$5,290.76"/>
        <s v="$6,874.06"/>
        <s v="$20,402.17"/>
        <s v="$7,923.10"/>
        <s v="$8,145.99"/>
        <s v="$16,253.25"/>
        <s v="$5,744.07"/>
        <s v="$4,908.71"/>
        <s v="$2,369.87"/>
        <s v="$5,973.24"/>
        <s v="$8,047.16"/>
        <s v="$9,656.56"/>
        <s v="$3,925.06"/>
        <s v="$11,682.62"/>
        <s v="$7,874.15"/>
        <s v="$5,061.37"/>
        <s v="$2,099.24"/>
        <s v="$237.57"/>
        <s v="$8,829.77"/>
        <s v="$1,733.09"/>
        <s v="$3,047.18"/>
        <s v="$8,497.72"/>
        <s v="$12,557.56"/>
        <s v="$1,406.91"/>
        <s v="$4,496.32"/>
        <s v="$8,220.25"/>
        <s v="$9,588.03"/>
        <s v="$114.82"/>
        <s v="$8,804.98"/>
        <s v="$2,900.61"/>
        <s v="$16,773.08"/>
        <s v="$4,153.59"/>
        <s v="$12,571.07"/>
        <s v="$2,553.46"/>
        <s v="$1,888.94"/>
        <s v="$1,310.04"/>
        <s v="$7,805.90"/>
        <s v="$6,101.12"/>
        <s v="$1,425.81"/>
        <s v="$8,724.40"/>
        <s v="$664.82"/>
        <s v="$4,351.31"/>
        <s v="$5,825.09"/>
        <s v="$2,418.93"/>
        <s v="$7,725.52"/>
        <s v="$7,144.08"/>
        <s v="$2,043.13"/>
        <s v="$6,526.01"/>
        <s v="$11,334.77"/>
        <s v="$2,492.67"/>
        <s v="$2,066.48"/>
        <s v="$7,009.01"/>
        <s v="$4,562.97"/>
        <s v="$3,442.99"/>
        <s v="$6,669.60"/>
        <s v="$1,902.47"/>
        <s v="$6,157.17"/>
        <s v="$3,012.68"/>
        <s v="$3,473.62"/>
        <s v="$4,129.98"/>
        <s v="$14,566.22"/>
        <s v="$4,049.61"/>
        <s v="$5,924.44"/>
        <s v="$10,100.95"/>
        <s v="$2,362.01"/>
        <s v="$2,638.76"/>
        <s v="$3,496.41"/>
        <s v="$17,222.86"/>
        <s v="$1,604.87"/>
        <s v="$7,170.21"/>
        <s v="$4,090.16"/>
        <s v="$9,574.38"/>
        <s v="$717.90"/>
        <s v="$7,734.54"/>
        <s v="$1,606.49"/>
        <s v="$9,170.09"/>
        <s v="$1,583.57"/>
        <s v="$7,684.52"/>
        <s v="$16,765.07"/>
        <s v="$11,796.63"/>
        <s v="$2,766.65"/>
        <s v="$13,232.74"/>
        <s v="$2,820.41"/>
        <s v="$2,483.32"/>
        <s v="$9,124.16"/>
        <s v="$12,728.16"/>
        <s v="$12,624.64"/>
        <s v="$17,584.16"/>
        <s v="$13,156.49"/>
        <s v="$4,164.10"/>
        <s v="$11,698.98"/>
        <s v="$4,964.25"/>
        <s v="$8,258.37"/>
        <s v="$3,938.20"/>
        <s v="$1,368.27"/>
        <s v="$12,449.46"/>
        <s v="$7,323.82"/>
        <s v="$4,560.81"/>
        <s v="$777.46"/>
        <s v="$3,857.27"/>
        <s v="$7,442.69"/>
        <s v="$5,799.30"/>
        <s v="$8,836.90"/>
        <s v="$4,185.00"/>
        <s v="$6,984.06"/>
        <s v="$7,362.70"/>
        <s v="$10,338.27"/>
        <s v="$6,215.72"/>
        <s v="$10,400.66"/>
        <s v="$1,062.61"/>
        <s v="$10,095.71"/>
        <s v="$23,251.68"/>
        <s v="$2,669.61"/>
        <s v="$10,265.97"/>
        <s v="$5,423.54"/>
        <s v="$3,272.68"/>
        <s v="$8,840.59"/>
        <s v="$14,460.51"/>
        <s v="$1,461.99"/>
        <s v="$3,701.60"/>
        <s v="$13,951.32"/>
        <s v="$5,774.92"/>
        <s v="$9,718.87"/>
        <s v="$87.52"/>
        <s v="$3,398.51"/>
        <s v="$4,371.77"/>
        <s v="$3,632.32"/>
        <s v="$3,343.85"/>
        <s v="$4,400.28"/>
        <s v="$10,802.13"/>
        <s v="$9,154.17"/>
        <s v="$5,360.89"/>
        <s v="$11,597.46"/>
        <s v="$14,939.24"/>
        <s v="$10,845.85"/>
        <s v="$2,832.78"/>
        <s v="$8,879.72"/>
        <s v="$298.34"/>
        <s v="$7,799.51"/>
        <s v="$8.04"/>
        <s v="$3,212.35"/>
        <s v="$12,048.56"/>
        <s v="$4,499.64"/>
        <s v="$9,984.16"/>
        <s v="$11,867.83"/>
        <s v="$4,806.65"/>
        <s v="$13,420.93"/>
        <s v="$10,407.51"/>
        <s v="$10,849.39"/>
        <s v="$7,247.29"/>
        <s v="$6,387.65"/>
        <s v="$8,373.42"/>
        <s v="$1,887.19"/>
        <s v="$6,054.04"/>
        <s v="$16,254.61"/>
        <s v="$13,173.56"/>
        <s v="$2,721.46"/>
        <s v="$19,283.64"/>
        <s v="$9,327.52"/>
        <s v="$3,184.03"/>
        <s v="$9,738.74"/>
        <s v="$16,486.65"/>
        <s v="$16,792.23"/>
        <s v="$5,752.62"/>
        <s v="$6,833.28"/>
        <s v="$2,815.72"/>
        <s v="$1,545.36"/>
        <s v="$3,432.73"/>
        <s v="$1,001.99"/>
        <s v="$2,494.19"/>
        <s v="$770.25"/>
        <s v="$2,261.98"/>
        <s v="$5,667.58"/>
        <s v="$4,738.71"/>
        <s v="$13,661.89"/>
        <s v="$6,067.19"/>
        <s v="$11,720.99"/>
        <s v="$19,999.55"/>
        <s v="$4,484.03"/>
        <s v="$107.24"/>
        <s v="$2,525.98"/>
        <s v="$1,577.84"/>
        <s v="$2,972.07"/>
        <s v="$3,691.63"/>
        <s v="$5,188.89"/>
        <s v="$5,766.51"/>
        <s v="$1,036.77"/>
        <s v="$10,033.52"/>
        <s v="$5,220.69"/>
        <s v="$8,106.62"/>
        <s v="$3,934.09"/>
        <s v="$4,508.93"/>
        <s v="$1,921.57"/>
        <s v="$1,161.31"/>
        <s v="$11,389.29"/>
        <s v="$3,032.30"/>
        <s v="$6,871.55"/>
        <s v="$339.99"/>
        <s v="$3,720.22"/>
        <s v="$731.19"/>
        <s v="$13,288.65"/>
        <s v="$5,332.79"/>
        <s v="$3,971.78"/>
        <s v="$9,538.21"/>
        <s v="$547.85"/>
        <s v="$2,994.76"/>
        <s v="$4,451.38"/>
        <s v="$14,691.77"/>
        <s v="$7,042.98"/>
        <s v="$15,583.00"/>
        <s v="$9,059.82"/>
        <s v="$430.59"/>
        <s v="$1,264.25"/>
        <s v="$2,995.47"/>
        <s v="$2,117.82"/>
        <s v="$8,081.79"/>
        <s v="$11,542.54"/>
        <s v="$2,183.68"/>
        <s v="$3,125.34"/>
        <s v="$4,891.86"/>
        <s v="$4,881.32"/>
        <s v="$5,917.62"/>
        <s v="$6,312.53"/>
        <s v="$7,956.28"/>
        <s v="$5,895.88"/>
        <s v="$13,535.70"/>
        <s v="$5,639.90"/>
        <s v="$5,813.44"/>
        <s v="$2,514.82"/>
        <s v="$3,044.01"/>
        <s v="$3,902.04"/>
        <s v="$1,928.74"/>
        <s v="$3,251.53"/>
        <s v="$5,031.94"/>
        <s v="$1,350.26"/>
        <s v="$1,187.71"/>
        <s v="$7,055.38"/>
        <s v="$7,231.89"/>
        <s v="$9,295.83"/>
        <s v="$2,276.94"/>
        <s v="$4,229.79"/>
        <s v="$1,640.53"/>
        <s v="$8,234.50"/>
        <s v="$10,087.04"/>
        <s v="$3,169.26"/>
        <s v="$10,355.42"/>
        <s v="$7,772.63"/>
        <s v="$1,992.77"/>
        <s v="$1,815.56"/>
        <s v="$727.11"/>
        <s v="$114.96"/>
        <s v="$5,378.09"/>
        <s v="$6,707.63"/>
        <s v="$8,167.18"/>
        <s v="$9,950.14"/>
        <s v="$7,229.26"/>
        <s v="$2,260.21"/>
        <s v="$6,206.90"/>
        <s v="$1,889.83"/>
        <s v="$7,797.24"/>
        <s v="$11,644.92"/>
        <s v="$4,207.22"/>
        <s v="$1,683.88"/>
        <s v="$1,337.36"/>
        <s v="$7,147.04"/>
        <s v="$12,030.46"/>
        <s v="$15,844.58"/>
        <s v="$5,025.84"/>
        <s v="$9,902.03"/>
        <s v="$7,944.07"/>
        <s v="$9,523.65"/>
        <s v="$16,240.71"/>
        <s v="$5,891.94"/>
        <s v="$6,924.52"/>
        <s v="$4,552.57"/>
        <s v="$1,724.91"/>
        <s v="$897.30"/>
        <s v="$10,283.90"/>
        <s v="$10,415.77"/>
        <s v="$4,220.83"/>
        <s v="$4,909.86"/>
        <s v="$6,549.62"/>
        <s v="$88.72"/>
        <s v="$9,793.16"/>
        <s v="$4,823.65"/>
        <s v="$7,556.55"/>
        <s v="$7,082.03"/>
        <s v="$8,361.47"/>
        <s v="$1,310.50"/>
        <s v="$1,288.10"/>
        <s v="$3,288.29"/>
        <s v="$10,669.09"/>
        <s v="$7,361.93"/>
        <s v="$10,336.22"/>
        <s v="$6,985.95"/>
        <s v="$3,394.46"/>
        <s v="$15,337.23"/>
        <s v="$15,925.17"/>
        <s v="$7,355.77"/>
        <s v="$9,489.27"/>
        <s v="$1,281.32"/>
        <s v="$518.07"/>
        <s v="$1,933.56"/>
        <s v="$1,308.52"/>
        <s v="$9,878.50"/>
        <s v="$1,943.70"/>
        <s v="$80.62"/>
        <s v="$2,678.37"/>
        <s v="$2,931.10"/>
        <s v="$2,316.09"/>
        <s v="$6,722.22"/>
        <s v="$14,528.51"/>
        <s v="$9,390.28"/>
        <s v="$16,230.41"/>
        <s v="$7,224.39"/>
        <s v="$15,567.58"/>
        <s v="$2,964.20"/>
        <s v="$3,357.08"/>
        <s v="$1,010.37"/>
        <s v="$20,470.43"/>
        <s v="$8,762.75"/>
        <s v="$14,613.52"/>
        <s v="$9,839.46"/>
        <s v="$6,633.23"/>
        <s v="$9,749.07"/>
        <s v="$5,254.38"/>
        <s v="$3,430.43"/>
        <s v="$10,454.55"/>
        <s v="$2,413.87"/>
        <s v="$1,445.14"/>
        <s v="$4,022.64"/>
        <s v="$8,651.20"/>
        <s v="$725.16"/>
        <s v="$2,385.40"/>
        <s v="$726.04"/>
        <s v="$4,742.35"/>
        <s v="$2,556.96"/>
        <s v="$8,376.69"/>
        <s v="$840.71"/>
        <s v="$207.87"/>
        <s v="$13,370.34"/>
        <s v="$6,811.37"/>
        <s v="$6,096.52"/>
        <s v="$8,684.58"/>
        <s v="$873.26"/>
        <s v="$1,912.66"/>
        <s v="$321.61"/>
        <s v="$511.12"/>
        <s v="$7,887.15"/>
        <s v="$1,793.67"/>
        <s v="$12,129.42"/>
        <s v="$11,749.75"/>
        <s v="$3,967.25"/>
        <s v="$8,105.37"/>
        <s v="$1,614.17"/>
        <s v="$1,613.30"/>
        <s v="$2,155.64"/>
        <s v="$8,184.37"/>
        <s v="$3,613.32"/>
        <s v="$801.09"/>
        <s v="$2,069.48"/>
        <s v="$5,096.21"/>
        <s v="$10,573.50"/>
        <s v="$4,611.37"/>
        <s v="$3,288.77"/>
        <s v="$10,883.13"/>
        <s v="$1,516.56"/>
        <s v="$391.33"/>
        <s v="$7,969.08"/>
        <s v="$63.71"/>
        <s v="$8,832.33"/>
        <s v="$3,542.19"/>
        <s v="$6,052.07"/>
        <s v="$543.20"/>
        <s v="$18,894.92"/>
        <s v="$689.40"/>
        <s v="$4,435.95"/>
        <s v="$9,111.34"/>
        <s v="$10,369.71"/>
        <s v="$5,833.20"/>
        <s v="$1,229.96"/>
        <s v="$8,839.72"/>
        <s v="$5,747.66"/>
        <s v="$3,666.04"/>
        <s v="$6,853.82"/>
        <s v="$4,361.01"/>
        <s v="$7,686.15"/>
        <s v="$4,188.43"/>
        <s v="$5,425.24"/>
        <s v="$2,896.97"/>
        <s v="$1,071.31"/>
        <s v="$6,417.05"/>
        <s v="$10,967.31"/>
        <s v="$6,345.02"/>
        <s v="$2,824.71"/>
        <s v="$1,463.67"/>
        <s v="$5,856.52"/>
        <s v="$4,303.86"/>
        <s v="$2,047.77"/>
        <s v="$4,692.36"/>
        <s v="$7,302.42"/>
        <s v="$2,056.92"/>
        <s v="$11,032.79"/>
        <s v="$7,773.64"/>
        <s v="$3,843.01"/>
        <s v="$9,163.79"/>
        <s v="$7,628.59"/>
        <s v="$18,220.59"/>
        <s v="$9,828.94"/>
        <s v="$4,726.65"/>
        <s v="$344.82"/>
        <s v="$3,451.24"/>
        <s v="$5,071.49"/>
        <s v="$4,719.38"/>
        <s v="$3,430.58"/>
        <s v="$268.30"/>
        <s v="$991.46"/>
        <s v="$213.45"/>
        <s v="$7,586.38"/>
        <s v="$6,192.19"/>
        <s v="$1,510.58"/>
        <s v="$8,693.31"/>
        <s v="$5,509.77"/>
        <s v="$1,863.20"/>
        <s v="$4,822.50"/>
        <s v="$10,856.55"/>
        <s v="$11,252.11"/>
        <s v="$1,387.72"/>
        <s v="$5,509.22"/>
        <s v="$2,444.25"/>
        <s v="$3,175.62"/>
        <s v="$7,900.42"/>
        <s v="$9,072.46"/>
        <s v="$8.06"/>
        <s v="$1,548.54"/>
        <s v="$5,501.67"/>
        <s v="$7,685.42"/>
        <s v="$5,147.77"/>
        <s v="$3,070.43"/>
        <s v="$1,127.50"/>
        <s v="$8,502.77"/>
        <s v="$5,961.02"/>
        <s v="$2,478.33"/>
        <s v="$1,269.56"/>
        <s v="$11,130.52"/>
        <s v="$2,455.09"/>
        <s v="$12,764.94"/>
        <s v="$13,351.42"/>
        <s v="$2,763.22"/>
        <s v="$6,523.34"/>
        <s v="$1,868.25"/>
        <s v="$8,431.83"/>
        <s v="$5,646.99"/>
        <s v="$1,484.67"/>
        <s v="$3,859.95"/>
        <s v="$3,237.30"/>
        <s v="$4,072.43"/>
        <s v="$8,054.87"/>
        <s v="$420.30"/>
        <s v="$17,073.99"/>
        <s v="$13,624.31"/>
        <s v="$2,318.46"/>
        <s v="$10,740.05"/>
        <s v="$7,624.67"/>
        <s v="$10,168.32"/>
        <s v="$6,635.15"/>
        <s v="$860.12"/>
        <s v="$8,671.21"/>
        <s v="$5,534.11"/>
        <s v="$6,800.26"/>
        <s v="$3,927.83"/>
        <s v="$5,833.80"/>
        <s v="$733.08"/>
        <s v="$7,164.51"/>
        <s v="$7,900.52"/>
        <s v="$3,550.76"/>
        <s v="$10,281.51"/>
        <s v="$5,936.81"/>
        <s v="$4,552.15"/>
        <s v="$15,944.86"/>
        <s v="$7,722.58"/>
        <s v="$3,105.38"/>
        <s v="$6,994.35"/>
        <s v="$4,264.49"/>
        <s v="$1,215.30"/>
        <s v="$8,519.37"/>
        <s v="$9,810.95"/>
        <s v="$1,065.63"/>
        <s v="$3,894.68"/>
        <s v="$12,194.27"/>
        <s v="$2,455.13"/>
        <s v="$14,887.76"/>
        <s v="$15,276.46"/>
        <s v="$13,520.48"/>
        <s v="$9,195.53"/>
        <s v="$460.98"/>
        <s v="$8,216.56"/>
        <s v="$1,863.54"/>
        <s v="$3,283.00"/>
        <s v="$5,967.18"/>
        <s v="$12,083.50"/>
        <s v="$12,397.06"/>
        <s v="$1,746.01"/>
        <s v="$9,021.65"/>
        <s v="$5,263.45"/>
        <s v="$15,473.00"/>
        <s v="$5,566.57"/>
        <s v="$8,111.43"/>
        <s v="$2,341.80"/>
        <s v="$8,650.42"/>
        <s v="$4,444.72"/>
        <s v="$12,531.37"/>
        <s v="$3,558.89"/>
        <s v="$7,889.90"/>
        <s v="$3,589.18"/>
        <s v="$305.39"/>
        <s v="$1,896.64"/>
        <s v="$18,494.72"/>
        <s v="$11,103.47"/>
        <s v="$4,162.28"/>
        <s v="$3,357.30"/>
        <s v="$7,033.52"/>
        <s v="$9,896.80"/>
        <s v="$15,653.44"/>
        <s v="$7,899.31"/>
        <s v="$10,644.74"/>
        <s v="$872.83"/>
        <s v="$6,337.94"/>
        <s v="$31.15"/>
        <s v="$7,107.55"/>
        <s v="$5,465.85"/>
        <s v="$2,462.14"/>
        <s v="$4,194.44"/>
        <s v="$1,994.44"/>
        <s v="$12,124.05"/>
        <s v="$5,884.09"/>
        <s v="$2,639.16"/>
        <s v="$5,031.40"/>
        <s v="$11,510.71"/>
        <s v="$15,021.98"/>
        <s v="$4,517.19"/>
        <s v="$10,778.53"/>
        <s v="$1,145.72"/>
        <s v="$2,518.50"/>
        <s v="$596.63"/>
        <s v="$1,858.71"/>
        <s v="$5,194.28"/>
        <s v="$960.69"/>
        <s v="$5,347.12"/>
        <s v="$9,805.11"/>
        <s v="$13,205.42"/>
        <s v="$5,929.20"/>
        <s v="$516.92"/>
        <s v="$2,882.76"/>
        <s v="$1,637.72"/>
        <s v="$10,791.46"/>
        <s v="$1,093.46"/>
        <s v="$3,407.61"/>
        <s v="$4,753.93"/>
        <s v="$8,280.62"/>
        <s v="$4,981.78"/>
        <s v="$13,998.33"/>
        <s v="$13,105.65"/>
        <s v="$15,728.81"/>
        <s v="$53.85"/>
        <s v="$10,857.23"/>
        <s v="$12,412.53"/>
        <s v="$3,669.15"/>
        <s v="$13,555.26"/>
        <s v="$2,333.84"/>
        <s v="$8,973.05"/>
        <s v="$8,610.38"/>
        <s v="$3,432.30"/>
        <s v="$2,283.39"/>
        <s v="$7,190.49"/>
        <s v="$11,303.07"/>
        <s v="$18,911.49"/>
        <s v="$6,233.02"/>
        <s v="$2,334.50"/>
        <s v="$11,099.73"/>
        <s v="$3,590.55"/>
        <s v="$5,209.40"/>
        <s v="$6,315.14"/>
        <s v="$4,454.71"/>
        <s v="$6,078.71"/>
        <s v="$695.96"/>
        <s v="$563.76"/>
        <s v="$4,479.69"/>
        <s v="$1,093.72"/>
        <s v="$15,870.43"/>
        <s v="$2,529.82"/>
        <s v="$11,258.39"/>
        <s v="$6,180.45"/>
        <s v="$2,496.06"/>
        <s v="$10,964.29"/>
        <s v="$4,012.51"/>
        <s v="$4,919.25"/>
        <s v="$5,602.02"/>
        <s v="$3,563.87"/>
        <s v="$8,313.09"/>
        <s v="$8,447.48"/>
        <s v="$2,646.23"/>
        <s v="$2,706.83"/>
        <s v="$1,710.48"/>
        <s v="$318.19"/>
        <s v="$9,479.65"/>
        <s v="$6,393.20"/>
        <s v="$1,355.65"/>
        <s v="$7,911.23"/>
        <s v="$2,583.03"/>
        <s v="$66.13"/>
        <s v="$10,668.69"/>
        <s v="$10,994.30"/>
        <s v="$1,259.61"/>
        <s v="$492.13"/>
        <s v="$1,016.77"/>
        <s v="$4,111.42"/>
        <s v="$503.97"/>
        <s v="$2,883.71"/>
        <s v="$11,861.89"/>
        <s v="$8,564.73"/>
        <s v="$538.03"/>
        <s v="$5,231.88"/>
        <s v="$7,916.13"/>
        <s v="$6,016.32"/>
        <s v="$7,504.86"/>
        <s v="$1,590.98"/>
        <s v="$740.07"/>
        <s v="$4,591.11"/>
        <s v="$2,686.51"/>
        <s v="$735.48"/>
        <s v="$1,160.54"/>
        <s v="$8,078.15"/>
        <s v="$7,467.74"/>
        <s v="$7,588.41"/>
        <s v="$15,372.54"/>
        <s v="$3,907.50"/>
        <s v="$3,740.76"/>
        <s v="$6,211.75"/>
        <s v="$2,924.46"/>
        <s v="$501.79"/>
        <s v="$6,594.09"/>
        <s v="$960.68"/>
        <s v="$11,370.32"/>
        <s v="$6,067.94"/>
        <s v="$8,909.75"/>
        <s v="$6,865.35"/>
        <s v="$805.23"/>
        <s v="$9,851.62"/>
        <s v="$11,823.35"/>
        <s v="$683.63"/>
        <s v="$14,002.42"/>
        <s v="$8,744.95"/>
        <s v="$9,294.14"/>
        <s v="$8,831.89"/>
        <s v="$3,474.98"/>
        <s v="$311.61"/>
        <s v="$4,791.20"/>
        <s v="$6,646.33"/>
        <s v="$593.63"/>
        <s v="$2,345.95"/>
        <s v="$5,083.07"/>
        <s v="$6,339.57"/>
        <s v="$9,005.87"/>
        <s v="$5,159.07"/>
        <s v="$13,370.97"/>
        <s v="$14,791.64"/>
        <s v="$6,429.35"/>
        <s v="$15,900.60"/>
        <s v="$3,400.26"/>
        <s v="$4,357.76"/>
        <s v="$3,356.17"/>
        <s v="$5,287.86"/>
        <s v="$4,244.36"/>
        <s v="$1,671.64"/>
        <s v="$181.84"/>
        <s v="$8,950.59"/>
        <s v="$7,271.76"/>
        <s v="$4,864.83"/>
        <s v="$3,175.11"/>
        <s v="$10,137.79"/>
        <s v="$1,206.95"/>
        <s v="$8,222.65"/>
        <s v="$1,440.85"/>
        <s v="$5,611.65"/>
        <s v="$3,562.44"/>
        <s v="$8,385.26"/>
        <s v="$181.31"/>
        <s v="$1,800.27"/>
        <s v="$4,449.37"/>
        <s v="$10,113.40"/>
        <s v="$5,932.84"/>
        <s v="$2,006.71"/>
        <s v="$14,086.69"/>
        <s v="$4,799.54"/>
        <s v="$8,101.98"/>
        <s v="$2,321.97"/>
        <s v="$10,245.00"/>
        <s v="$2,930.40"/>
        <s v="$170.24"/>
        <s v="$4,247.49"/>
        <s v="$2,696.10"/>
        <s v="$1,083.76"/>
        <s v="$17,037.09"/>
        <s v="$5,706.43"/>
        <s v="$6,682.34"/>
        <s v="$8,192.60"/>
        <s v="$7,568.16"/>
        <s v="$10,772.33"/>
        <s v="$7,467.12"/>
        <s v="$4,985.90"/>
        <s v="$5,693.60"/>
        <s v="$5,879.10"/>
        <s v="$9,771.93"/>
        <s v="$105.06"/>
        <s v="$16,414.69"/>
        <s v="$2,553.41"/>
        <s v="$473.99"/>
        <s v="$3,873.98"/>
        <s v="$17,718.25"/>
        <s v="$16,572.07"/>
        <s v="$5,220.19"/>
        <s v="$1,797.26"/>
        <s v="$295.62"/>
        <s v="$3,597.37"/>
        <s v="$6,580.43"/>
        <s v="$12,232.97"/>
        <s v="$2,243.44"/>
        <s v="$22,943.37"/>
        <s v="$10,590.61"/>
        <s v="$6,468.82"/>
        <s v="$10,463.57"/>
        <s v="$14,154.35"/>
        <s v="$6,031.14"/>
        <s v="$3,308.40"/>
        <s v="$1,119.94"/>
        <s v="$2,303.39"/>
        <s v="$723.37"/>
        <s v="$1,413.64"/>
        <s v="$9,001.89"/>
        <s v="$5,283.91"/>
        <s v="$10,958.51"/>
        <s v="$15,531.78"/>
        <s v="$317.36"/>
        <s v="$71.41"/>
        <s v="$9,317.33"/>
        <s v="$4,790.71"/>
        <s v="$6,166.80"/>
        <s v="$11,741.46"/>
        <s v="$8,519.77"/>
        <s v="$8,278.86"/>
        <s v="$7,560.62"/>
        <s v="$6,702.11"/>
        <s v="$4,758.69"/>
        <s v="$709.25"/>
        <s v="$2,003.05"/>
        <s v="$3,248.00"/>
        <s v="$51.98"/>
        <s v="$2,134.65"/>
        <s v="$15,540.41"/>
        <s v="$1,117.77"/>
        <s v="$13,999.05"/>
        <s v="$6,265.59"/>
        <s v="$1,536.82"/>
        <s v="$6,069.93"/>
        <s v="$4,861.33"/>
        <s v="$8,993.24"/>
        <s v="$150.42"/>
        <s v="$5,593.68"/>
        <s v="$9,376.61"/>
        <s v="$11,315.16"/>
        <s v="$2,048.34"/>
        <s v="$12,562.81"/>
        <s v="$6,883.75"/>
        <s v="$6,105.60"/>
        <s v="$12,634.72"/>
        <s v="$663.74"/>
        <s v="$7,044.68"/>
        <s v="$1,804.90"/>
        <s v="$513.43"/>
        <s v="$13,699.76"/>
        <s v="$19,995.68"/>
        <s v="$2,189.70"/>
        <s v="$8,727.09"/>
        <s v="$911.46"/>
        <s v="$7,620.86"/>
        <s v="$5,054.56"/>
        <s v="$5,230.50"/>
        <s v="$17,104.04"/>
        <s v="$1,642.32"/>
        <s v="$10,322.19"/>
        <s v="$2,715.92"/>
        <s v="$5,598.05"/>
        <s v="$2,996.99"/>
        <s v="$7,946.49"/>
        <s v="$4,991.22"/>
        <s v="$4,151.70"/>
        <s v="$22,701.85"/>
        <s v="$6,014.30"/>
        <s v="$2,788.60"/>
        <s v="$6,503.75"/>
        <s v="$433.92"/>
        <s v="$12,314.13"/>
        <s v="$9,876.86"/>
        <s v="$2,043.06"/>
        <s v="$8,728.80"/>
        <s v="$4,906.57"/>
        <s v="$2,278.06"/>
        <s v="$1,108.18"/>
        <s v="$14,957.65"/>
        <s v="$3,020.67"/>
        <s v="$3,677.47"/>
        <s v="$6,999.62"/>
        <s v="$10,901.65"/>
        <s v="$2,586.62"/>
        <s v="$5,077.50"/>
        <s v="$8,360.11"/>
        <s v="$3,566.77"/>
        <s v="$9,186.69"/>
        <s v="$917.35"/>
        <s v="$6,199.12"/>
        <s v="$3,368.63"/>
        <s v="$10,527.23"/>
        <s v="$7,927.57"/>
        <s v="$14,493.50"/>
        <s v="$3,112.20"/>
        <s v="$9,617.64"/>
        <s v="$4,198.08"/>
        <s v="$10,927.22"/>
        <s v="$10,759.18"/>
        <s v="$6,250.42"/>
        <s v="$1,103.54"/>
        <s v="$13,435.98"/>
        <s v="$1,855.03"/>
        <s v="$5,799.09"/>
        <s v="$3,631.78"/>
        <s v="$5,461.43"/>
        <s v="$5,315.95"/>
        <s v="$16,059.94"/>
        <s v="$7,803.84"/>
        <s v="$10,751.19"/>
        <s v="$12,156.54"/>
        <s v="$9,402.26"/>
        <s v="$3,653.39"/>
        <s v="$320.11"/>
        <s v="$7,618.91"/>
        <s v="$2,843.90"/>
        <s v="$11,946.40"/>
        <s v="$5,055.05"/>
        <s v="$10,378.36"/>
        <s v="$595.16"/>
        <s v="$639.95"/>
        <s v="$3,717.35"/>
        <s v="$5,057.10"/>
        <s v="$3,729.83"/>
        <s v="$13,786.87"/>
        <s v="$2,206.28"/>
        <s v="$4,672.25"/>
        <s v="$7,667.99"/>
        <s v="$8,338.51"/>
        <s v="$7,548.62"/>
        <s v="$3,608.83"/>
        <s v="$7,108.96"/>
        <s v="$1,293.02"/>
        <s v="$15,365.78"/>
        <s v="$3,766.49"/>
        <s v="$1,664.68"/>
        <s v="$8,972.79"/>
        <s v="$10,576.55"/>
        <s v="$8,857.15"/>
        <s v="$6,756.17"/>
        <s v="$5,532.85"/>
        <s v="$3,713.66"/>
        <s v="$906.85"/>
        <s v="$22,558.88"/>
        <s v="$1,517.05"/>
        <s v="$770.45"/>
        <s v="$7,623.35"/>
        <s v="$3,418.05"/>
        <s v="$4,055.71"/>
        <s v="$5,432.84"/>
        <s v="$6,016.80"/>
        <s v="$3,609.76"/>
        <s v="$302.25"/>
        <s v="$6,062.87"/>
        <s v="$3,589.91"/>
        <s v="$16,457.28"/>
        <s v="$4,813.53"/>
        <s v="$5,819.17"/>
        <s v="$7,824.91"/>
        <s v="$9,446.67"/>
        <s v="$1,447.58"/>
        <s v="$3,356.27"/>
        <s v="$1,031.25"/>
        <s v="$9,471.51"/>
        <s v="$10,573.29"/>
        <s v="$3,321.90"/>
        <s v="$5,318.00"/>
        <s v="$415.67"/>
        <s v="$8,295.88"/>
        <s v="$3,857.25"/>
        <s v="$14,102.83"/>
        <s v="$2,453.44"/>
        <s v="$5,910.67"/>
        <s v="$1,515.42"/>
        <s v="$4,498.05"/>
        <s v="$8,755.31"/>
        <s v="$2,651.48"/>
        <s v="$5,119.35"/>
        <s v="$3,360.74"/>
        <s v="$495.65"/>
        <s v="$5,108.85"/>
        <s v="$77.10"/>
        <s v="$1,860.29"/>
        <s v="$7,917.76"/>
        <s v="$4,059.92"/>
        <s v="$2,816.85"/>
        <s v="$5,306.48"/>
        <s v="$2,756.63"/>
        <s v="$17,903.70"/>
        <s v="$15,825.08"/>
        <s v="$7,745.33"/>
        <s v="$2,214.91"/>
        <s v="$190.24"/>
        <s v="$2,960.00"/>
        <s v="$2,937.62"/>
        <s v="$4,778.36"/>
        <s v="$5,401.01"/>
        <s v="$15,372.94"/>
        <s v="$7,121.02"/>
        <s v="$9,057.64"/>
        <s v="$5,439.43"/>
        <s v="$2,659.78"/>
        <s v="$7,897.59"/>
        <s v="$1,959.22"/>
        <s v="$15,305.32"/>
        <s v="$11,257.11"/>
        <s v="$9,207.09"/>
        <s v="$2,769.94"/>
        <s v="$7,477.56"/>
        <s v="$5,231.54"/>
        <s v="$3,745.21"/>
        <s v="$8,503.93"/>
        <s v="$12,524.30"/>
        <s v="$472.27"/>
        <s v="$9,771.87"/>
        <s v="$8,130.06"/>
        <s v="$1,624.06"/>
        <s v="$2,984.40"/>
        <s v="$15,593.50"/>
        <s v="$3,387.76"/>
        <s v="$2,847.18"/>
        <s v="$7,511.77"/>
        <s v="$2,711.58"/>
        <s v="$1,673.44"/>
        <s v="$8,853.16"/>
        <s v="$4,722.39"/>
        <s v="$8,408.12"/>
        <s v="$2,442.36"/>
        <s v="$4,010.08"/>
        <s v="$492.21"/>
        <s v="$11,650.88"/>
        <s v="$6,426.04"/>
        <s v="$2,665.28"/>
        <s v="$2,048.58"/>
        <s v="$6,267.19"/>
        <s v="$12,886.26"/>
        <s v="$6,143.64"/>
        <s v="$8,273.83"/>
        <s v="$12,163.59"/>
        <s v="$7,192.41"/>
        <s v="$1,452.94"/>
        <s v="$3,375.83"/>
        <s v="$8,328.80"/>
        <s v="$1,634.54"/>
        <s v="$8,265.41"/>
        <s v="$1,448.10"/>
        <s v="$709.53"/>
        <s v="$12,197.19"/>
        <s v="$10,917.59"/>
        <s v="$1,679.89"/>
        <s v="$2,303.17"/>
        <s v="$9,261.26"/>
        <s v="$5,252.80"/>
        <s v="$5,385.55"/>
        <s v="$3,741.19"/>
        <s v="$2,223.49"/>
        <s v="$7,720.37"/>
        <s v="$468.09"/>
        <s v="$3,083.39"/>
        <s v="$6,898.94"/>
        <s v="$1,036.05"/>
        <s v="$17,518.04"/>
        <s v="$11,691.86"/>
        <s v="$3,136.53"/>
        <s v="$1,677.71"/>
        <s v="$8,937.37"/>
        <s v="$4,761.38"/>
        <s v="$942.02"/>
        <s v="$6,623.03"/>
        <s v="$4,067.36"/>
        <s v="$4,712.55"/>
        <s v="$9,571.30"/>
        <s v="$6,779.99"/>
        <s v="$10,772.46"/>
        <s v="$189.34"/>
        <s v="$3,015.47"/>
        <s v="$3,538.27"/>
        <s v="$5,196.97"/>
        <s v="$6,654.14"/>
        <s v="$8,639.19"/>
        <s v="$6,397.05"/>
        <s v="$14,596.37"/>
        <s v="$7,712.91"/>
        <s v="$2,456.77"/>
        <s v="$1,435.27"/>
        <s v="$4,324.48"/>
        <s v="$2,207.76"/>
        <s v="$7,571.51"/>
        <s v="$7,189.76"/>
        <s v="$10,858.21"/>
        <s v="$6,524.65"/>
        <s v="$4,624.45"/>
        <s v="$1,961.82"/>
        <s v="$12,782.63"/>
        <s v="$4,928.30"/>
        <s v="$1,115.84"/>
        <s v="$5,346.62"/>
        <s v="$3,168.11"/>
        <s v="$9,007.92"/>
        <s v="$7,400.07"/>
        <s v="$1,420.22"/>
        <s v="$2,555.95"/>
        <s v="$4,059.65"/>
        <s v="$18,581.37"/>
        <s v="$8,813.58"/>
        <s v="$7,914.74"/>
        <s v="$2,787.72"/>
        <s v="$681.71"/>
        <s v="$6,827.53"/>
        <s v="$1,082.00"/>
        <s v="$2,966.98"/>
        <s v="$3,951.74"/>
        <s v="$3,151.23"/>
        <s v="$2,672.67"/>
        <s v="$1,742.37"/>
        <s v="$7,301.31"/>
        <s v="$6,322.14"/>
        <s v="$13,731.44"/>
        <s v="$4,051.88"/>
        <s v="$8,474.69"/>
        <s v="$9,426.56"/>
        <s v="$9,770.28"/>
        <s v="$14,234.61"/>
        <s v="$6,885.01"/>
        <s v="$14,687.62"/>
        <s v="$16,585.43"/>
        <s v="$17,415.67"/>
        <s v="$5,954.47"/>
        <s v="$4,179.91"/>
        <s v="$3,939.95"/>
        <s v="$791.19"/>
        <s v="$2,941.65"/>
        <s v="$12,476.68"/>
        <s v="$2,817.14"/>
        <s v="$2,411.52"/>
        <s v="$13,072.74"/>
        <s v="$6,790.41"/>
        <s v="$6,092.47"/>
        <s v="$7,185.50"/>
        <s v="$6,170.80"/>
        <s v="$1,945.05"/>
        <s v="$6,767.42"/>
        <s v="$3,911.69"/>
        <s v="$16,733.76"/>
        <s v="$3,916.92"/>
        <s v="$1,082.69"/>
        <s v="$4,822.33"/>
        <s v="$1,827.45"/>
        <s v="$1,142.41"/>
        <s v="$6,290.89"/>
        <s v="$5,616.01"/>
        <s v="$11,250.69"/>
        <s v="$2,799.42"/>
        <s v="$1,157.88"/>
        <s v="$7,049.32"/>
        <s v="$9,460.50"/>
        <s v="$4,173.73"/>
        <s v="$4,005.08"/>
        <s v="$4,650.58"/>
        <s v="$3,814.56"/>
        <s v="$6,321.35"/>
        <s v="$5,245.53"/>
        <s v="$12,998.67"/>
        <s v="$5,932.12"/>
        <s v="$6,811.55"/>
        <s v="$21,381.14"/>
        <s v="$8,423.36"/>
        <s v="$7,951.43"/>
        <s v="$18,389.10"/>
        <s v="$6,555.46"/>
        <s v="$5,129.71"/>
        <s v="$2,399.02"/>
        <s v="$6,096.53"/>
        <s v="$8,134.67"/>
        <s v="$9,969.65"/>
        <s v="$3,894.16"/>
        <s v="$11,533.35"/>
        <s v="$8,754.31"/>
        <s v="$5,475.65"/>
        <s v="$2,252.94"/>
        <s v="$278.78"/>
        <s v="$8,936.91"/>
        <s v="$2,010.22"/>
        <s v="$2,901.91"/>
        <s v="$9,231.31"/>
        <s v="$12,744.67"/>
        <s v="$1,436.97"/>
        <s v="$4,900.32"/>
        <s v="$8,263.11"/>
        <s v="$10,139.68"/>
        <s v="$132.68"/>
        <s v="$9,479.63"/>
        <s v="$3,114.84"/>
        <s v="$17,866.48"/>
        <s v="$4,651.03"/>
        <s v="$14,360.42"/>
        <s v="$2,595.52"/>
        <s v="$1,853.03"/>
        <s v="$1,392.99"/>
        <s v="$7,943.17"/>
        <s v="$5,552.79"/>
        <s v="$1,539.14"/>
        <s v="$9,117.77"/>
        <s v="$631.02"/>
        <s v="$4,486.37"/>
        <s v="$5,591.29"/>
        <s v="$2,662.54"/>
        <s v="$7,481.93"/>
        <s v="$7,418.41"/>
        <s v="$1,969.06"/>
        <s v="$7,197.75"/>
        <s v="$11,719.06"/>
        <s v="$2,755.14"/>
        <s v="$2,438.56"/>
        <s v="$7,661.86"/>
        <s v="$4,886.15"/>
        <s v="$3,572.26"/>
        <s v="$6,937.75"/>
        <s v="$1,941.25"/>
        <s v="$6,173.15"/>
        <s v="$3,105.45"/>
        <s v="$3,691.60"/>
        <s v="$3,950.65"/>
        <s v="$13,497.17"/>
        <s v="$4,389.23"/>
        <s v="$6,310.98"/>
        <s v="$9,693.37"/>
        <s v="$2,348.20"/>
        <s v="$3,516.72"/>
        <s v="$16,807.37"/>
        <s v="$1,736.59"/>
        <s v="$7,900.11"/>
        <s v="$4,016.89"/>
        <s v="$9,642.62"/>
        <s v="$773.70"/>
        <s v="$7,852.03"/>
        <s v="$1,649.57"/>
        <s v="$9,333.45"/>
        <s v="$1,540.11"/>
        <s v="$7,840.94"/>
        <s v="$17,102.97"/>
        <s v="$11,496.42"/>
        <s v="$3,072.89"/>
        <s v="$14,990.79"/>
        <s v="$3,170.18"/>
        <s v="$2,528.14"/>
        <s v="$8,551.60"/>
        <s v="$13,072.95"/>
        <s v="$11,987.26"/>
        <s v="$18,385.44"/>
        <s v="$14,028.40"/>
        <s v="$4,812.71"/>
        <s v="$11,963.91"/>
        <s v="$5,574.83"/>
        <s v="$9,205.15"/>
        <s v="$4,133.74"/>
        <s v="$1,312.23"/>
        <s v="$11,735.75"/>
        <s v="$7,650.76"/>
        <s v="$4,994.93"/>
        <s v="$890.78"/>
        <s v="$4,142.16"/>
        <s v="$7,308.24"/>
        <s v="$6,833.86"/>
        <s v="$8,878.27"/>
        <s v="$4,134.93"/>
        <s v="$6,641.89"/>
        <s v="$7,117.30"/>
        <s v="$11,815.59"/>
        <s v="$6,962.79"/>
        <s v="$11,786.42"/>
        <s v="$1,200.19"/>
        <s v="$10,791.08"/>
        <s v="$26,170.95"/>
        <s v="$2,987.81"/>
        <s v="$11,705.99"/>
        <s v="$5,256.03"/>
        <s v="$3,794.10"/>
        <s v="$9,655.30"/>
        <s v="$16,001.54"/>
        <s v="$1,386.10"/>
        <s v="$3,821.76"/>
        <s v="$15,722.43"/>
        <s v="$6,287.25"/>
        <s v="$9,831.97"/>
        <s v="$90.36"/>
        <s v="$3,799.50"/>
        <s v="$4,674.20"/>
        <s v="$4,011.83"/>
        <s v="$3,429.85"/>
        <s v="$4,920.68"/>
        <s v="$10,049.72"/>
        <s v="$8,485.10"/>
        <s v="$6,030.31"/>
        <s v="$13,331.77"/>
        <s v="$15,245.95"/>
        <s v="$11,618.55"/>
        <s v="$2,629.59"/>
        <s v="$10,089.49"/>
        <s v="$308.24"/>
        <s v="$7,978.76"/>
        <s v="$8.16"/>
        <s v="$3,303.13"/>
        <s v="$13,959.74"/>
        <s v="$4,251.42"/>
        <s v="$9,885.53"/>
        <s v="$12,864.47"/>
        <s v="$5,245.60"/>
        <s v="$14,345.50"/>
        <s v="$11,462.19"/>
        <s v="$11,667.94"/>
        <s v="$7,455.17"/>
        <s v="$7,203.64"/>
        <s v="$8,081.58"/>
        <s v="$2,055.40"/>
        <s v="$6,476.09"/>
        <s v="$17,490.08"/>
        <s v="$13,644.00"/>
        <s v="$2,930.46"/>
        <s v="$22,717.09"/>
        <s v="$9,471.72"/>
        <s v="$3,400.47"/>
        <s v="$10,696.21"/>
        <s v="$17,101.67"/>
        <s v="$18,936.88"/>
        <s v="$6,015.37"/>
        <s v="$7,623.58"/>
        <s v="$2,996.83"/>
        <s v="$1,718.97"/>
        <s v="$3,523.33"/>
        <s v="$1,092.36"/>
        <s v="$2,495.71"/>
        <s v="$813.41"/>
        <s v="$2,489.06"/>
        <s v="$5,701.35"/>
        <s v="$5,084.32"/>
        <s v="$15,789.48"/>
        <s v="$6,541.75"/>
        <s v="$11,409.11"/>
        <s v="$19,258.41"/>
        <s v="$5,074.86"/>
        <s v="$115.90"/>
        <s v="$2,797.19"/>
        <s v="$1,608.04"/>
        <s v="$2,960.99"/>
        <s v="$3,703.51"/>
        <s v="$5,679.57"/>
        <s v="$6,764.17"/>
        <s v="$1,108.85"/>
        <s v="$9,477.32"/>
        <s v="$5,301.93"/>
        <s v="$8,041.25"/>
        <s v="$3,716.17"/>
        <s v="$4,591.77"/>
        <s v="$1,928.33"/>
        <s v="$1,225.12"/>
        <s v="$11,326.55"/>
        <s v="$3,063.08"/>
        <s v="$7,093.33"/>
        <s v="$337.37"/>
        <s v="$3,764.59"/>
        <s v="$695.32"/>
        <s v="$14,609.99"/>
        <s v="$5,298.68"/>
        <s v="$4,552.30"/>
        <s v="$9,099.26"/>
        <s v="$603.97"/>
        <s v="$3,172.23"/>
        <s v="$4,737.32"/>
        <s v="$15,201.56"/>
        <s v="$7,912.62"/>
        <s v="$14,190.78"/>
        <s v="$9,327.08"/>
        <s v="$434.42"/>
        <s v="$1,497.58"/>
        <s v="$3,124.74"/>
        <s v="$2,356.21"/>
        <s v="$8,548.00"/>
        <s v="$12,094.34"/>
        <s v="$2,119.42"/>
        <s v="$3,038.32"/>
        <s v="$5,187.72"/>
        <s v="$5,384.52"/>
        <s v="$6,575.07"/>
        <s v="$6,350.37"/>
        <s v="$7,488.06"/>
        <s v="$6,997.57"/>
        <s v="$13,081.57"/>
        <s v="$5,964.72"/>
        <s v="$6,651.11"/>
        <s v="$2,606.11"/>
        <s v="$3,615.98"/>
        <s v="$3,658.27"/>
        <s v="$1,997.46"/>
        <s v="$3,618.67"/>
        <s v="$5,538.85"/>
        <s v="$1,382.49"/>
        <s v="$1,223.79"/>
        <s v="$8,043.29"/>
        <s v="$6,878.47"/>
        <s v="$9,420.22"/>
        <s v="$2,516.34"/>
        <s v="$4,334.75"/>
        <s v="$1,588.49"/>
        <s v="$8,959.38"/>
        <s v="$9,409.06"/>
        <s v="$3,315.64"/>
        <s v="$10,920.70"/>
        <s v="$7,605.55"/>
        <s v="$1,859.96"/>
        <s v="$1,743.87"/>
        <s v="$758.28"/>
        <s v="$125.37"/>
        <s v="$6,170.75"/>
        <s v="$6,867.13"/>
        <s v="$8,775.45"/>
        <s v="$10,422.84"/>
        <s v="$7,402.04"/>
        <s v="$2,498.04"/>
        <s v="$6,873.56"/>
        <s v="$2,015.93"/>
        <s v="$8,077.51"/>
        <s v="$11,149.46"/>
        <s v="$4,739.39"/>
        <s v="$1,844.54"/>
        <s v="$1,263.98"/>
        <s v="$7,527.84"/>
        <s v="$12,265.45"/>
        <s v="$17,662.05"/>
        <s v="$5,520.00"/>
        <s v="$10,712.76"/>
        <s v="$8,416.80"/>
        <s v="$9,986.05"/>
        <s v="$15,629.82"/>
        <s v="$6,224.33"/>
        <s v="$7,736.85"/>
        <s v="$4,860.75"/>
        <s v="$1,754.64"/>
        <s v="$897.13"/>
        <s v="$10,607.29"/>
        <s v="$10,772.00"/>
        <s v="$4,116.96"/>
        <s v="$5,185.36"/>
        <s v="$6,974.95"/>
        <s v="$99.50"/>
        <s v="$10,203.47"/>
        <s v="$5,081.52"/>
        <s v="$7,166.62"/>
        <s v="$7,026.54"/>
        <s v="$8,265.32"/>
        <s v="$1,516.19"/>
        <s v="$1,258.54"/>
        <s v="$3,506.38"/>
        <s v="$8,442.19"/>
        <s v="$11,000.85"/>
        <s v="$6,987.59"/>
        <s v="$3,735.00"/>
        <s v="$17,346.79"/>
        <s v="$16,517.20"/>
        <s v="$7,642.94"/>
        <s v="$10,337.23"/>
        <s v="$1,367.24"/>
        <s v="$570.58"/>
        <s v="$2,012.27"/>
        <s v="$1,469.24"/>
        <s v="$10,020.18"/>
        <s v="$1,914.65"/>
        <s v="$73.91"/>
        <s v="$2,794.33"/>
        <s v="$3,192.06"/>
        <s v="$2,447.37"/>
        <s v="$7,696.46"/>
        <s v="$14,731.55"/>
        <s v="$9,321.64"/>
        <s v="$18,473.63"/>
        <s v="$7,437.55"/>
        <s v="$14,581.33"/>
        <s v="$3,389.96"/>
        <s v="$3,968.38"/>
        <s v="$1,084.26"/>
        <s v="$20,690.20"/>
        <s v="$8,929.57"/>
        <s v="$15,497.27"/>
        <s v="$9,172.13"/>
        <s v="$6,093.61"/>
        <s v="$9,144.79"/>
        <s v="$5,902.91"/>
        <s v="$3,277.47"/>
        <s v="$9,759.53"/>
        <s v="$2,504.90"/>
        <s v="$1,527.99"/>
        <s v="$3,767.49"/>
        <s v="$9,452.18"/>
        <s v="$764.63"/>
        <s v="$2,432.75"/>
        <s v="$779.04"/>
        <s v="$5,050.53"/>
        <s v="$2,727.35"/>
        <s v="$9,089.21"/>
        <s v="$881.49"/>
        <s v="$227.55"/>
        <s v="$14,193.58"/>
        <s v="$7,459.88"/>
        <s v="$6,578.55"/>
        <s v="$8,975.44"/>
        <s v="$852.29"/>
        <s v="$1,955.20"/>
        <s v="$323.29"/>
        <s v="$542.39"/>
        <s v="$7,666.62"/>
        <s v="$1,826.32"/>
        <s v="$11,510.68"/>
        <s v="$12,263.85"/>
        <s v="$3,878.60"/>
        <s v="$8,328.52"/>
        <s v="$1,666.46"/>
        <s v="$1,754.11"/>
        <s v="$2,390.70"/>
        <s v="$8,546.72"/>
        <s v="$4,115.57"/>
        <s v="$787.38"/>
        <s v="$2,095.78"/>
        <s v="$5,220.80"/>
        <s v="$11,264.45"/>
        <s v="$5,477.33"/>
        <s v="$3,389.00"/>
        <s v="$11,559.52"/>
        <s v="$1,676.82"/>
        <s v="$437.48"/>
        <s v="$8,487.63"/>
        <s v="$71.99"/>
        <s v="$9,863.62"/>
        <s v="$3,468.53"/>
        <s v="$6,770.35"/>
        <s v="$564.14"/>
        <s v="$21,044.07"/>
        <s v="$677.38"/>
        <s v="$4,368.01"/>
        <s v="$9,866.20"/>
        <s v="$10,723.86"/>
        <s v="$5,443.42"/>
        <s v="$1,312.35"/>
        <s v="$8,471.68"/>
        <s v="$5,774.60"/>
        <s v="$3,780.02"/>
        <s v="$6,831.03"/>
        <s v="$4,834.51"/>
        <s v="$8,119.65"/>
        <s v="$4,811.88"/>
        <s v="$5,930.01"/>
        <s v="$3,040.05"/>
        <s v="$1,126.87"/>
        <s v="$6,051.65"/>
        <s v="$12,279.35"/>
        <s v="$7,091.66"/>
        <s v="$3,160.97"/>
        <s v="$1,408.28"/>
        <s v="$5,776.61"/>
        <s v="$4,890.59"/>
        <s v="$2,048.13"/>
        <s v="$4,590.46"/>
        <s v="$8,665.99"/>
        <s v="$2,202.46"/>
        <s v="$11,720.11"/>
        <s v="$7,884.86"/>
        <s v="$3,857.88"/>
        <s v="$10,123.96"/>
        <s v="$8,170.88"/>
        <s v="$19,390.61"/>
        <s v="$10,197.43"/>
        <s v="$5,188.18"/>
        <s v="$350.27"/>
        <s v="$3,766.32"/>
        <s v="$4,888.37"/>
        <s v="$5,230.36"/>
        <s v="$3,790.18"/>
        <s v="$302.18"/>
        <s v="$1,017.17"/>
        <s v="$241.36"/>
        <s v="$8,347.30"/>
        <s v="$6,291.74"/>
        <s v="$1,543.77"/>
        <s v="$9,744.50"/>
        <s v="$5,414.75"/>
        <s v="$1,898.07"/>
        <s v="$4,911.08"/>
        <s v="$11,293.17"/>
        <s v="$12,398.37"/>
        <s v="$1,508.57"/>
        <s v="$5,869.09"/>
        <s v="$2,770.47"/>
        <s v="$3,541.73"/>
        <s v="$7,624.41"/>
        <s v="$9,928.42"/>
        <s v="$7.67"/>
        <s v="$1,624.86"/>
        <s v="$6,301.56"/>
        <s v="$8,578.40"/>
        <s v="$5,573.57"/>
        <s v="$3,465.68"/>
        <s v="$1,245.91"/>
        <s v="$8,888.61"/>
        <s v="$5,931.82"/>
        <s v="$2,620.66"/>
        <s v="$1,284.37"/>
        <s v="$11,033.61"/>
        <s v="$2,413.05"/>
        <s v="$13,136.08"/>
        <s v="$14,297.82"/>
        <s v="$2,837.65"/>
        <s v="$7,496.03"/>
        <s v="$1,815.29"/>
        <s v="$8,250.03"/>
        <s v="$5,605.82"/>
        <s v="$1,563.39"/>
        <s v="$3,997.02"/>
        <s v="$3,284.22"/>
        <s v="$4,609.67"/>
        <s v="$9,412.06"/>
        <s v="$427.36"/>
        <s v="$19,449.02"/>
        <s v="$14,122.44"/>
        <s v="$2,257.14"/>
        <s v="$11,334.21"/>
        <s v="$7,865.93"/>
        <s v="$11,462.32"/>
        <s v="$6,154.53"/>
        <s v="$867.50"/>
        <s v="$9,056.10"/>
        <s v="$6,569.40"/>
        <s v="$7,431.00"/>
        <s v="$3,672.65"/>
        <s v="$6,464.80"/>
        <s v="$813.58"/>
        <s v="$7,301.81"/>
        <s v="$8,523.42"/>
        <s v="$3,822.64"/>
        <s v="$10,219.39"/>
        <s v="$5,798.43"/>
        <s v="$4,487.01"/>
        <s v="$17,237.67"/>
        <s v="$7,497.22"/>
        <s v="$3,034.06"/>
        <s v="$6,795.06"/>
        <s v="$4,273.09"/>
        <s v="$1,412.60"/>
        <s v="$9,852.89"/>
        <s v="$10,744.23"/>
        <s v="$1,213.63"/>
        <s v="$4,263.93"/>
        <s v="$13,808.46"/>
        <s v="$2,411.93"/>
        <s v="$14,603.41"/>
        <s v="$17,813.77"/>
        <s v="$14,346.28"/>
        <s v="$10,009.51"/>
        <s v="$494.27"/>
        <s v="$9,118.67"/>
        <s v="$1,751.26"/>
        <s v="$3,402.47"/>
        <s v="$6,841.28"/>
        <s v="$12,584.46"/>
        <s v="$14,291.30"/>
        <s v="$1,998.41"/>
        <s v="$9,558.06"/>
        <s v="$5,594.84"/>
        <s v="$16,520.75"/>
        <s v="$5,545.62"/>
        <s v="$8,260.58"/>
        <s v="$2,636.16"/>
        <s v="$8,285.38"/>
        <s v="$4,590.00"/>
        <s v="$13,189.14"/>
        <s v="$3,768.30"/>
        <s v="$7,962.71"/>
        <s v="$3,665.13"/>
        <s v="$334.81"/>
        <s v="$2,187.50"/>
        <s v="$18,481.73"/>
        <s v="$11,863.69"/>
        <s v="$4,332.41"/>
        <s v="$3,653.33"/>
        <s v="$7,023.94"/>
        <s v="$10,001.95"/>
        <s v="$16,460.65"/>
        <s v="$8,575.27"/>
        <s v="$12,191.42"/>
        <s v="$969.15"/>
        <s v="$6,498.96"/>
        <s v="$33.68"/>
        <s v="$7,640.61"/>
        <s v="$5,596.93"/>
        <s v="$2,639.55"/>
        <s v="$4,626.87"/>
        <s v="$1,900.09"/>
        <s v="$13,315.47"/>
        <s v="$6,359.09"/>
        <s v="$2,644.65"/>
        <s v="$4,879.55"/>
        <s v="$11,572.50"/>
        <s v="$15,626.93"/>
        <s v="$4,781.14"/>
        <s v="$11,793.40"/>
        <s v="$1,061.03"/>
        <s v="$2,499.92"/>
        <s v="$676.29"/>
        <s v="$1,886.06"/>
        <s v="$5,093.92"/>
        <s v="$1,018.80"/>
        <s v="$5,616.77"/>
        <s v="$10,461.82"/>
        <s v="$12,841.79"/>
        <s v="$6,723.42"/>
        <s v="$521.35"/>
        <s v="$3,106.11"/>
        <s v="$1,684.28"/>
        <s v="$11,226.14"/>
        <s v="$1,172.53"/>
        <s v="$3,917.13"/>
        <s v="$4,871.07"/>
        <s v="$9,306.64"/>
        <s v="$5,270.33"/>
        <s v="$14,722.35"/>
        <s v="$13,444.87"/>
        <s v="$14,885.97"/>
        <s v="$53.31"/>
        <s v="$11,767.94"/>
        <s v="$12,897.53"/>
        <s v="$3,867.62"/>
        <s v="$13,524.05"/>
        <s v="$2,319.10"/>
        <s v="$9,036.58"/>
        <s v="$8,905.53"/>
        <s v="$4,040.65"/>
        <s v="$2,204.17"/>
        <s v="$7,037.21"/>
        <s v="$12,285.41"/>
        <s v="$21,812.86"/>
        <s v="$6,707.97"/>
        <s v="$2,513.58"/>
        <s v="$11,491.21"/>
        <s v="$3,762.58"/>
        <s v="$5,158.01"/>
        <s v="$6,660.69"/>
        <s v="$4,786.05"/>
        <s v="$6,797.67"/>
        <s v="$782.24"/>
        <s v="$653.10"/>
        <s v="$4,768.88"/>
        <s v="$1,123.57"/>
        <s v="$16,435.38"/>
        <s v="$2,922.18"/>
        <s v="$12,123.84"/>
        <s v="$6,448.87"/>
        <s v="$2,587.61"/>
        <s v="$12,109.00"/>
        <s v="$4,482.33"/>
        <s v="$5,294.88"/>
        <s v="$5,512.57"/>
        <s v="$3,707.27"/>
        <s v="$7,899.01"/>
        <s v="$9,813.42"/>
        <s v="$2,845.74"/>
        <s v="$2,941.72"/>
        <s v="$1,969.62"/>
        <s v="$339.64"/>
        <s v="$8,818.17"/>
        <s v="$6,829.86"/>
        <s v="$1,370.19"/>
        <s v="$7,731.47"/>
        <s v="$2,757.16"/>
        <s v="$70.19"/>
        <s v="$10,817.45"/>
        <s v="$11,595.41"/>
        <s v="$1,375.22"/>
        <s v="$503.52"/>
        <s v="$1,135.16"/>
        <s v="$4,375.45"/>
        <s v="$536.74"/>
        <s v="$2,702.08"/>
        <s v="$11,064.27"/>
        <s v="$8,861.83"/>
        <s v="$564.67"/>
        <s v="$5,267.69"/>
        <s v="$8,698.47"/>
        <s v="$6,025.60"/>
        <s v="$7,032.54"/>
        <s v="$1,572.79"/>
        <s v="$857.34"/>
        <s v="$4,899.47"/>
        <s v="$2,924.06"/>
        <s v="$730.06"/>
        <s v="$1,348.05"/>
        <s v="$8,561.59"/>
        <s v="$7,326.91"/>
        <s v="$8,196.93"/>
        <s v="$17,841.92"/>
        <s v="$4,285.13"/>
        <s v="$4,196.23"/>
        <s v="$6,409.31"/>
        <s v="$3,010.07"/>
        <s v="$567.91"/>
        <s v="$6,948.79"/>
        <s v="$1,009.28"/>
        <s v="$12,049.05"/>
        <s v="$6,969.38"/>
        <s v="$10,257.74"/>
        <s v="$7,220.35"/>
        <s v="$783.35"/>
        <s v="$9,434.44"/>
        <s v="$12,755.99"/>
        <s v="$807.26"/>
        <s v="$13,541.21"/>
        <s v="$9,976.22"/>
        <s v="$9,152.72"/>
        <s v="$9,251.37"/>
        <s v="$3,634.26"/>
        <s v="$352.51"/>
        <s v="$5,303.58"/>
        <s v="$7,339.32"/>
        <s v="$616.09"/>
        <s v="$2,504.62"/>
        <s v="$5,915.87"/>
      </sharedItems>
    </cacheField>
    <cacheField name="Clean Amount" numFmtId="164">
      <sharedItems containsSemiMixedTypes="0" containsString="0" containsNumber="1" minValue="7" maxValue="26170.95" count="3013">
        <n v="5320"/>
        <n v="7896"/>
        <n v="4501"/>
        <n v="12726"/>
        <n v="13685"/>
        <n v="5376"/>
        <n v="3080"/>
        <n v="3990"/>
        <n v="2835"/>
        <n v="4704"/>
        <n v="3703"/>
        <n v="1442"/>
        <n v="168"/>
        <n v="8379"/>
        <n v="6790"/>
        <n v="4067"/>
        <n v="3017"/>
        <n v="8799"/>
        <n v="1085"/>
        <n v="6888"/>
        <n v="1267"/>
        <n v="4753"/>
        <n v="3003"/>
        <n v="7672"/>
        <n v="1652"/>
        <n v="4025"/>
        <n v="9492"/>
        <n v="5061"/>
        <n v="1722"/>
        <n v="12446"/>
        <n v="4284"/>
        <n v="6839"/>
        <n v="2163"/>
        <n v="9583"/>
        <n v="2653"/>
        <n v="147"/>
        <n v="3654"/>
        <n v="2443"/>
        <n v="938"/>
        <n v="14749"/>
        <n v="4781"/>
        <n v="6307"/>
        <n v="7602"/>
        <n v="9737"/>
        <n v="6979"/>
        <n v="4382"/>
        <n v="5243"/>
        <n v="4865"/>
        <n v="8575"/>
        <n v="91"/>
        <n v="14798"/>
        <n v="2205"/>
        <n v="441"/>
        <n v="3556"/>
        <n v="16793"/>
        <n v="15421"/>
        <n v="4438"/>
        <n v="1603"/>
        <n v="273"/>
        <n v="3073"/>
        <n v="6090"/>
        <n v="10255"/>
        <n v="2030"/>
        <n v="19453"/>
        <n v="9275"/>
        <n v="6181"/>
        <n v="9037"/>
        <n v="12313"/>
        <n v="5642"/>
        <n v="2800"/>
        <n v="959"/>
        <n v="2002"/>
        <n v="609"/>
        <n v="1274"/>
        <n v="7595"/>
        <n v="4725"/>
        <n v="9681"/>
        <n v="14504"/>
        <n v="280"/>
        <n v="63"/>
        <n v="8001"/>
        <n v="4032"/>
        <n v="5859"/>
        <n v="11095"/>
        <n v="7182"/>
        <n v="6881"/>
        <n v="7154"/>
        <n v="6188"/>
        <n v="4221"/>
        <n v="630"/>
        <n v="1743"/>
        <n v="2919"/>
        <n v="49"/>
        <n v="1827"/>
        <n v="13006"/>
        <n v="1064"/>
        <n v="11571"/>
        <n v="5740"/>
        <n v="1456"/>
        <n v="5334"/>
        <n v="4151"/>
        <n v="8106"/>
        <n v="126"/>
        <n v="4697"/>
        <n v="7798"/>
        <n v="9408"/>
        <n v="1939"/>
        <n v="10906"/>
        <n v="5929"/>
        <n v="5579"/>
        <n v="10927"/>
        <n v="623"/>
        <n v="6013"/>
        <n v="1505"/>
        <n v="476"/>
        <n v="11550"/>
        <n v="17318"/>
        <n v="1848"/>
        <n v="7273"/>
        <n v="854"/>
        <n v="6832"/>
        <n v="4606"/>
        <n v="4466"/>
        <n v="16114"/>
        <n v="1561"/>
        <n v="8897"/>
        <n v="2464"/>
        <n v="4830"/>
        <n v="2765"/>
        <n v="7126"/>
        <n v="4263"/>
        <n v="3605"/>
        <n v="19929"/>
        <n v="5103"/>
        <n v="2541"/>
        <n v="5663"/>
        <n v="392"/>
        <n v="10976"/>
        <n v="9282"/>
        <n v="8267"/>
        <n v="4116"/>
        <n v="2093"/>
        <n v="1015"/>
        <n v="12516"/>
        <n v="2758"/>
        <n v="3297"/>
        <n v="6048"/>
        <n v="10101"/>
        <n v="2282"/>
        <n v="4361"/>
        <n v="3052"/>
        <n v="8029"/>
        <n v="5460"/>
        <n v="8911"/>
        <n v="7203"/>
        <n v="13083"/>
        <n v="2779"/>
        <n v="9058"/>
        <n v="3549"/>
        <n v="9436"/>
        <n v="10283"/>
        <n v="5446"/>
        <n v="1043"/>
        <n v="12586"/>
        <n v="1687"/>
        <n v="5299"/>
        <n v="3213"/>
        <n v="5194"/>
        <n v="13706"/>
        <n v="6489"/>
        <n v="9324"/>
        <n v="10829"/>
        <n v="8113"/>
        <n v="3269"/>
        <n v="7287"/>
        <n v="2583"/>
        <n v="9982"/>
        <n v="4795"/>
        <n v="9310"/>
        <n v="497"/>
        <n v="581"/>
        <n v="3472"/>
        <n v="4333"/>
        <n v="3325"/>
        <n v="11718"/>
        <n v="2100"/>
        <n v="4018"/>
        <n v="6468"/>
        <n v="7238"/>
        <n v="6454"/>
        <n v="3115"/>
        <n v="6475"/>
        <n v="1162"/>
        <n v="14238"/>
        <n v="1428"/>
        <n v="8064"/>
        <n v="9660"/>
        <n v="7357"/>
        <n v="6055"/>
        <n v="5124"/>
        <n v="3479"/>
        <n v="784"/>
        <n v="18991"/>
        <n v="1372"/>
        <n v="735"/>
        <n v="6538"/>
        <n v="3199"/>
        <n v="4571"/>
        <n v="5481"/>
        <n v="3136"/>
        <n v="252"/>
        <n v="3395"/>
        <n v="14938"/>
        <n v="4053"/>
        <n v="5565"/>
        <n v="7161"/>
        <n v="8883"/>
        <n v="1351"/>
        <n v="3171"/>
        <n v="7910"/>
        <n v="3108"/>
        <n v="5075"/>
        <n v="378"/>
        <n v="7350"/>
        <n v="3388"/>
        <n v="11837"/>
        <n v="5425"/>
        <n v="3752"/>
        <n v="7728"/>
        <n v="2296"/>
        <n v="4403"/>
        <n v="3192"/>
        <n v="448"/>
        <n v="4270"/>
        <n v="70"/>
        <n v="6762"/>
        <n v="3745"/>
        <n v="2639"/>
        <n v="4389"/>
        <n v="2604"/>
        <n v="16569"/>
        <n v="14658"/>
        <n v="161"/>
        <n v="2807"/>
        <n v="13034"/>
        <n v="8484"/>
        <n v="2240"/>
        <n v="13447"/>
        <n v="9422"/>
        <n v="8687"/>
        <n v="2415"/>
        <n v="6272"/>
        <n v="3122"/>
        <n v="8043"/>
        <n v="11662"/>
        <n v="8925"/>
        <n v="7294"/>
        <n v="1526"/>
        <n v="2688"/>
        <n v="14889"/>
        <n v="2912"/>
        <n v="2632"/>
        <n v="6328"/>
        <n v="2527"/>
        <n v="1414"/>
        <n v="7714"/>
        <n v="4347"/>
        <n v="7490"/>
        <n v="2058"/>
        <n v="3640"/>
        <n v="455"/>
        <n v="10990"/>
        <n v="5558"/>
        <n v="1876"/>
        <n v="5523"/>
        <n v="11200"/>
        <n v="5593"/>
        <n v="7882"/>
        <n v="10241"/>
        <n v="1379"/>
        <n v="3010"/>
        <n v="1540"/>
        <n v="6916"/>
        <n v="1232"/>
        <n v="602"/>
        <n v="10185"/>
        <n v="2170"/>
        <n v="8673"/>
        <n v="4760"/>
        <n v="3374"/>
        <n v="420"/>
        <n v="2863"/>
        <n v="5936"/>
        <n v="889"/>
        <n v="16016"/>
        <n v="10479"/>
        <n v="1575"/>
        <n v="8197"/>
        <n v="840"/>
        <n v="5691"/>
        <n v="4193"/>
        <n v="9016"/>
        <n v="9870"/>
        <n v="2576"/>
        <n v="3178"/>
        <n v="4676"/>
        <n v="5502"/>
        <n v="7462"/>
        <n v="5803"/>
        <n v="13888"/>
        <n v="6867"/>
        <n v="2317"/>
        <n v="1218"/>
        <n v="4109"/>
        <n v="1953"/>
        <n v="6797"/>
        <n v="9226"/>
        <n v="5733"/>
        <n v="4312"/>
        <n v="1638"/>
        <n v="10815"/>
        <n v="987"/>
        <n v="4669"/>
        <n v="2905"/>
        <n v="6986"/>
        <n v="1288"/>
        <n v="2345"/>
        <n v="3619"/>
        <n v="16982"/>
        <n v="8092"/>
        <n v="6993"/>
        <n v="637"/>
        <n v="6034"/>
        <n v="980"/>
        <n v="2821"/>
        <n v="3563"/>
        <n v="2996"/>
        <n v="2436"/>
        <n v="5509"/>
        <n v="12992"/>
        <n v="3724"/>
        <n v="7133"/>
        <n v="8617"/>
        <n v="9198"/>
        <n v="11823"/>
        <n v="5775"/>
        <n v="13125"/>
        <n v="14287"/>
        <n v="16233"/>
        <n v="5313"/>
        <n v="3577"/>
        <n v="3528"/>
        <n v="679"/>
        <n v="2450"/>
        <n v="10577"/>
        <n v="2597"/>
        <n v="2219"/>
        <n v="11319"/>
        <n v="5978"/>
        <n v="5327"/>
        <n v="6020"/>
        <n v="5614"/>
        <n v="1736"/>
        <n v="6384"/>
        <n v="14539"/>
        <n v="3493"/>
        <n v="994"/>
        <n v="1554"/>
        <n v="966"/>
        <n v="4935"/>
        <n v="10024"/>
        <n v="2506"/>
        <n v="6524"/>
        <n v="8148"/>
        <n v="3948"/>
        <n v="5271"/>
        <n v="12327"/>
        <n v="6167"/>
        <n v="18340"/>
        <n v="7014"/>
        <n v="7119"/>
        <n v="15491"/>
        <n v="5747"/>
        <n v="4550"/>
        <n v="2191"/>
        <n v="7623"/>
        <n v="9023"/>
        <n v="3402"/>
        <n v="10507"/>
        <n v="7721"/>
        <n v="5033"/>
        <n v="1960"/>
        <n v="238"/>
        <n v="7756"/>
        <n v="2660"/>
        <n v="11564"/>
        <n v="1365"/>
        <n v="4186"/>
        <n v="7406"/>
        <n v="112"/>
        <n v="8204"/>
        <n v="2611"/>
        <n v="15652"/>
        <n v="4074"/>
        <n v="12250"/>
        <n v="2366"/>
        <n v="6965"/>
        <n v="5292"/>
        <n v="588"/>
        <n v="4046"/>
        <n v="7042"/>
        <n v="6713"/>
        <n v="6440"/>
        <n v="10885"/>
        <n v="2387"/>
        <n v="6678"/>
        <n v="4515"/>
        <n v="5852"/>
        <n v="1750"/>
        <n v="5782"/>
        <n v="2870"/>
        <n v="3094"/>
        <n v="12761"/>
        <n v="3696"/>
        <n v="5222"/>
        <n v="8939"/>
        <n v="2156"/>
        <n v="2380"/>
        <n v="3339"/>
        <n v="14980"/>
        <n v="1512"/>
        <n v="6657"/>
        <n v="3836"/>
        <n v="8771"/>
        <n v="651"/>
        <n v="6706"/>
        <n v="1421"/>
        <n v="8526"/>
        <n v="1435"/>
        <n v="7434"/>
        <n v="15316"/>
        <n v="2751"/>
        <n v="2786"/>
        <n v="2303"/>
        <n v="12271"/>
        <n v="11298"/>
        <n v="15855"/>
        <n v="12404"/>
        <n v="10808"/>
        <n v="4858"/>
        <n v="7742"/>
        <n v="10983"/>
        <n v="6769"/>
        <n v="777"/>
        <n v="3843"/>
        <n v="6930"/>
        <n v="8393"/>
        <n v="3822"/>
        <n v="6342"/>
        <n v="6510"/>
        <n v="10171"/>
        <n v="5908"/>
        <n v="10164"/>
        <n v="9716"/>
        <n v="22050"/>
        <n v="9989"/>
        <n v="4739"/>
        <n v="3185"/>
        <n v="8225"/>
        <n v="14301"/>
        <n v="1316"/>
        <n v="3486"/>
        <n v="13930"/>
        <n v="8470"/>
        <n v="77"/>
        <n v="3381"/>
        <n v="4102"/>
        <n v="2975"/>
        <n v="4137"/>
        <n v="9541"/>
        <n v="5152"/>
        <n v="11116"/>
        <n v="13076"/>
        <n v="10213"/>
        <n v="2485"/>
        <n v="8715"/>
        <n v="7"/>
        <n v="8904"/>
        <n v="4396"/>
        <n v="12068"/>
        <n v="9772"/>
        <n v="10458"/>
        <n v="6426"/>
        <n v="7504"/>
        <n v="5439"/>
        <n v="15547"/>
        <n v="11956"/>
        <n v="2723"/>
        <n v="19327"/>
        <n v="8848"/>
        <n v="14336"/>
        <n v="16401"/>
        <n v="5173"/>
        <n v="2534"/>
        <n v="910"/>
        <n v="2331"/>
        <n v="2086"/>
        <n v="5012"/>
        <n v="13482"/>
        <n v="5621"/>
        <n v="10486"/>
        <n v="17626"/>
        <n v="4494"/>
        <n v="105"/>
        <n v="3220"/>
        <n v="4802"/>
        <n v="5677"/>
        <n v="945"/>
        <n v="8757"/>
        <n v="4816"/>
        <n v="7532"/>
        <n v="4340"/>
        <n v="1799"/>
        <n v="1127"/>
        <n v="10038"/>
        <n v="2926"/>
        <n v="6279"/>
        <n v="308"/>
        <n v="3500"/>
        <n v="658"/>
        <n v="12565"/>
        <n v="3955"/>
        <n v="8512"/>
        <n v="504"/>
        <n v="4256"/>
        <n v="13573"/>
        <n v="6566"/>
        <n v="13503"/>
        <n v="8680"/>
        <n v="385"/>
        <n v="2961"/>
        <n v="1981"/>
        <n v="7959"/>
        <n v="10794"/>
        <n v="1897"/>
        <n v="2744"/>
        <n v="5474"/>
        <n v="6069"/>
        <n v="6944"/>
        <n v="12173"/>
        <n v="5705"/>
        <n v="2492"/>
        <n v="3024"/>
        <n v="3437"/>
        <n v="1869"/>
        <n v="1225"/>
        <n v="1155"/>
        <n v="6811"/>
        <n v="6433"/>
        <n v="8169"/>
        <n v="2275"/>
        <n v="3857"/>
        <n v="1463"/>
        <n v="7924"/>
        <n v="2898"/>
        <n v="9506"/>
        <n v="7175"/>
        <n v="1729"/>
        <n v="1589"/>
        <n v="5187"/>
        <n v="6223"/>
        <n v="9457"/>
        <n v="2107"/>
        <n v="1862"/>
        <n v="6972"/>
        <n v="10220"/>
        <n v="3969"/>
        <n v="1547"/>
        <n v="10633"/>
        <n v="15057"/>
        <n v="9338"/>
        <n v="14525"/>
        <n v="5810"/>
        <n v="1582"/>
        <n v="791"/>
        <n v="9100"/>
        <n v="9884"/>
        <n v="3780"/>
        <n v="4557"/>
        <n v="5796"/>
        <n v="84"/>
        <n v="4746"/>
        <n v="6237"/>
        <n v="7483"/>
        <n v="1309"/>
        <n v="2989"/>
        <n v="9625"/>
        <n v="10031"/>
        <n v="6587"/>
        <n v="3311"/>
        <n v="15330"/>
        <n v="14028"/>
        <n v="8624"/>
        <n v="1197"/>
        <n v="483"/>
        <n v="9534"/>
        <n v="1694"/>
        <n v="2933"/>
        <n v="2044"/>
        <n v="12656"/>
        <n v="8722"/>
        <n v="15750"/>
        <n v="19481"/>
        <n v="8099"/>
        <n v="13727"/>
        <n v="8659"/>
        <n v="8463"/>
        <n v="4914"/>
        <n v="3087"/>
        <n v="9205"/>
        <n v="1358"/>
        <n v="8498"/>
        <n v="700"/>
        <n v="644"/>
        <n v="826"/>
        <n v="203"/>
        <n v="13356"/>
        <n v="5894"/>
        <n v="1617"/>
        <n v="10822"/>
        <n v="10724"/>
        <n v="2016"/>
        <n v="7588"/>
        <n v="1904"/>
        <n v="4844"/>
        <n v="4599"/>
        <n v="9744"/>
        <n v="1400"/>
        <n v="364"/>
        <n v="7231"/>
        <n v="8309"/>
        <n v="3164"/>
        <n v="490"/>
        <n v="18032"/>
        <n v="5131"/>
        <n v="1141"/>
        <n v="7980"/>
        <n v="5229"/>
        <n v="3423"/>
        <n v="4326"/>
        <n v="3997"/>
        <n v="5180"/>
        <n v="952"/>
        <n v="10969"/>
        <n v="5964"/>
        <n v="1302"/>
        <n v="4179"/>
        <n v="1946"/>
        <n v="4291"/>
        <n v="7196"/>
        <n v="10437"/>
        <n v="3647"/>
        <n v="8995"/>
        <n v="7252"/>
        <n v="16380"/>
        <n v="4522"/>
        <n v="329"/>
        <n v="3458"/>
        <n v="4641"/>
        <n v="4627"/>
        <n v="868"/>
        <n v="210"/>
        <n v="7007"/>
        <n v="5845"/>
        <n v="8428"/>
        <n v="4977"/>
        <n v="9527"/>
        <n v="10766"/>
        <n v="4879"/>
        <n v="2408"/>
        <n v="8981"/>
        <n v="5250"/>
        <n v="7560"/>
        <n v="3038"/>
        <n v="1099"/>
        <n v="7413"/>
        <n v="5397"/>
        <n v="10325"/>
        <n v="2149"/>
        <n v="12362"/>
        <n v="12635"/>
        <n v="7315"/>
        <n v="1393"/>
        <n v="8022"/>
        <n v="371"/>
        <n v="16702"/>
        <n v="13258"/>
        <n v="10192"/>
        <n v="7140"/>
        <n v="9835"/>
        <n v="749"/>
        <n v="7770"/>
        <n v="3507"/>
        <n v="5600"/>
        <n v="721"/>
        <n v="6615"/>
        <n v="7420"/>
        <n v="9114"/>
        <n v="5404"/>
        <n v="14924"/>
        <n v="7091"/>
        <n v="6496"/>
        <n v="3738"/>
        <n v="1190"/>
        <n v="9268"/>
        <n v="1029"/>
        <n v="12026"/>
        <n v="13405"/>
        <n v="14763"/>
        <n v="12894"/>
        <n v="8302"/>
        <n v="8183"/>
        <n v="1645"/>
        <n v="3143"/>
        <n v="5873"/>
        <n v="12425"/>
        <n v="1715"/>
        <n v="8190"/>
        <n v="4991"/>
        <n v="5096"/>
        <n v="7063"/>
        <n v="4200"/>
        <n v="11137"/>
        <n v="301"/>
        <n v="17465"/>
        <n v="10143"/>
        <n v="3626"/>
        <n v="3346"/>
        <n v="6321"/>
        <n v="9345"/>
        <n v="15008"/>
        <n v="7609"/>
        <n v="10332"/>
        <n v="819"/>
        <n v="5754"/>
        <n v="28"/>
        <n v="4956"/>
        <n v="2352"/>
        <n v="3906"/>
        <n v="1813"/>
        <n v="11788"/>
        <n v="5768"/>
        <n v="2401"/>
        <n v="10122"/>
        <n v="2268"/>
        <n v="574"/>
        <n v="1792"/>
        <n v="9107"/>
        <n v="12187"/>
        <n v="5670"/>
        <n v="2681"/>
        <n v="1533"/>
        <n v="9765"/>
        <n v="3318"/>
        <n v="4214"/>
        <n v="4690"/>
        <n v="13062"/>
        <n v="12488"/>
        <n v="14147"/>
        <n v="10199"/>
        <n v="11389"/>
        <n v="3584"/>
        <n v="12481"/>
        <n v="8603"/>
        <n v="6559"/>
        <n v="18697"/>
        <n v="10150"/>
        <n v="4592"/>
        <n v="4158"/>
        <n v="5684"/>
        <n v="693"/>
        <n v="546"/>
        <n v="1036"/>
        <n v="13846"/>
        <n v="2499"/>
        <n v="10689"/>
        <n v="2226"/>
        <n v="10262"/>
        <n v="3864"/>
        <n v="4900"/>
        <n v="8155"/>
        <n v="2478"/>
        <n v="2471"/>
        <n v="1666"/>
        <n v="8400"/>
        <n v="6139"/>
        <n v="7077"/>
        <n v="9954"/>
        <n v="1260"/>
        <n v="469"/>
        <n v="973"/>
        <n v="2520"/>
        <n v="10500"/>
        <n v="7952"/>
        <n v="4872"/>
        <n v="6594"/>
        <n v="1470"/>
        <n v="2674"/>
        <n v="7364"/>
        <n v="6818"/>
        <n v="6776"/>
        <n v="15099"/>
        <n v="3612"/>
        <n v="3710"/>
        <n v="6111"/>
        <n v="2702"/>
        <n v="5887"/>
        <n v="10647"/>
        <n v="8589"/>
        <n v="11781"/>
        <n v="672"/>
        <n v="12558"/>
        <n v="8337"/>
        <n v="8134"/>
        <n v="8491"/>
        <n v="3066"/>
        <n v="4410"/>
        <n v="5902.13"/>
        <n v="8074.39"/>
        <n v="4666.18"/>
        <n v="14103.4"/>
        <n v="14167.84"/>
        <n v="5768.75"/>
        <n v="14673.2"/>
        <n v="3249.23"/>
        <n v="4526.24"/>
        <n v="3166.56"/>
        <n v="4866.3900000000003"/>
        <n v="4254.37"/>
        <n v="1652.61"/>
        <n v="171.49"/>
        <n v="8549.84"/>
        <n v="7807.74"/>
        <n v="4561.43"/>
        <n v="3041.12"/>
        <n v="9786.09"/>
        <n v="1131.25"/>
        <n v="7484.07"/>
        <n v="1339.61"/>
        <n v="5481.18"/>
        <n v="3275.4"/>
        <n v="7677.78"/>
        <n v="189.37"/>
        <n v="1658.79"/>
        <n v="4168.93"/>
        <n v="10604.89"/>
        <n v="5773.51"/>
        <n v="1838.78"/>
        <n v="12643.1"/>
        <n v="4439.5200000000004"/>
        <n v="7698.6"/>
        <n v="2222.3000000000002"/>
        <n v="10959.02"/>
        <n v="2854.85"/>
        <n v="147.82"/>
        <n v="3790.51"/>
        <n v="2487.19"/>
        <n v="1021.27"/>
        <n v="15370.06"/>
        <n v="5345.58"/>
        <n v="6559.44"/>
        <n v="8282.93"/>
        <n v="6981.4"/>
        <n v="10280.17"/>
        <n v="7703.62"/>
        <n v="4489.8100000000004"/>
        <n v="5806.11"/>
        <n v="5148.7"/>
        <n v="8558.59"/>
        <n v="94.19"/>
        <n v="16223.83"/>
        <n v="2439.06"/>
        <n v="466.65"/>
        <n v="4044.24"/>
        <n v="17675.28"/>
        <n v="17280.98"/>
        <n v="5091.78"/>
        <n v="1657.2"/>
        <n v="305.79000000000002"/>
        <n v="3377.41"/>
        <n v="6188.62"/>
        <n v="10914.36"/>
        <n v="2342.0700000000002"/>
        <n v="21762.799999999999"/>
        <n v="10539.54"/>
        <n v="6665.87"/>
        <n v="9605.11"/>
        <n v="13018"/>
        <n v="6046.4"/>
        <n v="3078.33"/>
        <n v="970.96"/>
        <n v="2064.71"/>
        <n v="679.94"/>
        <n v="1311.25"/>
        <n v="8692.64"/>
        <n v="4993.21"/>
        <n v="10898.19"/>
        <n v="15565.91"/>
        <n v="280.58999999999997"/>
        <n v="66.349999999999994"/>
        <n v="8766.4500000000007"/>
        <n v="4265.4799999999996"/>
        <n v="6087.53"/>
        <n v="11694.48"/>
        <n v="7616.38"/>
        <n v="7807.02"/>
        <n v="7990.91"/>
        <n v="6757.17"/>
        <n v="4409.21"/>
        <n v="722.25"/>
        <n v="1896.24"/>
        <n v="2966.83"/>
        <n v="51.29"/>
        <n v="1835.42"/>
        <n v="14592.11"/>
        <n v="1114.1300000000001"/>
        <n v="13051.75"/>
        <n v="5997.71"/>
        <n v="1588.28"/>
        <n v="5344.21"/>
        <n v="4646.91"/>
        <n v="8929.8799999999992"/>
        <n v="141.22999999999999"/>
        <n v="5068.99"/>
        <n v="8012.72"/>
        <n v="10587.71"/>
        <n v="2155.62"/>
        <n v="11010.43"/>
        <n v="6787.72"/>
        <n v="5715.07"/>
        <n v="12100.65"/>
        <n v="623.75"/>
        <n v="6528.42"/>
        <n v="1540.55"/>
        <n v="487.06"/>
        <n v="11630.38"/>
        <n v="17297.66"/>
        <n v="2043.55"/>
        <n v="8168.86"/>
        <n v="933.45"/>
        <n v="6826.32"/>
        <n v="5029.3500000000004"/>
        <n v="5143.49"/>
        <n v="16707.88"/>
        <n v="1558.87"/>
        <n v="9332.76"/>
        <n v="2673.47"/>
        <n v="4950.21"/>
        <n v="2919.11"/>
        <n v="8003.23"/>
        <n v="4902.78"/>
        <n v="4033.53"/>
        <n v="22751.18"/>
        <n v="5118.1099999999997"/>
        <n v="2835.9"/>
        <n v="5828.22"/>
        <n v="396.19"/>
        <n v="11226.5"/>
        <n v="10102.86"/>
        <n v="2084.86"/>
        <n v="8495.7900000000009"/>
        <n v="4248.34"/>
        <n v="2236.11"/>
        <n v="1124.27"/>
        <n v="12870.47"/>
        <n v="3017.66"/>
        <n v="3574.12"/>
        <n v="6249.31"/>
        <n v="10759.61"/>
        <n v="2508.0300000000002"/>
        <n v="4997.82"/>
        <n v="7901.09"/>
        <n v="3133.42"/>
        <n v="8320.2900000000009"/>
        <n v="909.93"/>
        <n v="5631.26"/>
        <n v="3283.44"/>
        <n v="9458.0300000000007"/>
        <n v="7726.25"/>
        <n v="14369.4"/>
        <n v="2829.57"/>
        <n v="9370.61"/>
        <n v="3651.49"/>
        <n v="10229.99"/>
        <n v="11596.89"/>
        <n v="5857.9"/>
        <n v="1177.6400000000001"/>
        <n v="12930.11"/>
        <n v="1732.04"/>
        <n v="5837.17"/>
        <n v="3424.66"/>
        <n v="5700.28"/>
        <n v="5094.4799999999996"/>
        <n v="14529.2"/>
        <n v="6761.28"/>
        <n v="10370.44"/>
        <n v="12450.24"/>
        <n v="8927.6299999999992"/>
        <n v="3438.7"/>
        <n v="299.70999999999998"/>
        <n v="7374.26"/>
        <n v="2775.87"/>
        <n v="9957.66"/>
        <n v="5064.88"/>
        <n v="9865.0499999999993"/>
        <n v="571.52"/>
        <n v="656.44"/>
        <n v="4008.93"/>
        <n v="4679.0600000000004"/>
        <n v="3446.84"/>
        <n v="11884.52"/>
        <n v="2167.19"/>
        <n v="4199.84"/>
        <n v="7358.7"/>
        <n v="7870.09"/>
        <n v="7454.25"/>
        <n v="3112.3"/>
        <n v="6901.22"/>
        <n v="1178"/>
        <n v="14953.83"/>
        <n v="3958.57"/>
        <n v="1639.01"/>
        <n v="8586.0400000000009"/>
        <n v="10000.219999999999"/>
        <n v="8448.39"/>
        <n v="6984.74"/>
        <n v="5641.54"/>
        <n v="3850.87"/>
        <n v="885.68"/>
        <n v="21251.67"/>
        <n v="1452.61"/>
        <n v="793.17"/>
        <n v="7152.22"/>
        <n v="3364.44"/>
        <n v="3470.6"/>
        <n v="4676.32"/>
        <n v="6323.45"/>
        <n v="3252.7"/>
        <n v="254.16"/>
        <n v="6127.37"/>
        <n v="3791.66"/>
        <n v="17059.689999999999"/>
        <n v="4154.4399999999996"/>
        <n v="6168.51"/>
        <n v="7984.45"/>
        <n v="9108.33"/>
        <n v="1511.51"/>
        <n v="3364.28"/>
        <n v="934.49"/>
        <n v="8895.7000000000007"/>
        <n v="9957.2000000000007"/>
        <n v="3359.18"/>
        <n v="5098.29"/>
        <n v="398.28"/>
        <n v="7473.14"/>
        <n v="3638.66"/>
        <n v="12507.08"/>
        <n v="2393.79"/>
        <n v="6136.99"/>
        <n v="1264.43"/>
        <n v="4101.26"/>
        <n v="8106.88"/>
        <n v="2456.1"/>
        <n v="4726.6000000000004"/>
        <n v="3482.73"/>
        <n v="467.19"/>
        <n v="4875.38"/>
        <n v="70.599999999999994"/>
        <n v="1835.22"/>
        <n v="7304.74"/>
        <n v="3967.85"/>
        <n v="2800.67"/>
        <n v="4474.5200000000004"/>
        <n v="2737.03"/>
        <n v="16717.259999999998"/>
        <n v="16112.73"/>
        <n v="6898"/>
        <n v="2151.04"/>
        <n v="172.51"/>
        <n v="2949.02"/>
        <n v="2790.72"/>
        <n v="5054.42"/>
        <n v="5418.75"/>
        <n v="14604.67"/>
        <n v="6668.93"/>
        <n v="9689.7000000000007"/>
        <n v="5026.8100000000004"/>
        <n v="2379.0100000000002"/>
        <n v="7770.55"/>
        <n v="1837.47"/>
        <n v="14625.75"/>
        <n v="10305.4"/>
        <n v="8798.99"/>
        <n v="2466.59"/>
        <n v="6564.2"/>
        <n v="4764.5600000000004"/>
        <n v="3172.08"/>
        <n v="8062"/>
        <n v="12382.41"/>
        <n v="413.6"/>
        <n v="10186.18"/>
        <n v="7936.84"/>
        <n v="1712.72"/>
        <n v="3088.98"/>
        <n v="14953.43"/>
        <n v="3219.13"/>
        <n v="2700.61"/>
        <n v="7219.96"/>
        <n v="2634.13"/>
        <n v="1630.95"/>
        <n v="8250.66"/>
        <n v="4849.3"/>
        <n v="7940.49"/>
        <n v="2106.9299999999998"/>
        <n v="3911.85"/>
        <n v="483.04"/>
        <n v="11380.7"/>
        <n v="6372.68"/>
        <n v="2714.76"/>
        <n v="2106.17"/>
        <n v="5805.24"/>
        <n v="12205.52"/>
        <n v="6318.7"/>
        <n v="8522.7999999999993"/>
        <n v="10315.879999999999"/>
        <n v="7262.12"/>
        <n v="1414.84"/>
        <n v="3067.9"/>
        <n v="7369.69"/>
        <n v="1775.18"/>
        <n v="7683.78"/>
        <n v="1412.22"/>
        <n v="607.08000000000004"/>
        <n v="11688.75"/>
        <n v="10275.549999999999"/>
        <n v="1788.1"/>
        <n v="2378.08"/>
        <n v="9545.0300000000007"/>
        <n v="4999.5200000000004"/>
        <n v="5312.5"/>
        <n v="3750.88"/>
        <n v="2375.7399999999998"/>
        <n v="7013.61"/>
        <n v="481.52"/>
        <n v="3136.92"/>
        <n v="6584.26"/>
        <n v="1024.77"/>
        <n v="17680.189999999999"/>
        <n v="10707.82"/>
        <n v="3019.09"/>
        <n v="1758.62"/>
        <n v="8385.3799999999992"/>
        <n v="4854.12"/>
        <n v="949.18"/>
        <n v="6047.05"/>
        <n v="3883.32"/>
        <n v="4382.07"/>
        <n v="9928.1"/>
        <n v="6315.53"/>
        <n v="10630.08"/>
        <n v="167.33"/>
        <n v="2690.14"/>
        <n v="3242.04"/>
        <n v="5363.69"/>
        <n v="6160.89"/>
        <n v="7968.23"/>
        <n v="6388.95"/>
        <n v="15840.74"/>
        <n v="7265.05"/>
        <n v="2342.4899999999998"/>
        <n v="1365.88"/>
        <n v="4437.46"/>
        <n v="2072.2399999999998"/>
        <n v="7091.81"/>
        <n v="7213.16"/>
        <n v="9672.76"/>
        <n v="5750.05"/>
        <n v="4641.29"/>
        <n v="1871.33"/>
        <n v="10843.46"/>
        <n v="5032.45"/>
        <n v="1106.3800000000001"/>
        <n v="4977.55"/>
        <n v="3210.14"/>
        <n v="7794.8"/>
        <n v="7613.37"/>
        <n v="1332.76"/>
        <n v="2587.7600000000002"/>
        <n v="3826.22"/>
        <n v="18687.87"/>
        <n v="8859.6299999999992"/>
        <n v="7299.4"/>
        <n v="2556.2600000000002"/>
        <n v="703.4"/>
        <n v="6421.18"/>
        <n v="1048.26"/>
        <n v="3099.14"/>
        <n v="3737.68"/>
        <n v="3086.89"/>
        <n v="2618.15"/>
        <n v="1643.45"/>
        <n v="7368.94"/>
        <n v="6082.19"/>
        <n v="14456.14"/>
        <n v="4173.3999999999996"/>
        <n v="7189.18"/>
        <n v="8962.9599999999991"/>
        <n v="10085.02"/>
        <n v="12073.18"/>
        <n v="6655.62"/>
        <n v="14193.67"/>
        <n v="15507.29"/>
        <n v="17383.080000000002"/>
        <n v="5912.59"/>
        <n v="4029.28"/>
        <n v="3563.09"/>
        <n v="773.73"/>
        <n v="2620.19"/>
        <n v="11426.56"/>
        <n v="2935.8"/>
        <n v="2431.5300000000002"/>
        <n v="11882.82"/>
        <n v="6297.06"/>
        <n v="5859.21"/>
        <n v="6276.91"/>
        <n v="5674.7"/>
        <n v="1960.1"/>
        <n v="6540.3"/>
        <n v="3818.21"/>
        <n v="14769.97"/>
        <n v="3687.44"/>
        <n v="1123.58"/>
        <n v="4612.08"/>
        <n v="1600.11"/>
        <n v="975.67"/>
        <n v="5487.3"/>
        <n v="4948.1499999999996"/>
        <n v="11460.08"/>
        <n v="2628.33"/>
        <n v="1044.3499999999999"/>
        <n v="7449.7"/>
        <n v="9315.64"/>
        <n v="3820.94"/>
        <n v="3782.83"/>
        <n v="4525.72"/>
        <n v="3730.79"/>
        <n v="6068.19"/>
        <n v="4944.46"/>
        <n v="12331.35"/>
        <n v="5290.76"/>
        <n v="6874.06"/>
        <n v="20402.169999999998"/>
        <n v="7923.1"/>
        <n v="8145.99"/>
        <n v="16253.25"/>
        <n v="5744.07"/>
        <n v="4908.71"/>
        <n v="2369.87"/>
        <n v="5973.24"/>
        <n v="8047.16"/>
        <n v="9656.56"/>
        <n v="3925.06"/>
        <n v="11682.62"/>
        <n v="7874.15"/>
        <n v="5061.37"/>
        <n v="2099.2399999999998"/>
        <n v="237.57"/>
        <n v="8829.77"/>
        <n v="1733.09"/>
        <n v="3047.18"/>
        <n v="8497.7199999999993"/>
        <n v="12557.56"/>
        <n v="1406.91"/>
        <n v="4496.32"/>
        <n v="8220.25"/>
        <n v="9588.0300000000007"/>
        <n v="114.82"/>
        <n v="8804.98"/>
        <n v="2900.61"/>
        <n v="16773.080000000002"/>
        <n v="4153.59"/>
        <n v="12571.07"/>
        <n v="2553.46"/>
        <n v="1888.94"/>
        <n v="1310.04"/>
        <n v="7805.9"/>
        <n v="6101.12"/>
        <n v="1425.81"/>
        <n v="8724.4"/>
        <n v="664.82"/>
        <n v="4351.3100000000004"/>
        <n v="5825.09"/>
        <n v="2418.9299999999998"/>
        <n v="7725.52"/>
        <n v="7144.08"/>
        <n v="2043.13"/>
        <n v="6526.01"/>
        <n v="11334.77"/>
        <n v="2492.67"/>
        <n v="2066.48"/>
        <n v="7009.01"/>
        <n v="4562.97"/>
        <n v="3442.99"/>
        <n v="6669.6"/>
        <n v="1902.47"/>
        <n v="6157.17"/>
        <n v="3012.68"/>
        <n v="3473.62"/>
        <n v="4129.9799999999996"/>
        <n v="14566.22"/>
        <n v="4049.61"/>
        <n v="5924.44"/>
        <n v="10100.950000000001"/>
        <n v="2362.0100000000002"/>
        <n v="2638.76"/>
        <n v="3496.41"/>
        <n v="17222.86"/>
        <n v="1604.87"/>
        <n v="7170.21"/>
        <n v="4090.16"/>
        <n v="9574.3799999999992"/>
        <n v="717.9"/>
        <n v="7734.54"/>
        <n v="1606.49"/>
        <n v="9170.09"/>
        <n v="1583.57"/>
        <n v="7684.52"/>
        <n v="16765.07"/>
        <n v="11796.63"/>
        <n v="2766.65"/>
        <n v="13232.74"/>
        <n v="2820.41"/>
        <n v="2483.3200000000002"/>
        <n v="9124.16"/>
        <n v="12728.16"/>
        <n v="12624.64"/>
        <n v="17584.16"/>
        <n v="13156.49"/>
        <n v="4164.1000000000004"/>
        <n v="11698.98"/>
        <n v="4964.25"/>
        <n v="8258.3700000000008"/>
        <n v="3938.2"/>
        <n v="1368.27"/>
        <n v="12449.46"/>
        <n v="7323.82"/>
        <n v="4560.8100000000004"/>
        <n v="777.46"/>
        <n v="3857.27"/>
        <n v="7442.69"/>
        <n v="5799.3"/>
        <n v="8836.9"/>
        <n v="4185"/>
        <n v="6984.06"/>
        <n v="7362.7"/>
        <n v="10338.27"/>
        <n v="6215.72"/>
        <n v="10400.66"/>
        <n v="1062.6099999999999"/>
        <n v="10095.709999999999"/>
        <n v="23251.68"/>
        <n v="2669.61"/>
        <n v="10265.969999999999"/>
        <n v="5423.54"/>
        <n v="3272.68"/>
        <n v="8840.59"/>
        <n v="14460.51"/>
        <n v="1461.99"/>
        <n v="3701.6"/>
        <n v="13951.32"/>
        <n v="5774.92"/>
        <n v="9718.8700000000008"/>
        <n v="87.52"/>
        <n v="3398.51"/>
        <n v="4371.7700000000004"/>
        <n v="3632.32"/>
        <n v="3343.85"/>
        <n v="4400.28"/>
        <n v="10802.13"/>
        <n v="9154.17"/>
        <n v="5360.89"/>
        <n v="11597.46"/>
        <n v="14939.24"/>
        <n v="10845.85"/>
        <n v="2832.78"/>
        <n v="8879.7199999999993"/>
        <n v="298.33999999999997"/>
        <n v="7799.51"/>
        <n v="8.0399999999999991"/>
        <n v="3212.35"/>
        <n v="12048.56"/>
        <n v="4499.6400000000003"/>
        <n v="9984.16"/>
        <n v="11867.83"/>
        <n v="4806.6499999999996"/>
        <n v="13420.93"/>
        <n v="10407.51"/>
        <n v="10849.39"/>
        <n v="7247.29"/>
        <n v="6387.65"/>
        <n v="8373.42"/>
        <n v="1887.19"/>
        <n v="6054.04"/>
        <n v="16254.61"/>
        <n v="13173.56"/>
        <n v="2721.46"/>
        <n v="19283.64"/>
        <n v="9327.52"/>
        <n v="3184.03"/>
        <n v="9738.74"/>
        <n v="16486.650000000001"/>
        <n v="16792.23"/>
        <n v="5752.62"/>
        <n v="6833.28"/>
        <n v="2815.72"/>
        <n v="1545.36"/>
        <n v="3432.73"/>
        <n v="1001.99"/>
        <n v="2494.19"/>
        <n v="770.25"/>
        <n v="2261.98"/>
        <n v="5667.58"/>
        <n v="4738.71"/>
        <n v="13661.89"/>
        <n v="6067.19"/>
        <n v="11720.99"/>
        <n v="19999.55"/>
        <n v="4484.03"/>
        <n v="107.24"/>
        <n v="2525.98"/>
        <n v="1577.84"/>
        <n v="2972.07"/>
        <n v="3691.63"/>
        <n v="5188.8900000000003"/>
        <n v="5766.51"/>
        <n v="1036.77"/>
        <n v="10033.52"/>
        <n v="5220.6899999999996"/>
        <n v="8106.62"/>
        <n v="3934.09"/>
        <n v="4508.93"/>
        <n v="1921.57"/>
        <n v="1161.31"/>
        <n v="11389.29"/>
        <n v="3032.3"/>
        <n v="6871.55"/>
        <n v="339.99"/>
        <n v="3720.22"/>
        <n v="731.19"/>
        <n v="13288.65"/>
        <n v="5332.79"/>
        <n v="3971.78"/>
        <n v="9538.2099999999991"/>
        <n v="547.85"/>
        <n v="2994.76"/>
        <n v="4451.38"/>
        <n v="14691.77"/>
        <n v="7042.98"/>
        <n v="15583"/>
        <n v="9059.82"/>
        <n v="430.59"/>
        <n v="1264.25"/>
        <n v="2995.47"/>
        <n v="2117.8200000000002"/>
        <n v="8081.79"/>
        <n v="11542.54"/>
        <n v="2183.6799999999998"/>
        <n v="3125.34"/>
        <n v="4891.8599999999997"/>
        <n v="4881.32"/>
        <n v="5917.62"/>
        <n v="6312.53"/>
        <n v="7956.28"/>
        <n v="5895.88"/>
        <n v="13535.7"/>
        <n v="5639.9"/>
        <n v="5813.44"/>
        <n v="2514.8200000000002"/>
        <n v="3044.01"/>
        <n v="3902.04"/>
        <n v="1928.74"/>
        <n v="3251.53"/>
        <n v="5031.9399999999996"/>
        <n v="1350.26"/>
        <n v="1187.71"/>
        <n v="7055.38"/>
        <n v="7231.89"/>
        <n v="9295.83"/>
        <n v="2276.94"/>
        <n v="4229.79"/>
        <n v="1640.53"/>
        <n v="8234.5"/>
        <n v="10087.040000000001"/>
        <n v="3169.26"/>
        <n v="10355.42"/>
        <n v="7772.63"/>
        <n v="1992.77"/>
        <n v="1815.56"/>
        <n v="727.11"/>
        <n v="114.96"/>
        <n v="5378.09"/>
        <n v="6707.63"/>
        <n v="8167.18"/>
        <n v="9950.14"/>
        <n v="7229.26"/>
        <n v="2260.21"/>
        <n v="6206.9"/>
        <n v="1889.83"/>
        <n v="7797.24"/>
        <n v="11644.92"/>
        <n v="4207.22"/>
        <n v="1683.88"/>
        <n v="1337.36"/>
        <n v="7147.04"/>
        <n v="12030.46"/>
        <n v="15844.58"/>
        <n v="5025.84"/>
        <n v="9902.0300000000007"/>
        <n v="7944.07"/>
        <n v="9523.65"/>
        <n v="16240.71"/>
        <n v="5891.94"/>
        <n v="6924.52"/>
        <n v="4552.57"/>
        <n v="1724.91"/>
        <n v="897.3"/>
        <n v="10283.9"/>
        <n v="10415.77"/>
        <n v="4220.83"/>
        <n v="4909.8599999999997"/>
        <n v="6549.62"/>
        <n v="88.72"/>
        <n v="9793.16"/>
        <n v="4823.6499999999996"/>
        <n v="7556.55"/>
        <n v="7082.03"/>
        <n v="8361.4699999999993"/>
        <n v="1310.5"/>
        <n v="1288.0999999999999"/>
        <n v="3288.29"/>
        <n v="10669.09"/>
        <n v="7361.93"/>
        <n v="10336.219999999999"/>
        <n v="6985.95"/>
        <n v="3394.46"/>
        <n v="15337.23"/>
        <n v="15925.17"/>
        <n v="7355.77"/>
        <n v="9489.27"/>
        <n v="1281.32"/>
        <n v="518.07000000000005"/>
        <n v="1933.56"/>
        <n v="1308.52"/>
        <n v="9878.5"/>
        <n v="1943.7"/>
        <n v="80.62"/>
        <n v="2678.37"/>
        <n v="2931.1"/>
        <n v="2316.09"/>
        <n v="6722.22"/>
        <n v="14528.51"/>
        <n v="9390.2800000000007"/>
        <n v="16230.41"/>
        <n v="7224.39"/>
        <n v="15567.58"/>
        <n v="2964.2"/>
        <n v="3357.08"/>
        <n v="1010.37"/>
        <n v="20470.43"/>
        <n v="8762.75"/>
        <n v="14613.52"/>
        <n v="9839.4599999999991"/>
        <n v="6633.23"/>
        <n v="9749.07"/>
        <n v="5254.38"/>
        <n v="3430.43"/>
        <n v="10454.549999999999"/>
        <n v="2413.87"/>
        <n v="1445.14"/>
        <n v="4022.64"/>
        <n v="8651.2000000000007"/>
        <n v="725.16"/>
        <n v="2385.4"/>
        <n v="726.04"/>
        <n v="4742.3500000000004"/>
        <n v="2556.96"/>
        <n v="8376.69"/>
        <n v="840.71"/>
        <n v="207.87"/>
        <n v="13370.34"/>
        <n v="6811.37"/>
        <n v="6096.52"/>
        <n v="8684.58"/>
        <n v="873.26"/>
        <n v="1912.66"/>
        <n v="321.61"/>
        <n v="511.12"/>
        <n v="7887.15"/>
        <n v="1793.67"/>
        <n v="12129.42"/>
        <n v="11749.75"/>
        <n v="3967.25"/>
        <n v="8105.37"/>
        <n v="1614.17"/>
        <n v="1613.3"/>
        <n v="2155.64"/>
        <n v="8184.37"/>
        <n v="3613.32"/>
        <n v="801.09"/>
        <n v="2069.48"/>
        <n v="5096.21"/>
        <n v="10573.5"/>
        <n v="4611.37"/>
        <n v="3288.77"/>
        <n v="10883.13"/>
        <n v="1516.56"/>
        <n v="391.33"/>
        <n v="7969.08"/>
        <n v="63.71"/>
        <n v="8832.33"/>
        <n v="3542.19"/>
        <n v="6052.07"/>
        <n v="543.20000000000005"/>
        <n v="18894.919999999998"/>
        <n v="689.4"/>
        <n v="4435.95"/>
        <n v="9111.34"/>
        <n v="10369.709999999999"/>
        <n v="5833.2"/>
        <n v="1229.96"/>
        <n v="8839.7199999999993"/>
        <n v="5747.66"/>
        <n v="3666.04"/>
        <n v="6853.82"/>
        <n v="4361.01"/>
        <n v="7686.15"/>
        <n v="4188.43"/>
        <n v="5425.24"/>
        <n v="2896.97"/>
        <n v="1071.31"/>
        <n v="6417.05"/>
        <n v="10967.31"/>
        <n v="6345.02"/>
        <n v="2824.71"/>
        <n v="1463.67"/>
        <n v="5856.52"/>
        <n v="4303.8599999999997"/>
        <n v="2047.77"/>
        <n v="4692.3599999999997"/>
        <n v="7302.42"/>
        <n v="2056.92"/>
        <n v="11032.79"/>
        <n v="7773.64"/>
        <n v="3843.01"/>
        <n v="9163.7900000000009"/>
        <n v="7628.59"/>
        <n v="18220.59"/>
        <n v="9828.94"/>
        <n v="4726.6499999999996"/>
        <n v="344.82"/>
        <n v="3451.24"/>
        <n v="5071.49"/>
        <n v="4719.38"/>
        <n v="3430.58"/>
        <n v="268.3"/>
        <n v="991.46"/>
        <n v="213.45"/>
        <n v="7586.38"/>
        <n v="6192.19"/>
        <n v="1510.58"/>
        <n v="8693.31"/>
        <n v="5509.77"/>
        <n v="1863.2"/>
        <n v="4822.5"/>
        <n v="10856.55"/>
        <n v="11252.11"/>
        <n v="1387.72"/>
        <n v="5509.22"/>
        <n v="2444.25"/>
        <n v="3175.62"/>
        <n v="7900.42"/>
        <n v="9072.4599999999991"/>
        <n v="8.06"/>
        <n v="1548.54"/>
        <n v="5501.67"/>
        <n v="7685.42"/>
        <n v="5147.7700000000004"/>
        <n v="3070.43"/>
        <n v="1127.5"/>
        <n v="8502.77"/>
        <n v="5961.02"/>
        <n v="2478.33"/>
        <n v="1269.56"/>
        <n v="11130.52"/>
        <n v="2455.09"/>
        <n v="12764.94"/>
        <n v="13351.42"/>
        <n v="2763.22"/>
        <n v="6523.34"/>
        <n v="1868.25"/>
        <n v="8431.83"/>
        <n v="5646.99"/>
        <n v="1484.67"/>
        <n v="3859.95"/>
        <n v="3237.3"/>
        <n v="4072.43"/>
        <n v="8054.87"/>
        <n v="420.3"/>
        <n v="17073.990000000002"/>
        <n v="13624.31"/>
        <n v="2318.46"/>
        <n v="10740.05"/>
        <n v="7624.67"/>
        <n v="10168.32"/>
        <n v="6635.15"/>
        <n v="860.12"/>
        <n v="8671.2099999999991"/>
        <n v="5534.11"/>
        <n v="6800.26"/>
        <n v="3927.83"/>
        <n v="5833.8"/>
        <n v="733.08"/>
        <n v="7164.51"/>
        <n v="7900.52"/>
        <n v="3550.76"/>
        <n v="10281.51"/>
        <n v="5936.81"/>
        <n v="4552.1499999999996"/>
        <n v="15944.86"/>
        <n v="7722.58"/>
        <n v="3105.38"/>
        <n v="6994.35"/>
        <n v="4264.49"/>
        <n v="1215.3"/>
        <n v="8519.3700000000008"/>
        <n v="9810.9500000000007"/>
        <n v="1065.6300000000001"/>
        <n v="3894.68"/>
        <n v="12194.27"/>
        <n v="2455.13"/>
        <n v="14887.76"/>
        <n v="15276.46"/>
        <n v="13520.48"/>
        <n v="9195.5300000000007"/>
        <n v="460.98"/>
        <n v="8216.56"/>
        <n v="1863.54"/>
        <n v="3283"/>
        <n v="5967.18"/>
        <n v="12083.5"/>
        <n v="12397.06"/>
        <n v="1746.01"/>
        <n v="9021.65"/>
        <n v="5263.45"/>
        <n v="15473"/>
        <n v="5566.57"/>
        <n v="8111.43"/>
        <n v="2341.8000000000002"/>
        <n v="8650.42"/>
        <n v="4444.72"/>
        <n v="12531.37"/>
        <n v="3558.89"/>
        <n v="7889.9"/>
        <n v="3589.18"/>
        <n v="305.39"/>
        <n v="1896.64"/>
        <n v="18494.72"/>
        <n v="11103.47"/>
        <n v="4162.28"/>
        <n v="3357.3"/>
        <n v="7033.52"/>
        <n v="9896.7999999999993"/>
        <n v="15653.44"/>
        <n v="7899.31"/>
        <n v="10644.74"/>
        <n v="872.83"/>
        <n v="6337.94"/>
        <n v="31.15"/>
        <n v="7107.55"/>
        <n v="5465.85"/>
        <n v="2462.14"/>
        <n v="4194.4399999999996"/>
        <n v="1994.44"/>
        <n v="12124.05"/>
        <n v="5884.09"/>
        <n v="2639.16"/>
        <n v="5031.3999999999996"/>
        <n v="11510.71"/>
        <n v="15021.98"/>
        <n v="4517.1899999999996"/>
        <n v="10778.53"/>
        <n v="1145.72"/>
        <n v="2518.5"/>
        <n v="596.63"/>
        <n v="1858.71"/>
        <n v="5194.28"/>
        <n v="960.69"/>
        <n v="5347.12"/>
        <n v="9805.11"/>
        <n v="13205.42"/>
        <n v="5929.2"/>
        <n v="516.91999999999996"/>
        <n v="2882.76"/>
        <n v="1637.72"/>
        <n v="10791.46"/>
        <n v="1093.46"/>
        <n v="3407.61"/>
        <n v="4753.93"/>
        <n v="8280.6200000000008"/>
        <n v="4981.78"/>
        <n v="13998.33"/>
        <n v="13105.65"/>
        <n v="15728.81"/>
        <n v="53.85"/>
        <n v="10857.23"/>
        <n v="12412.53"/>
        <n v="3669.15"/>
        <n v="13555.26"/>
        <n v="2333.84"/>
        <n v="8973.0499999999993"/>
        <n v="8610.3799999999992"/>
        <n v="3432.3"/>
        <n v="2283.39"/>
        <n v="7190.49"/>
        <n v="11303.07"/>
        <n v="18911.490000000002"/>
        <n v="6233.02"/>
        <n v="2334.5"/>
        <n v="11099.73"/>
        <n v="3590.55"/>
        <n v="5209.3999999999996"/>
        <n v="6315.14"/>
        <n v="4454.71"/>
        <n v="6078.71"/>
        <n v="695.96"/>
        <n v="563.76"/>
        <n v="4479.6899999999996"/>
        <n v="1093.72"/>
        <n v="15870.43"/>
        <n v="2529.8200000000002"/>
        <n v="11258.39"/>
        <n v="6180.45"/>
        <n v="2496.06"/>
        <n v="10964.29"/>
        <n v="4012.51"/>
        <n v="4919.25"/>
        <n v="5602.02"/>
        <n v="3563.87"/>
        <n v="8313.09"/>
        <n v="8447.48"/>
        <n v="2646.23"/>
        <n v="2706.83"/>
        <n v="1710.48"/>
        <n v="318.19"/>
        <n v="9479.65"/>
        <n v="6393.2"/>
        <n v="1355.65"/>
        <n v="7911.23"/>
        <n v="2583.0300000000002"/>
        <n v="66.13"/>
        <n v="10668.69"/>
        <n v="10994.3"/>
        <n v="1259.6099999999999"/>
        <n v="492.13"/>
        <n v="1016.77"/>
        <n v="4111.42"/>
        <n v="503.97"/>
        <n v="2883.71"/>
        <n v="11861.89"/>
        <n v="8564.73"/>
        <n v="538.03"/>
        <n v="5231.88"/>
        <n v="7916.13"/>
        <n v="6016.32"/>
        <n v="7504.86"/>
        <n v="1590.98"/>
        <n v="740.07"/>
        <n v="4591.1099999999997"/>
        <n v="2686.51"/>
        <n v="735.48"/>
        <n v="1160.54"/>
        <n v="8078.15"/>
        <n v="7467.74"/>
        <n v="7588.41"/>
        <n v="15372.54"/>
        <n v="3907.5"/>
        <n v="3740.76"/>
        <n v="6211.75"/>
        <n v="2924.46"/>
        <n v="501.79"/>
        <n v="6594.09"/>
        <n v="960.68"/>
        <n v="11370.32"/>
        <n v="6067.94"/>
        <n v="8909.75"/>
        <n v="6865.35"/>
        <n v="805.23"/>
        <n v="9851.6200000000008"/>
        <n v="11823.35"/>
        <n v="683.63"/>
        <n v="14002.42"/>
        <n v="8744.9500000000007"/>
        <n v="9294.14"/>
        <n v="8831.89"/>
        <n v="3474.98"/>
        <n v="311.61"/>
        <n v="4791.2"/>
        <n v="6646.33"/>
        <n v="593.63"/>
        <n v="2345.9499999999998"/>
        <n v="5083.07"/>
        <n v="6339.57"/>
        <n v="9005.8700000000008"/>
        <n v="5159.07"/>
        <n v="13370.97"/>
        <n v="14791.64"/>
        <n v="6429.35"/>
        <n v="15900.6"/>
        <n v="3400.26"/>
        <n v="4357.76"/>
        <n v="3356.17"/>
        <n v="5287.86"/>
        <n v="4244.3599999999997"/>
        <n v="1671.64"/>
        <n v="181.84"/>
        <n v="8950.59"/>
        <n v="7271.76"/>
        <n v="4864.83"/>
        <n v="3175.11"/>
        <n v="10137.790000000001"/>
        <n v="1206.95"/>
        <n v="8222.65"/>
        <n v="1440.85"/>
        <n v="5611.65"/>
        <n v="3562.44"/>
        <n v="8385.26"/>
        <n v="181.31"/>
        <n v="1800.27"/>
        <n v="4449.37"/>
        <n v="10113.4"/>
        <n v="5932.84"/>
        <n v="2006.71"/>
        <n v="14086.69"/>
        <n v="4799.54"/>
        <n v="8101.98"/>
        <n v="2321.9699999999998"/>
        <n v="10245"/>
        <n v="2930.4"/>
        <n v="170.24"/>
        <n v="4247.49"/>
        <n v="2696.1"/>
        <n v="1083.76"/>
        <n v="17037.09"/>
        <n v="5706.43"/>
        <n v="6682.34"/>
        <n v="8192.6"/>
        <n v="7568.16"/>
        <n v="10772.33"/>
        <n v="7467.12"/>
        <n v="4985.8999999999996"/>
        <n v="5693.6"/>
        <n v="5879.1"/>
        <n v="9771.93"/>
        <n v="105.06"/>
        <n v="16414.689999999999"/>
        <n v="2553.41"/>
        <n v="473.99"/>
        <n v="3873.98"/>
        <n v="17718.25"/>
        <n v="16572.07"/>
        <n v="5220.1899999999996"/>
        <n v="1797.26"/>
        <n v="295.62"/>
        <n v="3597.37"/>
        <n v="6580.43"/>
        <n v="12232.97"/>
        <n v="2243.44"/>
        <n v="22943.37"/>
        <n v="10590.61"/>
        <n v="6468.82"/>
        <n v="10463.57"/>
        <n v="14154.35"/>
        <n v="6031.14"/>
        <n v="3308.4"/>
        <n v="1119.94"/>
        <n v="2303.39"/>
        <n v="723.37"/>
        <n v="1413.64"/>
        <n v="9001.89"/>
        <n v="5283.91"/>
        <n v="10958.51"/>
        <n v="15531.78"/>
        <n v="317.36"/>
        <n v="71.41"/>
        <n v="9317.33"/>
        <n v="4790.71"/>
        <n v="6166.8"/>
        <n v="11741.46"/>
        <n v="8519.77"/>
        <n v="8278.86"/>
        <n v="7560.62"/>
        <n v="6702.11"/>
        <n v="4758.6899999999996"/>
        <n v="709.25"/>
        <n v="2003.05"/>
        <n v="3248"/>
        <n v="51.98"/>
        <n v="2134.65"/>
        <n v="15540.41"/>
        <n v="1117.77"/>
        <n v="13999.05"/>
        <n v="6265.59"/>
        <n v="1536.82"/>
        <n v="6069.93"/>
        <n v="4861.33"/>
        <n v="8993.24"/>
        <n v="150.41999999999999"/>
        <n v="5593.68"/>
        <n v="9376.61"/>
        <n v="11315.16"/>
        <n v="2048.34"/>
        <n v="12562.81"/>
        <n v="6883.75"/>
        <n v="6105.6"/>
        <n v="12634.72"/>
        <n v="663.74"/>
        <n v="7044.68"/>
        <n v="1804.9"/>
        <n v="513.42999999999995"/>
        <n v="13699.76"/>
        <n v="19995.68"/>
        <n v="2189.6999999999998"/>
        <n v="8727.09"/>
        <n v="911.46"/>
        <n v="7620.86"/>
        <n v="5054.5600000000004"/>
        <n v="5230.5"/>
        <n v="17104.04"/>
        <n v="1642.32"/>
        <n v="10322.19"/>
        <n v="2715.92"/>
        <n v="5598.05"/>
        <n v="2996.99"/>
        <n v="7946.49"/>
        <n v="4991.22"/>
        <n v="4151.7"/>
        <n v="22701.85"/>
        <n v="6014.3"/>
        <n v="2788.6"/>
        <n v="6503.75"/>
        <n v="433.92"/>
        <n v="12314.13"/>
        <n v="9876.86"/>
        <n v="2043.06"/>
        <n v="8728.7999999999993"/>
        <n v="4906.57"/>
        <n v="2278.06"/>
        <n v="1108.18"/>
        <n v="14957.65"/>
        <n v="3020.67"/>
        <n v="3677.47"/>
        <n v="6999.62"/>
        <n v="10901.65"/>
        <n v="2586.62"/>
        <n v="5077.5"/>
        <n v="8360.11"/>
        <n v="3566.77"/>
        <n v="9186.69"/>
        <n v="917.35"/>
        <n v="6199.12"/>
        <n v="3368.63"/>
        <n v="10527.23"/>
        <n v="7927.57"/>
        <n v="14493.5"/>
        <n v="3112.2"/>
        <n v="9617.64"/>
        <n v="4198.08"/>
        <n v="10927.22"/>
        <n v="10759.18"/>
        <n v="6250.42"/>
        <n v="1103.54"/>
        <n v="13435.98"/>
        <n v="1855.03"/>
        <n v="5799.09"/>
        <n v="3631.78"/>
        <n v="5461.43"/>
        <n v="5315.95"/>
        <n v="16059.94"/>
        <n v="7803.84"/>
        <n v="10751.19"/>
        <n v="12156.54"/>
        <n v="9402.26"/>
        <n v="3653.39"/>
        <n v="320.11"/>
        <n v="7618.91"/>
        <n v="2843.9"/>
        <n v="11946.4"/>
        <n v="5055.05"/>
        <n v="10378.36"/>
        <n v="595.16"/>
        <n v="639.95000000000005"/>
        <n v="3717.35"/>
        <n v="5057.1000000000004"/>
        <n v="3729.83"/>
        <n v="13786.87"/>
        <n v="2206.2800000000002"/>
        <n v="4672.25"/>
        <n v="7667.99"/>
        <n v="8338.51"/>
        <n v="7548.62"/>
        <n v="3608.83"/>
        <n v="7108.96"/>
        <n v="1293.02"/>
        <n v="15365.78"/>
        <n v="3766.49"/>
        <n v="1664.68"/>
        <n v="8972.7900000000009"/>
        <n v="10576.55"/>
        <n v="8857.15"/>
        <n v="6756.17"/>
        <n v="5532.85"/>
        <n v="3713.66"/>
        <n v="906.85"/>
        <n v="22558.880000000001"/>
        <n v="1517.05"/>
        <n v="770.45"/>
        <n v="7623.35"/>
        <n v="3418.05"/>
        <n v="4055.71"/>
        <n v="5432.84"/>
        <n v="6016.8"/>
        <n v="3609.76"/>
        <n v="302.25"/>
        <n v="6062.87"/>
        <n v="3589.91"/>
        <n v="16457.28"/>
        <n v="4813.53"/>
        <n v="5819.17"/>
        <n v="7824.91"/>
        <n v="9446.67"/>
        <n v="1447.58"/>
        <n v="3356.27"/>
        <n v="1031.25"/>
        <n v="9471.51"/>
        <n v="10573.29"/>
        <n v="3321.9"/>
        <n v="5318"/>
        <n v="415.67"/>
        <n v="8295.8799999999992"/>
        <n v="3857.25"/>
        <n v="14102.83"/>
        <n v="2453.44"/>
        <n v="5910.67"/>
        <n v="1515.42"/>
        <n v="4498.05"/>
        <n v="8755.31"/>
        <n v="2651.48"/>
        <n v="5119.3500000000004"/>
        <n v="3360.74"/>
        <n v="495.65"/>
        <n v="5108.8500000000004"/>
        <n v="77.099999999999994"/>
        <n v="1860.29"/>
        <n v="7917.76"/>
        <n v="4059.92"/>
        <n v="2816.85"/>
        <n v="5306.48"/>
        <n v="2756.63"/>
        <n v="17903.7"/>
        <n v="15825.08"/>
        <n v="7745.33"/>
        <n v="2214.91"/>
        <n v="190.24"/>
        <n v="2960"/>
        <n v="2937.62"/>
        <n v="4778.3599999999997"/>
        <n v="5401.01"/>
        <n v="15372.94"/>
        <n v="7121.02"/>
        <n v="9057.64"/>
        <n v="5439.43"/>
        <n v="2659.78"/>
        <n v="7897.59"/>
        <n v="1959.22"/>
        <n v="15305.32"/>
        <n v="11257.11"/>
        <n v="9207.09"/>
        <n v="2769.94"/>
        <n v="7477.56"/>
        <n v="5231.54"/>
        <n v="3745.21"/>
        <n v="8503.93"/>
        <n v="12524.3"/>
        <n v="472.27"/>
        <n v="9771.8700000000008"/>
        <n v="8130.06"/>
        <n v="1624.06"/>
        <n v="2984.4"/>
        <n v="15593.5"/>
        <n v="3387.76"/>
        <n v="2847.18"/>
        <n v="7511.77"/>
        <n v="2711.58"/>
        <n v="1673.44"/>
        <n v="8853.16"/>
        <n v="4722.3900000000003"/>
        <n v="8408.1200000000008"/>
        <n v="2442.36"/>
        <n v="4010.08"/>
        <n v="492.21"/>
        <n v="11650.88"/>
        <n v="6426.04"/>
        <n v="2665.28"/>
        <n v="2048.58"/>
        <n v="6267.19"/>
        <n v="12886.26"/>
        <n v="6143.64"/>
        <n v="8273.83"/>
        <n v="12163.59"/>
        <n v="7192.41"/>
        <n v="1452.94"/>
        <n v="3375.83"/>
        <n v="8328.7999999999993"/>
        <n v="1634.54"/>
        <n v="8265.41"/>
        <n v="1448.1"/>
        <n v="709.53"/>
        <n v="12197.19"/>
        <n v="10917.59"/>
        <n v="1679.89"/>
        <n v="2303.17"/>
        <n v="9261.26"/>
        <n v="5252.8"/>
        <n v="5385.55"/>
        <n v="3741.19"/>
        <n v="2223.4899999999998"/>
        <n v="7720.37"/>
        <n v="468.09"/>
        <n v="3083.39"/>
        <n v="6898.94"/>
        <n v="1036.05"/>
        <n v="17518.04"/>
        <n v="11691.86"/>
        <n v="3136.53"/>
        <n v="1677.71"/>
        <n v="8937.3700000000008"/>
        <n v="4761.38"/>
        <n v="942.02"/>
        <n v="6623.03"/>
        <n v="4067.36"/>
        <n v="4712.55"/>
        <n v="9571.2999999999993"/>
        <n v="6779.99"/>
        <n v="10772.46"/>
        <n v="189.34"/>
        <n v="3015.47"/>
        <n v="3538.27"/>
        <n v="5196.97"/>
        <n v="6654.14"/>
        <n v="8639.19"/>
        <n v="6397.05"/>
        <n v="14596.37"/>
        <n v="7712.91"/>
        <n v="2456.77"/>
        <n v="1435.27"/>
        <n v="4324.4799999999996"/>
        <n v="2207.7600000000002"/>
        <n v="7571.51"/>
        <n v="7189.76"/>
        <n v="10858.21"/>
        <n v="6524.65"/>
        <n v="4624.45"/>
        <n v="1961.82"/>
        <n v="12782.63"/>
        <n v="4928.3"/>
        <n v="1115.8399999999999"/>
        <n v="5346.62"/>
        <n v="3168.11"/>
        <n v="9007.92"/>
        <n v="7400.07"/>
        <n v="1420.22"/>
        <n v="2555.9499999999998"/>
        <n v="4059.65"/>
        <n v="18581.37"/>
        <n v="8813.58"/>
        <n v="7914.74"/>
        <n v="2787.72"/>
        <n v="681.71"/>
        <n v="6827.53"/>
        <n v="1082"/>
        <n v="2966.98"/>
        <n v="3951.74"/>
        <n v="3151.23"/>
        <n v="2672.67"/>
        <n v="1742.37"/>
        <n v="7301.31"/>
        <n v="6322.14"/>
        <n v="13731.44"/>
        <n v="4051.88"/>
        <n v="8474.69"/>
        <n v="9426.56"/>
        <n v="9770.2800000000007"/>
        <n v="14234.61"/>
        <n v="6885.01"/>
        <n v="14687.62"/>
        <n v="16585.43"/>
        <n v="17415.669999999998"/>
        <n v="5954.47"/>
        <n v="4179.91"/>
        <n v="3939.95"/>
        <n v="791.19"/>
        <n v="2941.65"/>
        <n v="12476.68"/>
        <n v="2817.14"/>
        <n v="2411.52"/>
        <n v="13072.74"/>
        <n v="6790.41"/>
        <n v="6092.47"/>
        <n v="7185.5"/>
        <n v="6170.8"/>
        <n v="1945.05"/>
        <n v="6767.42"/>
        <n v="3911.69"/>
        <n v="16733.759999999998"/>
        <n v="3916.92"/>
        <n v="1082.69"/>
        <n v="4822.33"/>
        <n v="1827.45"/>
        <n v="1142.4100000000001"/>
        <n v="6290.89"/>
        <n v="5616.01"/>
        <n v="11250.69"/>
        <n v="2799.42"/>
        <n v="1157.8800000000001"/>
        <n v="7049.32"/>
        <n v="9460.5"/>
        <n v="4173.7299999999996"/>
        <n v="4005.08"/>
        <n v="4650.58"/>
        <n v="3814.56"/>
        <n v="6321.35"/>
        <n v="5245.53"/>
        <n v="12998.67"/>
        <n v="5932.12"/>
        <n v="6811.55"/>
        <n v="21381.14"/>
        <n v="8423.36"/>
        <n v="7951.43"/>
        <n v="18389.099999999999"/>
        <n v="6555.46"/>
        <n v="5129.71"/>
        <n v="2399.02"/>
        <n v="6096.53"/>
        <n v="8134.67"/>
        <n v="9969.65"/>
        <n v="3894.16"/>
        <n v="11533.35"/>
        <n v="8754.31"/>
        <n v="5475.65"/>
        <n v="2252.94"/>
        <n v="278.77999999999997"/>
        <n v="8936.91"/>
        <n v="2010.22"/>
        <n v="2901.91"/>
        <n v="9231.31"/>
        <n v="12744.67"/>
        <n v="1436.97"/>
        <n v="4900.32"/>
        <n v="8263.11"/>
        <n v="10139.68"/>
        <n v="132.68"/>
        <n v="9479.6299999999992"/>
        <n v="3114.84"/>
        <n v="17866.48"/>
        <n v="4651.03"/>
        <n v="14360.42"/>
        <n v="2595.52"/>
        <n v="1853.03"/>
        <n v="1392.99"/>
        <n v="7943.17"/>
        <n v="5552.79"/>
        <n v="1539.14"/>
        <n v="9117.77"/>
        <n v="631.02"/>
        <n v="4486.37"/>
        <n v="5591.29"/>
        <n v="2662.54"/>
        <n v="7481.93"/>
        <n v="7418.41"/>
        <n v="1969.06"/>
        <n v="7197.75"/>
        <n v="11719.06"/>
        <n v="2755.14"/>
        <n v="2438.56"/>
        <n v="7661.86"/>
        <n v="4886.1499999999996"/>
        <n v="3572.26"/>
        <n v="6937.75"/>
        <n v="1941.25"/>
        <n v="6173.15"/>
        <n v="3105.45"/>
        <n v="3691.6"/>
        <n v="3950.65"/>
        <n v="13497.17"/>
        <n v="4389.2299999999996"/>
        <n v="6310.98"/>
        <n v="9693.3700000000008"/>
        <n v="2348.1999999999998"/>
        <n v="3516.72"/>
        <n v="16807.37"/>
        <n v="1736.59"/>
        <n v="7900.11"/>
        <n v="4016.89"/>
        <n v="9642.6200000000008"/>
        <n v="773.7"/>
        <n v="7852.03"/>
        <n v="1649.57"/>
        <n v="9333.4500000000007"/>
        <n v="1540.11"/>
        <n v="7840.94"/>
        <n v="17102.97"/>
        <n v="11496.42"/>
        <n v="3072.89"/>
        <n v="14990.79"/>
        <n v="3170.18"/>
        <n v="2528.14"/>
        <n v="8551.6"/>
        <n v="13072.95"/>
        <n v="11987.26"/>
        <n v="18385.439999999999"/>
        <n v="14028.4"/>
        <n v="4812.71"/>
        <n v="11963.91"/>
        <n v="5574.83"/>
        <n v="9205.15"/>
        <n v="4133.74"/>
        <n v="1312.23"/>
        <n v="11735.75"/>
        <n v="7650.76"/>
        <n v="4994.93"/>
        <n v="890.78"/>
        <n v="4142.16"/>
        <n v="7308.24"/>
        <n v="6833.86"/>
        <n v="8878.27"/>
        <n v="4134.93"/>
        <n v="6641.89"/>
        <n v="7117.3"/>
        <n v="11815.59"/>
        <n v="6962.79"/>
        <n v="11786.42"/>
        <n v="1200.19"/>
        <n v="10791.08"/>
        <n v="26170.95"/>
        <n v="2987.81"/>
        <n v="11705.99"/>
        <n v="5256.03"/>
        <n v="3794.1"/>
        <n v="9655.2999999999993"/>
        <n v="16001.54"/>
        <n v="1386.1"/>
        <n v="3821.76"/>
        <n v="15722.43"/>
        <n v="6287.25"/>
        <n v="9831.9699999999993"/>
        <n v="90.36"/>
        <n v="3799.5"/>
        <n v="4674.2"/>
        <n v="4011.83"/>
        <n v="3429.85"/>
        <n v="4920.68"/>
        <n v="10049.719999999999"/>
        <n v="8485.1"/>
        <n v="6030.31"/>
        <n v="13331.77"/>
        <n v="15245.95"/>
        <n v="11618.55"/>
        <n v="2629.59"/>
        <n v="10089.49"/>
        <n v="308.24"/>
        <n v="7978.76"/>
        <n v="8.16"/>
        <n v="3303.13"/>
        <n v="13959.74"/>
        <n v="4251.42"/>
        <n v="9885.5300000000007"/>
        <n v="12864.47"/>
        <n v="5245.6"/>
        <n v="14345.5"/>
        <n v="11462.19"/>
        <n v="11667.94"/>
        <n v="7455.17"/>
        <n v="7203.64"/>
        <n v="8081.58"/>
        <n v="2055.4"/>
        <n v="6476.09"/>
        <n v="17490.080000000002"/>
        <n v="13644"/>
        <n v="2930.46"/>
        <n v="22717.09"/>
        <n v="9471.7199999999993"/>
        <n v="3400.47"/>
        <n v="10696.21"/>
        <n v="17101.669999999998"/>
        <n v="18936.88"/>
        <n v="6015.37"/>
        <n v="7623.58"/>
        <n v="2996.83"/>
        <n v="1718.97"/>
        <n v="3523.33"/>
        <n v="1092.3599999999999"/>
        <n v="2495.71"/>
        <n v="813.41"/>
        <n v="2489.06"/>
        <n v="5701.35"/>
        <n v="5084.32"/>
        <n v="15789.48"/>
        <n v="6541.75"/>
        <n v="11409.11"/>
        <n v="19258.41"/>
        <n v="5074.8599999999997"/>
        <n v="115.9"/>
        <n v="2797.19"/>
        <n v="1608.04"/>
        <n v="2960.99"/>
        <n v="3703.51"/>
        <n v="5679.57"/>
        <n v="6764.17"/>
        <n v="1108.8499999999999"/>
        <n v="9477.32"/>
        <n v="5301.93"/>
        <n v="8041.25"/>
        <n v="3716.17"/>
        <n v="4591.7700000000004"/>
        <n v="1928.33"/>
        <n v="1225.1199999999999"/>
        <n v="11326.55"/>
        <n v="3063.08"/>
        <n v="7093.33"/>
        <n v="337.37"/>
        <n v="3764.59"/>
        <n v="695.32"/>
        <n v="14609.99"/>
        <n v="5298.68"/>
        <n v="4552.3"/>
        <n v="9099.26"/>
        <n v="603.97"/>
        <n v="3172.23"/>
        <n v="4737.32"/>
        <n v="15201.56"/>
        <n v="7912.62"/>
        <n v="14190.78"/>
        <n v="9327.08"/>
        <n v="434.42"/>
        <n v="1497.58"/>
        <n v="3124.74"/>
        <n v="2356.21"/>
        <n v="8548"/>
        <n v="12094.34"/>
        <n v="2119.42"/>
        <n v="3038.32"/>
        <n v="5187.72"/>
        <n v="5384.52"/>
        <n v="6575.07"/>
        <n v="6350.37"/>
        <n v="7488.06"/>
        <n v="6997.57"/>
        <n v="13081.57"/>
        <n v="5964.72"/>
        <n v="6651.11"/>
        <n v="2606.11"/>
        <n v="3615.98"/>
        <n v="3658.27"/>
        <n v="1997.46"/>
        <n v="3618.67"/>
        <n v="5538.85"/>
        <n v="1382.49"/>
        <n v="1223.79"/>
        <n v="8043.29"/>
        <n v="6878.47"/>
        <n v="9420.2199999999993"/>
        <n v="2516.34"/>
        <n v="4334.75"/>
        <n v="1588.49"/>
        <n v="8959.3799999999992"/>
        <n v="9409.06"/>
        <n v="3315.64"/>
        <n v="10920.7"/>
        <n v="7605.55"/>
        <n v="1859.96"/>
        <n v="1743.87"/>
        <n v="758.28"/>
        <n v="125.37"/>
        <n v="6170.75"/>
        <n v="6867.13"/>
        <n v="8775.4500000000007"/>
        <n v="10422.84"/>
        <n v="7402.04"/>
        <n v="2498.04"/>
        <n v="6873.56"/>
        <n v="2015.93"/>
        <n v="8077.51"/>
        <n v="11149.46"/>
        <n v="4739.3900000000003"/>
        <n v="1844.54"/>
        <n v="1263.98"/>
        <n v="7527.84"/>
        <n v="12265.45"/>
        <n v="17662.05"/>
        <n v="5520"/>
        <n v="10712.76"/>
        <n v="8416.7999999999993"/>
        <n v="9986.0499999999993"/>
        <n v="15629.82"/>
        <n v="6224.33"/>
        <n v="7736.85"/>
        <n v="4860.75"/>
        <n v="1754.64"/>
        <n v="897.13"/>
        <n v="10607.29"/>
        <n v="10772"/>
        <n v="4116.96"/>
        <n v="5185.3599999999997"/>
        <n v="6974.95"/>
        <n v="99.5"/>
        <n v="10203.469999999999"/>
        <n v="5081.5200000000004"/>
        <n v="7166.62"/>
        <n v="7026.54"/>
        <n v="8265.32"/>
        <n v="1516.19"/>
        <n v="1258.54"/>
        <n v="3506.38"/>
        <n v="8442.19"/>
        <n v="11000.85"/>
        <n v="6987.59"/>
        <n v="3735"/>
        <n v="17346.79"/>
        <n v="16517.2"/>
        <n v="7642.94"/>
        <n v="10337.23"/>
        <n v="1367.24"/>
        <n v="570.58000000000004"/>
        <n v="2012.27"/>
        <n v="1469.24"/>
        <n v="10020.18"/>
        <n v="1914.65"/>
        <n v="73.91"/>
        <n v="2794.33"/>
        <n v="3192.06"/>
        <n v="2447.37"/>
        <n v="7696.46"/>
        <n v="14731.55"/>
        <n v="9321.64"/>
        <n v="18473.63"/>
        <n v="7437.55"/>
        <n v="14581.33"/>
        <n v="3389.96"/>
        <n v="3968.38"/>
        <n v="1084.26"/>
        <n v="20690.2"/>
        <n v="8929.57"/>
        <n v="15497.27"/>
        <n v="9172.1299999999992"/>
        <n v="6093.61"/>
        <n v="9144.7900000000009"/>
        <n v="5902.91"/>
        <n v="3277.47"/>
        <n v="9759.5300000000007"/>
        <n v="2504.9"/>
        <n v="1527.99"/>
        <n v="3767.49"/>
        <n v="9452.18"/>
        <n v="764.63"/>
        <n v="2432.75"/>
        <n v="779.04"/>
        <n v="5050.53"/>
        <n v="2727.35"/>
        <n v="9089.2099999999991"/>
        <n v="881.49"/>
        <n v="227.55"/>
        <n v="14193.58"/>
        <n v="7459.88"/>
        <n v="6578.55"/>
        <n v="8975.44"/>
        <n v="852.29"/>
        <n v="1955.2"/>
        <n v="323.29000000000002"/>
        <n v="542.39"/>
        <n v="7666.62"/>
        <n v="1826.32"/>
        <n v="11510.68"/>
        <n v="12263.85"/>
        <n v="3878.6"/>
        <n v="8328.52"/>
        <n v="1666.46"/>
        <n v="1754.11"/>
        <n v="2390.6999999999998"/>
        <n v="8546.7199999999993"/>
        <n v="4115.57"/>
        <n v="787.38"/>
        <n v="2095.7800000000002"/>
        <n v="5220.8"/>
        <n v="11264.45"/>
        <n v="5477.33"/>
        <n v="3389"/>
        <n v="11559.52"/>
        <n v="1676.82"/>
        <n v="437.48"/>
        <n v="8487.6299999999992"/>
        <n v="71.989999999999995"/>
        <n v="9863.6200000000008"/>
        <n v="3468.53"/>
        <n v="6770.35"/>
        <n v="564.14"/>
        <n v="21044.07"/>
        <n v="677.38"/>
        <n v="4368.01"/>
        <n v="9866.2000000000007"/>
        <n v="10723.86"/>
        <n v="5443.42"/>
        <n v="1312.35"/>
        <n v="8471.68"/>
        <n v="5774.6"/>
        <n v="3780.02"/>
        <n v="6831.03"/>
        <n v="4834.51"/>
        <n v="8119.65"/>
        <n v="4811.88"/>
        <n v="5930.01"/>
        <n v="3040.05"/>
        <n v="1126.8699999999999"/>
        <n v="6051.65"/>
        <n v="12279.35"/>
        <n v="7091.66"/>
        <n v="3160.97"/>
        <n v="1408.28"/>
        <n v="5776.61"/>
        <n v="4890.59"/>
        <n v="2048.13"/>
        <n v="4590.46"/>
        <n v="8665.99"/>
        <n v="2202.46"/>
        <n v="11720.11"/>
        <n v="7884.86"/>
        <n v="3857.88"/>
        <n v="10123.959999999999"/>
        <n v="8170.88"/>
        <n v="19390.61"/>
        <n v="10197.43"/>
        <n v="5188.18"/>
        <n v="350.27"/>
        <n v="3766.32"/>
        <n v="4888.37"/>
        <n v="5230.3599999999997"/>
        <n v="3790.18"/>
        <n v="302.18"/>
        <n v="1017.17"/>
        <n v="241.36"/>
        <n v="8347.2999999999993"/>
        <n v="6291.74"/>
        <n v="1543.77"/>
        <n v="9744.5"/>
        <n v="5414.75"/>
        <n v="1898.07"/>
        <n v="4911.08"/>
        <n v="11293.17"/>
        <n v="12398.37"/>
        <n v="1508.57"/>
        <n v="5869.09"/>
        <n v="2770.47"/>
        <n v="3541.73"/>
        <n v="7624.41"/>
        <n v="9928.42"/>
        <n v="7.67"/>
        <n v="1624.86"/>
        <n v="6301.56"/>
        <n v="8578.4"/>
        <n v="5573.57"/>
        <n v="3465.68"/>
        <n v="1245.9100000000001"/>
        <n v="8888.61"/>
        <n v="5931.82"/>
        <n v="2620.66"/>
        <n v="1284.3699999999999"/>
        <n v="11033.61"/>
        <n v="2413.0500000000002"/>
        <n v="13136.08"/>
        <n v="14297.82"/>
        <n v="2837.65"/>
        <n v="7496.03"/>
        <n v="1815.29"/>
        <n v="8250.0300000000007"/>
        <n v="5605.82"/>
        <n v="1563.39"/>
        <n v="3997.02"/>
        <n v="3284.22"/>
        <n v="4609.67"/>
        <n v="9412.06"/>
        <n v="427.36"/>
        <n v="19449.02"/>
        <n v="14122.44"/>
        <n v="2257.14"/>
        <n v="11334.21"/>
        <n v="7865.93"/>
        <n v="11462.32"/>
        <n v="6154.53"/>
        <n v="867.5"/>
        <n v="9056.1"/>
        <n v="6569.4"/>
        <n v="7431"/>
        <n v="3672.65"/>
        <n v="6464.8"/>
        <n v="813.58"/>
        <n v="7301.81"/>
        <n v="8523.42"/>
        <n v="3822.64"/>
        <n v="10219.39"/>
        <n v="5798.43"/>
        <n v="4487.01"/>
        <n v="17237.669999999998"/>
        <n v="7497.22"/>
        <n v="3034.06"/>
        <n v="6795.06"/>
        <n v="4273.09"/>
        <n v="1412.6"/>
        <n v="9852.89"/>
        <n v="10744.23"/>
        <n v="1213.6300000000001"/>
        <n v="4263.93"/>
        <n v="13808.46"/>
        <n v="2411.9299999999998"/>
        <n v="14603.41"/>
        <n v="17813.77"/>
        <n v="14346.28"/>
        <n v="10009.51"/>
        <n v="494.27"/>
        <n v="9118.67"/>
        <n v="1751.26"/>
        <n v="3402.47"/>
        <n v="6841.28"/>
        <n v="12584.46"/>
        <n v="14291.3"/>
        <n v="1998.41"/>
        <n v="9558.06"/>
        <n v="5594.84"/>
        <n v="16520.75"/>
        <n v="5545.62"/>
        <n v="8260.58"/>
        <n v="2636.16"/>
        <n v="8285.3799999999992"/>
        <n v="4590"/>
        <n v="13189.14"/>
        <n v="3768.3"/>
        <n v="7962.71"/>
        <n v="3665.13"/>
        <n v="334.81"/>
        <n v="2187.5"/>
        <n v="18481.73"/>
        <n v="11863.69"/>
        <n v="4332.41"/>
        <n v="3653.33"/>
        <n v="7023.94"/>
        <n v="10001.950000000001"/>
        <n v="16460.650000000001"/>
        <n v="8575.27"/>
        <n v="12191.42"/>
        <n v="969.15"/>
        <n v="6498.96"/>
        <n v="33.68"/>
        <n v="7640.61"/>
        <n v="5596.93"/>
        <n v="2639.55"/>
        <n v="4626.87"/>
        <n v="1900.09"/>
        <n v="13315.47"/>
        <n v="6359.09"/>
        <n v="2644.65"/>
        <n v="4879.55"/>
        <n v="11572.5"/>
        <n v="15626.93"/>
        <n v="4781.1400000000003"/>
        <n v="11793.4"/>
        <n v="1061.03"/>
        <n v="2499.92"/>
        <n v="676.29"/>
        <n v="1886.06"/>
        <n v="5093.92"/>
        <n v="1018.8"/>
        <n v="5616.77"/>
        <n v="10461.82"/>
        <n v="12841.79"/>
        <n v="6723.42"/>
        <n v="521.35"/>
        <n v="3106.11"/>
        <n v="1684.28"/>
        <n v="11226.14"/>
        <n v="1172.53"/>
        <n v="3917.13"/>
        <n v="4871.07"/>
        <n v="9306.64"/>
        <n v="5270.33"/>
        <n v="14722.35"/>
        <n v="13444.87"/>
        <n v="14885.97"/>
        <n v="53.31"/>
        <n v="11767.94"/>
        <n v="12897.53"/>
        <n v="3867.62"/>
        <n v="13524.05"/>
        <n v="2319.1"/>
        <n v="9036.58"/>
        <n v="8905.5300000000007"/>
        <n v="4040.65"/>
        <n v="2204.17"/>
        <n v="7037.21"/>
        <n v="12285.41"/>
        <n v="21812.86"/>
        <n v="6707.97"/>
        <n v="2513.58"/>
        <n v="11491.21"/>
        <n v="3762.58"/>
        <n v="5158.01"/>
        <n v="6660.69"/>
        <n v="4786.05"/>
        <n v="6797.67"/>
        <n v="782.24"/>
        <n v="653.1"/>
        <n v="4768.88"/>
        <n v="1123.57"/>
        <n v="16435.38"/>
        <n v="2922.18"/>
        <n v="12123.84"/>
        <n v="6448.87"/>
        <n v="2587.61"/>
        <n v="12109"/>
        <n v="4482.33"/>
        <n v="5294.88"/>
        <n v="5512.57"/>
        <n v="3707.27"/>
        <n v="7899.01"/>
        <n v="9813.42"/>
        <n v="2845.74"/>
        <n v="2941.72"/>
        <n v="1969.62"/>
        <n v="339.64"/>
        <n v="8818.17"/>
        <n v="6829.86"/>
        <n v="1370.19"/>
        <n v="7731.47"/>
        <n v="2757.16"/>
        <n v="70.19"/>
        <n v="10817.45"/>
        <n v="11595.41"/>
        <n v="1375.22"/>
        <n v="503.52"/>
        <n v="1135.1600000000001"/>
        <n v="4375.45"/>
        <n v="536.74"/>
        <n v="2702.08"/>
        <n v="11064.27"/>
        <n v="8861.83"/>
        <n v="564.66999999999996"/>
        <n v="5267.69"/>
        <n v="8698.4699999999993"/>
        <n v="6025.6"/>
        <n v="7032.54"/>
        <n v="1572.79"/>
        <n v="857.34"/>
        <n v="4899.47"/>
        <n v="2924.06"/>
        <n v="730.06"/>
        <n v="1348.05"/>
        <n v="8561.59"/>
        <n v="7326.91"/>
        <n v="8196.93"/>
        <n v="17841.919999999998"/>
        <n v="4285.13"/>
        <n v="4196.2299999999996"/>
        <n v="6409.31"/>
        <n v="3010.07"/>
        <n v="567.91"/>
        <n v="6948.79"/>
        <n v="1009.28"/>
        <n v="12049.05"/>
        <n v="6969.38"/>
        <n v="10257.74"/>
        <n v="7220.35"/>
        <n v="783.35"/>
        <n v="9434.44"/>
        <n v="12755.99"/>
        <n v="807.26"/>
        <n v="13541.21"/>
        <n v="9976.2199999999993"/>
        <n v="9152.7199999999993"/>
        <n v="9251.3700000000008"/>
        <n v="3634.26"/>
        <n v="352.51"/>
        <n v="5303.58"/>
        <n v="7339.32"/>
        <n v="616.09"/>
        <n v="2504.62"/>
        <n v="5915.87"/>
      </sharedItems>
    </cacheField>
    <cacheField name="Boxes Shipped" numFmtId="0">
      <sharedItems containsSemiMixedTypes="0" containsString="0" containsNumber="1" containsInteger="1" minValue="1" maxValue="778"/>
    </cacheField>
  </cacheFields>
  <extLst>
    <ext xmlns:x14="http://schemas.microsoft.com/office/spreadsheetml/2009/9/main" uri="{725AE2AE-9491-48be-B2B4-4EB974FC3084}">
      <x14:pivotCacheDefinition pivotCacheId="20037083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2">
  <r>
    <x v="0"/>
    <x v="0"/>
    <s v="Mint Chip Choco"/>
    <d v="2022-01-04T00:00:00"/>
    <x v="0"/>
    <x v="0"/>
    <n v="180"/>
  </r>
  <r>
    <x v="1"/>
    <x v="1"/>
    <s v="85% Dark Bars"/>
    <d v="2022-08-01T00:00:00"/>
    <x v="1"/>
    <x v="1"/>
    <n v="94"/>
  </r>
  <r>
    <x v="2"/>
    <x v="1"/>
    <s v="Peanut Butter Cubes"/>
    <d v="2022-07-07T00:00:00"/>
    <x v="2"/>
    <x v="2"/>
    <n v="91"/>
  </r>
  <r>
    <x v="3"/>
    <x v="2"/>
    <s v="Peanut Butter Cubes"/>
    <d v="2022-04-27T00:00:00"/>
    <x v="3"/>
    <x v="3"/>
    <n v="342"/>
  </r>
  <r>
    <x v="0"/>
    <x v="0"/>
    <s v="Peanut Butter Cubes"/>
    <d v="2022-02-24T00:00:00"/>
    <x v="4"/>
    <x v="4"/>
    <n v="184"/>
  </r>
  <r>
    <x v="1"/>
    <x v="1"/>
    <s v="Smooth Sliky Salty"/>
    <d v="2022-06-06T00:00:00"/>
    <x v="5"/>
    <x v="5"/>
    <n v="38"/>
  </r>
  <r>
    <x v="4"/>
    <x v="0"/>
    <s v="99% Dark &amp; Pure"/>
    <d v="2022-01-25T00:00:00"/>
    <x v="4"/>
    <x v="4"/>
    <n v="176"/>
  </r>
  <r>
    <x v="5"/>
    <x v="2"/>
    <s v="After Nines"/>
    <d v="2022-03-24T00:00:00"/>
    <x v="6"/>
    <x v="6"/>
    <n v="73"/>
  </r>
  <r>
    <x v="0"/>
    <x v="3"/>
    <s v="50% Dark Bites"/>
    <d v="2022-04-20T00:00:00"/>
    <x v="7"/>
    <x v="7"/>
    <n v="59"/>
  </r>
  <r>
    <x v="6"/>
    <x v="2"/>
    <s v="99% Dark &amp; Pure"/>
    <d v="2022-07-04T00:00:00"/>
    <x v="8"/>
    <x v="8"/>
    <n v="102"/>
  </r>
  <r>
    <x v="7"/>
    <x v="0"/>
    <s v="Smooth Sliky Salty"/>
    <d v="2022-01-13T00:00:00"/>
    <x v="9"/>
    <x v="9"/>
    <n v="62"/>
  </r>
  <r>
    <x v="8"/>
    <x v="4"/>
    <s v="Orange Choco"/>
    <d v="2022-03-10T00:00:00"/>
    <x v="10"/>
    <x v="10"/>
    <n v="11"/>
  </r>
  <r>
    <x v="9"/>
    <x v="5"/>
    <s v="Eclairs"/>
    <d v="2022-01-13T00:00:00"/>
    <x v="11"/>
    <x v="11"/>
    <n v="286"/>
  </r>
  <r>
    <x v="10"/>
    <x v="3"/>
    <s v="Drinking Coco"/>
    <d v="2022-07-28T00:00:00"/>
    <x v="12"/>
    <x v="12"/>
    <n v="156"/>
  </r>
  <r>
    <x v="11"/>
    <x v="3"/>
    <s v="Peanut Butter Cubes"/>
    <d v="2022-08-03T00:00:00"/>
    <x v="13"/>
    <x v="13"/>
    <n v="173"/>
  </r>
  <r>
    <x v="12"/>
    <x v="2"/>
    <s v="Organic Choco Syrup"/>
    <d v="2022-01-26T00:00:00"/>
    <x v="14"/>
    <x v="14"/>
    <n v="356"/>
  </r>
  <r>
    <x v="1"/>
    <x v="5"/>
    <s v="Organic Choco Syrup"/>
    <d v="2022-02-14T00:00:00"/>
    <x v="15"/>
    <x v="15"/>
    <n v="42"/>
  </r>
  <r>
    <x v="13"/>
    <x v="4"/>
    <s v="Smooth Sliky Salty"/>
    <d v="2022-04-05T00:00:00"/>
    <x v="16"/>
    <x v="16"/>
    <n v="140"/>
  </r>
  <r>
    <x v="12"/>
    <x v="5"/>
    <s v="Milk Bars"/>
    <d v="2022-02-16T00:00:00"/>
    <x v="17"/>
    <x v="17"/>
    <n v="250"/>
  </r>
  <r>
    <x v="14"/>
    <x v="0"/>
    <s v="85% Dark Bars"/>
    <d v="2022-06-08T00:00:00"/>
    <x v="18"/>
    <x v="18"/>
    <n v="172"/>
  </r>
  <r>
    <x v="6"/>
    <x v="2"/>
    <s v="Eclairs"/>
    <d v="2022-06-27T00:00:00"/>
    <x v="19"/>
    <x v="19"/>
    <n v="88"/>
  </r>
  <r>
    <x v="5"/>
    <x v="4"/>
    <s v="Spicy Special Slims"/>
    <d v="2022-02-17T00:00:00"/>
    <x v="20"/>
    <x v="20"/>
    <n v="157"/>
  </r>
  <r>
    <x v="11"/>
    <x v="4"/>
    <s v="After Nines"/>
    <d v="2022-05-30T00:00:00"/>
    <x v="21"/>
    <x v="21"/>
    <n v="163"/>
  </r>
  <r>
    <x v="15"/>
    <x v="0"/>
    <s v="Drinking Coco"/>
    <d v="2022-03-14T00:00:00"/>
    <x v="22"/>
    <x v="22"/>
    <n v="113"/>
  </r>
  <r>
    <x v="16"/>
    <x v="2"/>
    <s v="Eclairs"/>
    <d v="2022-02-28T00:00:00"/>
    <x v="23"/>
    <x v="23"/>
    <n v="115"/>
  </r>
  <r>
    <x v="10"/>
    <x v="1"/>
    <s v="Fruit &amp; Nut Bars"/>
    <d v="2022-01-26T00:00:00"/>
    <x v="12"/>
    <x v="12"/>
    <n v="321"/>
  </r>
  <r>
    <x v="13"/>
    <x v="5"/>
    <s v="Spicy Special Slims"/>
    <d v="2022-02-09T00:00:00"/>
    <x v="24"/>
    <x v="24"/>
    <n v="186"/>
  </r>
  <r>
    <x v="15"/>
    <x v="4"/>
    <s v="Eclairs"/>
    <d v="2022-07-07T00:00:00"/>
    <x v="25"/>
    <x v="25"/>
    <n v="112"/>
  </r>
  <r>
    <x v="17"/>
    <x v="3"/>
    <s v="White Choc"/>
    <d v="2022-07-05T00:00:00"/>
    <x v="26"/>
    <x v="26"/>
    <n v="151"/>
  </r>
  <r>
    <x v="17"/>
    <x v="3"/>
    <s v="Manuka Honey Choco"/>
    <d v="2022-06-15T00:00:00"/>
    <x v="27"/>
    <x v="27"/>
    <n v="301"/>
  </r>
  <r>
    <x v="1"/>
    <x v="3"/>
    <s v="85% Dark Bars"/>
    <d v="2022-05-24T00:00:00"/>
    <x v="28"/>
    <x v="28"/>
    <n v="121"/>
  </r>
  <r>
    <x v="7"/>
    <x v="0"/>
    <s v="99% Dark &amp; Pure"/>
    <d v="2022-06-29T00:00:00"/>
    <x v="29"/>
    <x v="29"/>
    <n v="150"/>
  </r>
  <r>
    <x v="18"/>
    <x v="2"/>
    <s v="Manuka Honey Choco"/>
    <d v="2022-05-11T00:00:00"/>
    <x v="30"/>
    <x v="30"/>
    <n v="94"/>
  </r>
  <r>
    <x v="10"/>
    <x v="0"/>
    <s v="Almond Choco"/>
    <d v="2022-06-30T00:00:00"/>
    <x v="31"/>
    <x v="31"/>
    <n v="133"/>
  </r>
  <r>
    <x v="19"/>
    <x v="5"/>
    <s v="After Nines"/>
    <d v="2022-05-11T00:00:00"/>
    <x v="32"/>
    <x v="32"/>
    <n v="70"/>
  </r>
  <r>
    <x v="13"/>
    <x v="4"/>
    <s v="Manuka Honey Choco"/>
    <d v="2022-07-22T00:00:00"/>
    <x v="33"/>
    <x v="33"/>
    <n v="315"/>
  </r>
  <r>
    <x v="19"/>
    <x v="0"/>
    <s v="50% Dark Bites"/>
    <d v="2022-08-24T00:00:00"/>
    <x v="34"/>
    <x v="34"/>
    <n v="314"/>
  </r>
  <r>
    <x v="20"/>
    <x v="3"/>
    <s v="After Nines"/>
    <d v="2022-07-07T00:00:00"/>
    <x v="35"/>
    <x v="35"/>
    <n v="72"/>
  </r>
  <r>
    <x v="21"/>
    <x v="2"/>
    <s v="85% Dark Bars"/>
    <d v="2022-05-19T00:00:00"/>
    <x v="36"/>
    <x v="36"/>
    <n v="14"/>
  </r>
  <r>
    <x v="10"/>
    <x v="1"/>
    <s v="Manuka Honey Choco"/>
    <d v="2022-07-04T00:00:00"/>
    <x v="37"/>
    <x v="37"/>
    <n v="581"/>
  </r>
  <r>
    <x v="20"/>
    <x v="4"/>
    <s v="After Nines"/>
    <d v="2022-06-02T00:00:00"/>
    <x v="38"/>
    <x v="38"/>
    <n v="16"/>
  </r>
  <r>
    <x v="10"/>
    <x v="4"/>
    <s v="Raspberry Choco"/>
    <d v="2022-04-15T00:00:00"/>
    <x v="39"/>
    <x v="39"/>
    <n v="354"/>
  </r>
  <r>
    <x v="9"/>
    <x v="5"/>
    <s v="Choco Coated Almonds"/>
    <d v="2022-07-11T00:00:00"/>
    <x v="40"/>
    <x v="40"/>
    <n v="241"/>
  </r>
  <r>
    <x v="19"/>
    <x v="1"/>
    <s v="Spicy Special Slims"/>
    <d v="2022-02-23T00:00:00"/>
    <x v="41"/>
    <x v="41"/>
    <n v="142"/>
  </r>
  <r>
    <x v="22"/>
    <x v="5"/>
    <s v="Almond Choco"/>
    <d v="2022-08-22T00:00:00"/>
    <x v="42"/>
    <x v="42"/>
    <n v="102"/>
  </r>
  <r>
    <x v="16"/>
    <x v="4"/>
    <s v="Peanut Butter Cubes"/>
    <d v="2022-02-16T00:00:00"/>
    <x v="14"/>
    <x v="14"/>
    <n v="188"/>
  </r>
  <r>
    <x v="1"/>
    <x v="4"/>
    <s v="50% Dark Bites"/>
    <d v="2022-01-13T00:00:00"/>
    <x v="43"/>
    <x v="43"/>
    <n v="160"/>
  </r>
  <r>
    <x v="14"/>
    <x v="2"/>
    <s v="Milk Bars"/>
    <d v="2022-02-14T00:00:00"/>
    <x v="44"/>
    <x v="44"/>
    <n v="18"/>
  </r>
  <r>
    <x v="13"/>
    <x v="1"/>
    <s v="Eclairs"/>
    <d v="2022-06-10T00:00:00"/>
    <x v="45"/>
    <x v="45"/>
    <n v="303"/>
  </r>
  <r>
    <x v="14"/>
    <x v="1"/>
    <s v="Fruit &amp; Nut Bars"/>
    <d v="2022-07-07T00:00:00"/>
    <x v="46"/>
    <x v="46"/>
    <n v="176"/>
  </r>
  <r>
    <x v="14"/>
    <x v="5"/>
    <s v="Almond Choco"/>
    <d v="2022-03-24T00:00:00"/>
    <x v="47"/>
    <x v="47"/>
    <n v="70"/>
  </r>
  <r>
    <x v="6"/>
    <x v="2"/>
    <s v="Fruit &amp; Nut Bars"/>
    <d v="2022-06-06T00:00:00"/>
    <x v="48"/>
    <x v="48"/>
    <n v="23"/>
  </r>
  <r>
    <x v="23"/>
    <x v="2"/>
    <s v="Drinking Coco"/>
    <d v="2022-07-19T00:00:00"/>
    <x v="49"/>
    <x v="49"/>
    <n v="135"/>
  </r>
  <r>
    <x v="12"/>
    <x v="4"/>
    <s v="Raspberry Choco"/>
    <d v="2022-04-19T00:00:00"/>
    <x v="50"/>
    <x v="50"/>
    <n v="83"/>
  </r>
  <r>
    <x v="11"/>
    <x v="1"/>
    <s v="85% Dark Bars"/>
    <d v="2022-07-19T00:00:00"/>
    <x v="51"/>
    <x v="51"/>
    <n v="179"/>
  </r>
  <r>
    <x v="0"/>
    <x v="5"/>
    <s v="Drinking Coco"/>
    <d v="2022-07-15T00:00:00"/>
    <x v="52"/>
    <x v="52"/>
    <n v="24"/>
  </r>
  <r>
    <x v="24"/>
    <x v="3"/>
    <s v="Spicy Special Slims"/>
    <d v="2022-02-14T00:00:00"/>
    <x v="53"/>
    <x v="53"/>
    <n v="18"/>
  </r>
  <r>
    <x v="6"/>
    <x v="5"/>
    <s v="99% Dark &amp; Pure"/>
    <d v="2022-05-18T00:00:00"/>
    <x v="54"/>
    <x v="54"/>
    <n v="416"/>
  </r>
  <r>
    <x v="8"/>
    <x v="2"/>
    <s v="Fruit &amp; Nut Bars"/>
    <d v="2022-06-30T00:00:00"/>
    <x v="55"/>
    <x v="55"/>
    <n v="55"/>
  </r>
  <r>
    <x v="19"/>
    <x v="2"/>
    <s v="50% Dark Bites"/>
    <d v="2022-06-02T00:00:00"/>
    <x v="56"/>
    <x v="56"/>
    <n v="227"/>
  </r>
  <r>
    <x v="19"/>
    <x v="2"/>
    <s v="Drinking Coco"/>
    <d v="2022-06-28T00:00:00"/>
    <x v="57"/>
    <x v="57"/>
    <n v="48"/>
  </r>
  <r>
    <x v="11"/>
    <x v="2"/>
    <s v="Organic Choco Syrup"/>
    <d v="2022-05-16T00:00:00"/>
    <x v="58"/>
    <x v="58"/>
    <n v="174"/>
  </r>
  <r>
    <x v="20"/>
    <x v="5"/>
    <s v="Baker's Choco Chips"/>
    <d v="2022-05-26T00:00:00"/>
    <x v="59"/>
    <x v="59"/>
    <n v="302"/>
  </r>
  <r>
    <x v="10"/>
    <x v="1"/>
    <s v="Almond Choco"/>
    <d v="2022-07-06T00:00:00"/>
    <x v="60"/>
    <x v="60"/>
    <n v="149"/>
  </r>
  <r>
    <x v="4"/>
    <x v="1"/>
    <s v="99% Dark &amp; Pure"/>
    <d v="2022-05-27T00:00:00"/>
    <x v="61"/>
    <x v="61"/>
    <n v="11"/>
  </r>
  <r>
    <x v="18"/>
    <x v="2"/>
    <s v="Caramel Stuffed Bars"/>
    <d v="2022-04-14T00:00:00"/>
    <x v="62"/>
    <x v="62"/>
    <n v="11"/>
  </r>
  <r>
    <x v="1"/>
    <x v="2"/>
    <s v="Organic Choco Syrup"/>
    <d v="2022-08-10T00:00:00"/>
    <x v="63"/>
    <x v="63"/>
    <n v="14"/>
  </r>
  <r>
    <x v="21"/>
    <x v="1"/>
    <s v="50% Dark Bites"/>
    <d v="2022-07-04T00:00:00"/>
    <x v="64"/>
    <x v="64"/>
    <n v="411"/>
  </r>
  <r>
    <x v="4"/>
    <x v="1"/>
    <s v="Organic Choco Syrup"/>
    <d v="2022-07-08T00:00:00"/>
    <x v="65"/>
    <x v="65"/>
    <n v="56"/>
  </r>
  <r>
    <x v="3"/>
    <x v="4"/>
    <s v="Peanut Butter Cubes"/>
    <d v="2022-07-22T00:00:00"/>
    <x v="66"/>
    <x v="66"/>
    <n v="102"/>
  </r>
  <r>
    <x v="2"/>
    <x v="4"/>
    <s v="Choco Coated Almonds"/>
    <d v="2022-03-02T00:00:00"/>
    <x v="67"/>
    <x v="67"/>
    <n v="103"/>
  </r>
  <r>
    <x v="2"/>
    <x v="0"/>
    <s v="Almond Choco"/>
    <d v="2022-01-10T00:00:00"/>
    <x v="68"/>
    <x v="68"/>
    <n v="9"/>
  </r>
  <r>
    <x v="0"/>
    <x v="3"/>
    <s v="White Choc"/>
    <d v="2022-03-11T00:00:00"/>
    <x v="69"/>
    <x v="69"/>
    <n v="241"/>
  </r>
  <r>
    <x v="19"/>
    <x v="3"/>
    <s v="Peanut Butter Cubes"/>
    <d v="2022-06-20T00:00:00"/>
    <x v="70"/>
    <x v="70"/>
    <n v="265"/>
  </r>
  <r>
    <x v="1"/>
    <x v="0"/>
    <s v="Organic Choco Syrup"/>
    <d v="2022-08-26T00:00:00"/>
    <x v="71"/>
    <x v="71"/>
    <n v="214"/>
  </r>
  <r>
    <x v="13"/>
    <x v="5"/>
    <s v="Milk Bars"/>
    <d v="2022-07-13T00:00:00"/>
    <x v="72"/>
    <x v="72"/>
    <n v="32"/>
  </r>
  <r>
    <x v="21"/>
    <x v="4"/>
    <s v="Spicy Special Slims"/>
    <d v="2022-02-11T00:00:00"/>
    <x v="73"/>
    <x v="73"/>
    <n v="244"/>
  </r>
  <r>
    <x v="11"/>
    <x v="4"/>
    <s v="Orange Choco"/>
    <d v="2022-01-27T00:00:00"/>
    <x v="74"/>
    <x v="74"/>
    <n v="181"/>
  </r>
  <r>
    <x v="1"/>
    <x v="0"/>
    <s v="99% Dark &amp; Pure"/>
    <d v="2022-01-31T00:00:00"/>
    <x v="75"/>
    <x v="75"/>
    <n v="137"/>
  </r>
  <r>
    <x v="21"/>
    <x v="4"/>
    <s v="White Choc"/>
    <d v="2022-08-18T00:00:00"/>
    <x v="76"/>
    <x v="76"/>
    <n v="24"/>
  </r>
  <r>
    <x v="19"/>
    <x v="4"/>
    <s v="Raspberry Choco"/>
    <d v="2022-06-30T00:00:00"/>
    <x v="77"/>
    <x v="77"/>
    <n v="21"/>
  </r>
  <r>
    <x v="23"/>
    <x v="2"/>
    <s v="Fruit &amp; Nut Bars"/>
    <d v="2022-08-23T00:00:00"/>
    <x v="78"/>
    <x v="78"/>
    <n v="311"/>
  </r>
  <r>
    <x v="6"/>
    <x v="3"/>
    <s v="Mint Chip Choco"/>
    <d v="2022-08-01T00:00:00"/>
    <x v="79"/>
    <x v="79"/>
    <n v="181"/>
  </r>
  <r>
    <x v="13"/>
    <x v="3"/>
    <s v="After Nines"/>
    <d v="2022-05-25T00:00:00"/>
    <x v="80"/>
    <x v="80"/>
    <n v="10"/>
  </r>
  <r>
    <x v="13"/>
    <x v="5"/>
    <s v="Organic Choco Syrup"/>
    <d v="2022-01-10T00:00:00"/>
    <x v="81"/>
    <x v="81"/>
    <n v="82"/>
  </r>
  <r>
    <x v="17"/>
    <x v="2"/>
    <s v="70% Dark Bites"/>
    <d v="2022-02-07T00:00:00"/>
    <x v="82"/>
    <x v="82"/>
    <n v="108"/>
  </r>
  <r>
    <x v="10"/>
    <x v="4"/>
    <s v="Orange Choco"/>
    <d v="2022-05-12T00:00:00"/>
    <x v="83"/>
    <x v="83"/>
    <n v="401"/>
  </r>
  <r>
    <x v="22"/>
    <x v="2"/>
    <s v="Spicy Special Slims"/>
    <d v="2022-03-07T00:00:00"/>
    <x v="84"/>
    <x v="84"/>
    <n v="408"/>
  </r>
  <r>
    <x v="17"/>
    <x v="2"/>
    <s v="85% Dark Bars"/>
    <d v="2022-04-05T00:00:00"/>
    <x v="85"/>
    <x v="85"/>
    <n v="420"/>
  </r>
  <r>
    <x v="19"/>
    <x v="5"/>
    <s v="Caramel Stuffed Bars"/>
    <d v="2022-01-03T00:00:00"/>
    <x v="86"/>
    <x v="86"/>
    <n v="348"/>
  </r>
  <r>
    <x v="17"/>
    <x v="0"/>
    <s v="Eclairs"/>
    <d v="2022-03-24T00:00:00"/>
    <x v="87"/>
    <x v="87"/>
    <n v="270"/>
  </r>
  <r>
    <x v="22"/>
    <x v="1"/>
    <s v="Raspberry Choco"/>
    <d v="2022-07-07T00:00:00"/>
    <x v="88"/>
    <x v="88"/>
    <n v="9"/>
  </r>
  <r>
    <x v="1"/>
    <x v="4"/>
    <s v="After Nines"/>
    <d v="2022-07-26T00:00:00"/>
    <x v="89"/>
    <x v="89"/>
    <n v="264"/>
  </r>
  <r>
    <x v="18"/>
    <x v="2"/>
    <s v="Organic Choco Syrup"/>
    <d v="2022-07-07T00:00:00"/>
    <x v="90"/>
    <x v="90"/>
    <n v="111"/>
  </r>
  <r>
    <x v="10"/>
    <x v="5"/>
    <s v="50% Dark Bites"/>
    <d v="2022-07-15T00:00:00"/>
    <x v="91"/>
    <x v="91"/>
    <n v="65"/>
  </r>
  <r>
    <x v="13"/>
    <x v="3"/>
    <s v="Orange Choco"/>
    <d v="2022-04-01T00:00:00"/>
    <x v="92"/>
    <x v="92"/>
    <n v="97"/>
  </r>
  <r>
    <x v="12"/>
    <x v="2"/>
    <s v="Eclairs"/>
    <d v="2022-06-20T00:00:00"/>
    <x v="93"/>
    <x v="93"/>
    <n v="6"/>
  </r>
  <r>
    <x v="20"/>
    <x v="0"/>
    <s v="Fruit &amp; Nut Bars"/>
    <d v="2022-06-29T00:00:00"/>
    <x v="94"/>
    <x v="94"/>
    <n v="482"/>
  </r>
  <r>
    <x v="11"/>
    <x v="4"/>
    <s v="50% Dark Bites"/>
    <d v="2022-06-15T00:00:00"/>
    <x v="95"/>
    <x v="95"/>
    <n v="106"/>
  </r>
  <r>
    <x v="15"/>
    <x v="4"/>
    <s v="After Nines"/>
    <d v="2022-04-08T00:00:00"/>
    <x v="96"/>
    <x v="96"/>
    <n v="180"/>
  </r>
  <r>
    <x v="17"/>
    <x v="2"/>
    <s v="Raspberry Choco"/>
    <d v="2022-03-14T00:00:00"/>
    <x v="97"/>
    <x v="97"/>
    <n v="31"/>
  </r>
  <r>
    <x v="19"/>
    <x v="4"/>
    <s v="Fruit &amp; Nut Bars"/>
    <d v="2022-07-15T00:00:00"/>
    <x v="98"/>
    <x v="98"/>
    <n v="359"/>
  </r>
  <r>
    <x v="20"/>
    <x v="1"/>
    <s v="Eclairs"/>
    <d v="2022-04-19T00:00:00"/>
    <x v="99"/>
    <x v="99"/>
    <n v="80"/>
  </r>
  <r>
    <x v="11"/>
    <x v="4"/>
    <s v="99% Dark &amp; Pure"/>
    <d v="2022-03-28T00:00:00"/>
    <x v="100"/>
    <x v="100"/>
    <n v="296"/>
  </r>
  <r>
    <x v="6"/>
    <x v="5"/>
    <s v="Spicy Special Slims"/>
    <d v="2022-03-04T00:00:00"/>
    <x v="101"/>
    <x v="101"/>
    <n v="101"/>
  </r>
  <r>
    <x v="10"/>
    <x v="3"/>
    <s v="70% Dark Bites"/>
    <d v="2022-08-02T00:00:00"/>
    <x v="102"/>
    <x v="102"/>
    <n v="40"/>
  </r>
  <r>
    <x v="15"/>
    <x v="0"/>
    <s v="Spicy Special Slims"/>
    <d v="2022-08-25T00:00:00"/>
    <x v="103"/>
    <x v="103"/>
    <n v="42"/>
  </r>
  <r>
    <x v="11"/>
    <x v="4"/>
    <s v="Almond Choco"/>
    <d v="2022-02-25T00:00:00"/>
    <x v="104"/>
    <x v="104"/>
    <n v="167"/>
  </r>
  <r>
    <x v="20"/>
    <x v="1"/>
    <s v="Orange Choco"/>
    <d v="2022-06-07T00:00:00"/>
    <x v="105"/>
    <x v="105"/>
    <n v="138"/>
  </r>
  <r>
    <x v="3"/>
    <x v="1"/>
    <s v="Spicy Special Slims"/>
    <d v="2022-04-12T00:00:00"/>
    <x v="106"/>
    <x v="106"/>
    <n v="520"/>
  </r>
  <r>
    <x v="24"/>
    <x v="1"/>
    <s v="Spicy Special Slims"/>
    <d v="2022-07-06T00:00:00"/>
    <x v="107"/>
    <x v="107"/>
    <n v="94"/>
  </r>
  <r>
    <x v="20"/>
    <x v="0"/>
    <s v="Smooth Sliky Salty"/>
    <d v="2022-01-19T00:00:00"/>
    <x v="108"/>
    <x v="108"/>
    <n v="175"/>
  </r>
  <r>
    <x v="22"/>
    <x v="2"/>
    <s v="Fruit &amp; Nut Bars"/>
    <d v="2022-01-05T00:00:00"/>
    <x v="109"/>
    <x v="109"/>
    <n v="92"/>
  </r>
  <r>
    <x v="22"/>
    <x v="5"/>
    <s v="70% Dark Bites"/>
    <d v="2022-01-24T00:00:00"/>
    <x v="110"/>
    <x v="110"/>
    <n v="141"/>
  </r>
  <r>
    <x v="18"/>
    <x v="2"/>
    <s v="Drinking Coco"/>
    <d v="2022-04-06T00:00:00"/>
    <x v="111"/>
    <x v="111"/>
    <n v="283"/>
  </r>
  <r>
    <x v="5"/>
    <x v="2"/>
    <s v="Fruit &amp; Nut Bars"/>
    <d v="2022-06-15T00:00:00"/>
    <x v="112"/>
    <x v="112"/>
    <n v="21"/>
  </r>
  <r>
    <x v="2"/>
    <x v="5"/>
    <s v="Baker's Choco Chips"/>
    <d v="2022-01-28T00:00:00"/>
    <x v="113"/>
    <x v="113"/>
    <n v="47"/>
  </r>
  <r>
    <x v="20"/>
    <x v="1"/>
    <s v="Caramel Stuffed Bars"/>
    <d v="2022-03-16T00:00:00"/>
    <x v="114"/>
    <x v="114"/>
    <n v="125"/>
  </r>
  <r>
    <x v="7"/>
    <x v="2"/>
    <s v="Drinking Coco"/>
    <d v="2022-02-21T00:00:00"/>
    <x v="115"/>
    <x v="115"/>
    <n v="396"/>
  </r>
  <r>
    <x v="20"/>
    <x v="4"/>
    <s v="Manuka Honey Choco"/>
    <d v="2022-02-16T00:00:00"/>
    <x v="116"/>
    <x v="116"/>
    <n v="87"/>
  </r>
  <r>
    <x v="0"/>
    <x v="5"/>
    <s v="Spicy Special Slims"/>
    <d v="2022-01-13T00:00:00"/>
    <x v="117"/>
    <x v="117"/>
    <n v="27"/>
  </r>
  <r>
    <x v="20"/>
    <x v="2"/>
    <s v="Eclairs"/>
    <d v="2022-03-23T00:00:00"/>
    <x v="118"/>
    <x v="118"/>
    <n v="547"/>
  </r>
  <r>
    <x v="14"/>
    <x v="5"/>
    <s v="Spicy Special Slims"/>
    <d v="2022-06-16T00:00:00"/>
    <x v="119"/>
    <x v="119"/>
    <n v="118"/>
  </r>
  <r>
    <x v="4"/>
    <x v="1"/>
    <s v="Raspberry Choco"/>
    <d v="2022-04-14T00:00:00"/>
    <x v="120"/>
    <x v="120"/>
    <n v="46"/>
  </r>
  <r>
    <x v="20"/>
    <x v="0"/>
    <s v="Eclairs"/>
    <d v="2022-01-25T00:00:00"/>
    <x v="121"/>
    <x v="121"/>
    <n v="57"/>
  </r>
  <r>
    <x v="3"/>
    <x v="1"/>
    <s v="Almond Choco"/>
    <d v="2022-03-11T00:00:00"/>
    <x v="122"/>
    <x v="122"/>
    <n v="22"/>
  </r>
  <r>
    <x v="23"/>
    <x v="0"/>
    <s v="Almond Choco"/>
    <d v="2022-07-28T00:00:00"/>
    <x v="123"/>
    <x v="123"/>
    <n v="96"/>
  </r>
  <r>
    <x v="11"/>
    <x v="3"/>
    <s v="After Nines"/>
    <d v="2022-03-09T00:00:00"/>
    <x v="124"/>
    <x v="124"/>
    <n v="44"/>
  </r>
  <r>
    <x v="15"/>
    <x v="2"/>
    <s v="Orange Choco"/>
    <d v="2022-06-28T00:00:00"/>
    <x v="125"/>
    <x v="125"/>
    <n v="188"/>
  </r>
  <r>
    <x v="11"/>
    <x v="2"/>
    <s v="Milk Bars"/>
    <d v="2022-07-28T00:00:00"/>
    <x v="126"/>
    <x v="126"/>
    <n v="387"/>
  </r>
  <r>
    <x v="20"/>
    <x v="5"/>
    <s v="99% Dark &amp; Pure"/>
    <d v="2022-08-15T00:00:00"/>
    <x v="127"/>
    <x v="127"/>
    <n v="50"/>
  </r>
  <r>
    <x v="16"/>
    <x v="2"/>
    <s v="Manuka Honey Choco"/>
    <d v="2022-01-12T00:00:00"/>
    <x v="128"/>
    <x v="128"/>
    <n v="264"/>
  </r>
  <r>
    <x v="12"/>
    <x v="3"/>
    <s v="White Choc"/>
    <d v="2022-03-24T00:00:00"/>
    <x v="129"/>
    <x v="129"/>
    <n v="7"/>
  </r>
  <r>
    <x v="1"/>
    <x v="0"/>
    <s v="Milk Bars"/>
    <d v="2022-07-25T00:00:00"/>
    <x v="130"/>
    <x v="130"/>
    <n v="90"/>
  </r>
  <r>
    <x v="4"/>
    <x v="5"/>
    <s v="99% Dark &amp; Pure"/>
    <d v="2022-08-01T00:00:00"/>
    <x v="131"/>
    <x v="131"/>
    <n v="403"/>
  </r>
  <r>
    <x v="1"/>
    <x v="1"/>
    <s v="Organic Choco Syrup"/>
    <d v="2022-05-16T00:00:00"/>
    <x v="132"/>
    <x v="132"/>
    <n v="174"/>
  </r>
  <r>
    <x v="13"/>
    <x v="1"/>
    <s v="Smooth Sliky Salty"/>
    <d v="2022-08-10T00:00:00"/>
    <x v="133"/>
    <x v="133"/>
    <n v="140"/>
  </r>
  <r>
    <x v="3"/>
    <x v="1"/>
    <s v="Eclairs"/>
    <d v="2022-01-05T00:00:00"/>
    <x v="134"/>
    <x v="134"/>
    <n v="27"/>
  </r>
  <r>
    <x v="24"/>
    <x v="0"/>
    <s v="Smooth Sliky Salty"/>
    <d v="2022-07-11T00:00:00"/>
    <x v="135"/>
    <x v="135"/>
    <n v="110"/>
  </r>
  <r>
    <x v="18"/>
    <x v="4"/>
    <s v="After Nines"/>
    <d v="2022-04-25T00:00:00"/>
    <x v="136"/>
    <x v="136"/>
    <n v="30"/>
  </r>
  <r>
    <x v="2"/>
    <x v="3"/>
    <s v="Fruit &amp; Nut Bars"/>
    <d v="2022-04-04T00:00:00"/>
    <x v="137"/>
    <x v="137"/>
    <n v="121"/>
  </r>
  <r>
    <x v="8"/>
    <x v="4"/>
    <s v="Raspberry Choco"/>
    <d v="2022-04-12T00:00:00"/>
    <x v="138"/>
    <x v="138"/>
    <n v="101"/>
  </r>
  <r>
    <x v="18"/>
    <x v="3"/>
    <s v="85% Dark Bars"/>
    <d v="2022-08-02T00:00:00"/>
    <x v="93"/>
    <x v="93"/>
    <n v="117"/>
  </r>
  <r>
    <x v="2"/>
    <x v="3"/>
    <s v="Manuka Honey Choco"/>
    <d v="2022-06-28T00:00:00"/>
    <x v="139"/>
    <x v="139"/>
    <n v="272"/>
  </r>
  <r>
    <x v="24"/>
    <x v="2"/>
    <s v="Eclairs"/>
    <d v="2022-07-05T00:00:00"/>
    <x v="140"/>
    <x v="140"/>
    <n v="128"/>
  </r>
  <r>
    <x v="7"/>
    <x v="3"/>
    <s v="Choco Coated Almonds"/>
    <d v="2022-06-07T00:00:00"/>
    <x v="141"/>
    <x v="141"/>
    <n v="45"/>
  </r>
  <r>
    <x v="6"/>
    <x v="3"/>
    <s v="Smooth Sliky Salty"/>
    <d v="2022-01-18T00:00:00"/>
    <x v="142"/>
    <x v="142"/>
    <n v="27"/>
  </r>
  <r>
    <x v="6"/>
    <x v="2"/>
    <s v="Baker's Choco Chips"/>
    <d v="2022-01-04T00:00:00"/>
    <x v="143"/>
    <x v="143"/>
    <n v="212"/>
  </r>
  <r>
    <x v="17"/>
    <x v="2"/>
    <s v="99% Dark &amp; Pure"/>
    <d v="2022-01-31T00:00:00"/>
    <x v="144"/>
    <x v="144"/>
    <n v="18"/>
  </r>
  <r>
    <x v="20"/>
    <x v="1"/>
    <s v="Almond Choco"/>
    <d v="2022-03-14T00:00:00"/>
    <x v="145"/>
    <x v="145"/>
    <n v="149"/>
  </r>
  <r>
    <x v="21"/>
    <x v="2"/>
    <s v="70% Dark Bites"/>
    <d v="2022-04-29T00:00:00"/>
    <x v="146"/>
    <x v="146"/>
    <n v="477"/>
  </r>
  <r>
    <x v="4"/>
    <x v="1"/>
    <s v="Smooth Sliky Salty"/>
    <d v="2022-02-07T00:00:00"/>
    <x v="147"/>
    <x v="147"/>
    <n v="108"/>
  </r>
  <r>
    <x v="16"/>
    <x v="0"/>
    <s v="Organic Choco Syrup"/>
    <d v="2022-03-31T00:00:00"/>
    <x v="148"/>
    <x v="148"/>
    <n v="178"/>
  </r>
  <r>
    <x v="11"/>
    <x v="1"/>
    <s v="Caramel Stuffed Bars"/>
    <d v="2022-03-16T00:00:00"/>
    <x v="149"/>
    <x v="149"/>
    <n v="81"/>
  </r>
  <r>
    <x v="10"/>
    <x v="0"/>
    <s v="Eclairs"/>
    <d v="2022-01-25T00:00:00"/>
    <x v="104"/>
    <x v="104"/>
    <n v="196"/>
  </r>
  <r>
    <x v="1"/>
    <x v="1"/>
    <s v="Baker's Choco Chips"/>
    <d v="2022-06-20T00:00:00"/>
    <x v="150"/>
    <x v="150"/>
    <n v="447"/>
  </r>
  <r>
    <x v="2"/>
    <x v="0"/>
    <s v="After Nines"/>
    <d v="2022-03-29T00:00:00"/>
    <x v="151"/>
    <x v="151"/>
    <n v="175"/>
  </r>
  <r>
    <x v="14"/>
    <x v="2"/>
    <s v="Orange Choco"/>
    <d v="2022-07-12T00:00:00"/>
    <x v="119"/>
    <x v="119"/>
    <n v="136"/>
  </r>
  <r>
    <x v="0"/>
    <x v="5"/>
    <s v="Smooth Sliky Salty"/>
    <d v="2022-07-11T00:00:00"/>
    <x v="152"/>
    <x v="152"/>
    <n v="138"/>
  </r>
  <r>
    <x v="10"/>
    <x v="5"/>
    <s v="Smooth Sliky Salty"/>
    <d v="2022-01-19T00:00:00"/>
    <x v="16"/>
    <x v="16"/>
    <n v="184"/>
  </r>
  <r>
    <x v="19"/>
    <x v="4"/>
    <s v="85% Dark Bars"/>
    <d v="2022-04-05T00:00:00"/>
    <x v="153"/>
    <x v="153"/>
    <n v="82"/>
  </r>
  <r>
    <x v="0"/>
    <x v="5"/>
    <s v="Milk Bars"/>
    <d v="2022-02-21T00:00:00"/>
    <x v="154"/>
    <x v="154"/>
    <n v="12"/>
  </r>
  <r>
    <x v="7"/>
    <x v="3"/>
    <s v="Caramel Stuffed Bars"/>
    <d v="2022-05-20T00:00:00"/>
    <x v="155"/>
    <x v="155"/>
    <n v="14"/>
  </r>
  <r>
    <x v="9"/>
    <x v="2"/>
    <s v="Milk Bars"/>
    <d v="2022-07-29T00:00:00"/>
    <x v="156"/>
    <x v="156"/>
    <n v="104"/>
  </r>
  <r>
    <x v="8"/>
    <x v="4"/>
    <s v="Fruit &amp; Nut Bars"/>
    <d v="2022-01-28T00:00:00"/>
    <x v="157"/>
    <x v="157"/>
    <n v="46"/>
  </r>
  <r>
    <x v="11"/>
    <x v="0"/>
    <s v="Caramel Stuffed Bars"/>
    <d v="2022-07-19T00:00:00"/>
    <x v="158"/>
    <x v="158"/>
    <n v="112"/>
  </r>
  <r>
    <x v="9"/>
    <x v="3"/>
    <s v="Manuka Honey Choco"/>
    <d v="2022-04-13T00:00:00"/>
    <x v="159"/>
    <x v="159"/>
    <n v="11"/>
  </r>
  <r>
    <x v="13"/>
    <x v="1"/>
    <s v="Peanut Butter Cubes"/>
    <d v="2022-02-11T00:00:00"/>
    <x v="160"/>
    <x v="160"/>
    <n v="21"/>
  </r>
  <r>
    <x v="13"/>
    <x v="3"/>
    <s v="Milk Bars"/>
    <d v="2022-03-02T00:00:00"/>
    <x v="161"/>
    <x v="161"/>
    <n v="116"/>
  </r>
  <r>
    <x v="24"/>
    <x v="2"/>
    <s v="White Choc"/>
    <d v="2022-03-02T00:00:00"/>
    <x v="162"/>
    <x v="162"/>
    <n v="202"/>
  </r>
  <r>
    <x v="1"/>
    <x v="4"/>
    <s v="99% Dark &amp; Pure"/>
    <d v="2022-07-28T00:00:00"/>
    <x v="163"/>
    <x v="163"/>
    <n v="6"/>
  </r>
  <r>
    <x v="20"/>
    <x v="1"/>
    <s v="After Nines"/>
    <d v="2022-01-07T00:00:00"/>
    <x v="164"/>
    <x v="164"/>
    <n v="520"/>
  </r>
  <r>
    <x v="6"/>
    <x v="0"/>
    <s v="White Choc"/>
    <d v="2022-04-12T00:00:00"/>
    <x v="165"/>
    <x v="165"/>
    <n v="167"/>
  </r>
  <r>
    <x v="1"/>
    <x v="5"/>
    <s v="Almond Choco"/>
    <d v="2022-06-27T00:00:00"/>
    <x v="166"/>
    <x v="166"/>
    <n v="72"/>
  </r>
  <r>
    <x v="0"/>
    <x v="2"/>
    <s v="50% Dark Bites"/>
    <d v="2022-01-14T00:00:00"/>
    <x v="167"/>
    <x v="167"/>
    <n v="418"/>
  </r>
  <r>
    <x v="10"/>
    <x v="0"/>
    <s v="Baker's Choco Chips"/>
    <d v="2022-02-07T00:00:00"/>
    <x v="21"/>
    <x v="21"/>
    <n v="389"/>
  </r>
  <r>
    <x v="0"/>
    <x v="2"/>
    <s v="Orange Choco"/>
    <d v="2022-03-23T00:00:00"/>
    <x v="168"/>
    <x v="168"/>
    <n v="26"/>
  </r>
  <r>
    <x v="11"/>
    <x v="1"/>
    <s v="Peanut Butter Cubes"/>
    <d v="2022-01-10T00:00:00"/>
    <x v="169"/>
    <x v="169"/>
    <n v="146"/>
  </r>
  <r>
    <x v="4"/>
    <x v="0"/>
    <s v="Choco Coated Almonds"/>
    <d v="2022-03-17T00:00:00"/>
    <x v="170"/>
    <x v="170"/>
    <n v="41"/>
  </r>
  <r>
    <x v="2"/>
    <x v="4"/>
    <s v="Spicy Special Slims"/>
    <d v="2022-01-21T00:00:00"/>
    <x v="171"/>
    <x v="171"/>
    <n v="54"/>
  </r>
  <r>
    <x v="8"/>
    <x v="2"/>
    <s v="White Choc"/>
    <d v="2022-07-04T00:00:00"/>
    <x v="172"/>
    <x v="172"/>
    <n v="370"/>
  </r>
  <r>
    <x v="16"/>
    <x v="5"/>
    <s v="Peanut Butter Cubes"/>
    <d v="2022-07-04T00:00:00"/>
    <x v="173"/>
    <x v="173"/>
    <n v="176"/>
  </r>
  <r>
    <x v="23"/>
    <x v="4"/>
    <s v="Manuka Honey Choco"/>
    <d v="2022-08-10T00:00:00"/>
    <x v="58"/>
    <x v="58"/>
    <n v="210"/>
  </r>
  <r>
    <x v="17"/>
    <x v="2"/>
    <s v="50% Dark Bites"/>
    <d v="2022-04-01T00:00:00"/>
    <x v="174"/>
    <x v="174"/>
    <n v="12"/>
  </r>
  <r>
    <x v="2"/>
    <x v="1"/>
    <s v="Raspberry Choco"/>
    <d v="2022-02-22T00:00:00"/>
    <x v="175"/>
    <x v="175"/>
    <n v="159"/>
  </r>
  <r>
    <x v="21"/>
    <x v="0"/>
    <s v="White Choc"/>
    <d v="2022-01-03T00:00:00"/>
    <x v="176"/>
    <x v="176"/>
    <n v="187"/>
  </r>
  <r>
    <x v="10"/>
    <x v="1"/>
    <s v="Drinking Coco"/>
    <d v="2022-05-31T00:00:00"/>
    <x v="177"/>
    <x v="177"/>
    <n v="233"/>
  </r>
  <r>
    <x v="23"/>
    <x v="0"/>
    <s v="99% Dark &amp; Pure"/>
    <d v="2022-01-03T00:00:00"/>
    <x v="178"/>
    <x v="178"/>
    <n v="282"/>
  </r>
  <r>
    <x v="15"/>
    <x v="3"/>
    <s v="Caramel Stuffed Bars"/>
    <d v="2022-01-27T00:00:00"/>
    <x v="179"/>
    <x v="179"/>
    <n v="475"/>
  </r>
  <r>
    <x v="8"/>
    <x v="0"/>
    <s v="50% Dark Bites"/>
    <d v="2022-01-28T00:00:00"/>
    <x v="180"/>
    <x v="180"/>
    <n v="65"/>
  </r>
  <r>
    <x v="14"/>
    <x v="2"/>
    <s v="Organic Choco Syrup"/>
    <d v="2022-06-28T00:00:00"/>
    <x v="181"/>
    <x v="181"/>
    <n v="311"/>
  </r>
  <r>
    <x v="15"/>
    <x v="0"/>
    <s v="Choco Coated Almonds"/>
    <d v="2022-03-02T00:00:00"/>
    <x v="182"/>
    <x v="182"/>
    <n v="43"/>
  </r>
  <r>
    <x v="18"/>
    <x v="2"/>
    <s v="After Nines"/>
    <d v="2022-05-27T00:00:00"/>
    <x v="183"/>
    <x v="183"/>
    <n v="26"/>
  </r>
  <r>
    <x v="17"/>
    <x v="4"/>
    <s v="Almond Choco"/>
    <d v="2022-06-30T00:00:00"/>
    <x v="184"/>
    <x v="184"/>
    <n v="84"/>
  </r>
  <r>
    <x v="8"/>
    <x v="5"/>
    <s v="Peanut Butter Cubes"/>
    <d v="2022-06-07T00:00:00"/>
    <x v="185"/>
    <x v="185"/>
    <n v="78"/>
  </r>
  <r>
    <x v="16"/>
    <x v="4"/>
    <s v="70% Dark Bites"/>
    <d v="2022-05-12T00:00:00"/>
    <x v="186"/>
    <x v="186"/>
    <n v="100"/>
  </r>
  <r>
    <x v="8"/>
    <x v="3"/>
    <s v="Raspberry Choco"/>
    <d v="2022-07-29T00:00:00"/>
    <x v="187"/>
    <x v="187"/>
    <n v="66"/>
  </r>
  <r>
    <x v="17"/>
    <x v="0"/>
    <s v="White Choc"/>
    <d v="2022-08-03T00:00:00"/>
    <x v="188"/>
    <x v="188"/>
    <n v="265"/>
  </r>
  <r>
    <x v="8"/>
    <x v="1"/>
    <s v="Baker's Choco Chips"/>
    <d v="2022-08-18T00:00:00"/>
    <x v="189"/>
    <x v="189"/>
    <n v="141"/>
  </r>
  <r>
    <x v="1"/>
    <x v="3"/>
    <s v="Smooth Sliky Salty"/>
    <d v="2022-06-14T00:00:00"/>
    <x v="190"/>
    <x v="190"/>
    <n v="42"/>
  </r>
  <r>
    <x v="12"/>
    <x v="0"/>
    <s v="White Choc"/>
    <d v="2022-06-30T00:00:00"/>
    <x v="191"/>
    <x v="191"/>
    <n v="76"/>
  </r>
  <r>
    <x v="21"/>
    <x v="3"/>
    <s v="Mint Chip Choco"/>
    <d v="2022-06-13T00:00:00"/>
    <x v="192"/>
    <x v="192"/>
    <n v="190"/>
  </r>
  <r>
    <x v="24"/>
    <x v="0"/>
    <s v="Orange Choco"/>
    <d v="2022-04-27T00:00:00"/>
    <x v="193"/>
    <x v="193"/>
    <n v="54"/>
  </r>
  <r>
    <x v="3"/>
    <x v="2"/>
    <s v="White Choc"/>
    <d v="2022-07-27T00:00:00"/>
    <x v="181"/>
    <x v="181"/>
    <n v="32"/>
  </r>
  <r>
    <x v="9"/>
    <x v="5"/>
    <s v="85% Dark Bars"/>
    <d v="2022-04-20T00:00:00"/>
    <x v="194"/>
    <x v="194"/>
    <n v="424"/>
  </r>
  <r>
    <x v="7"/>
    <x v="1"/>
    <s v="Spicy Special Slims"/>
    <d v="2022-01-04T00:00:00"/>
    <x v="195"/>
    <x v="195"/>
    <n v="134"/>
  </r>
  <r>
    <x v="24"/>
    <x v="2"/>
    <s v="Mint Chip Choco"/>
    <d v="2022-02-21T00:00:00"/>
    <x v="196"/>
    <x v="196"/>
    <n v="92"/>
  </r>
  <r>
    <x v="10"/>
    <x v="2"/>
    <s v="White Choc"/>
    <d v="2022-01-05T00:00:00"/>
    <x v="197"/>
    <x v="197"/>
    <n v="48"/>
  </r>
  <r>
    <x v="12"/>
    <x v="1"/>
    <s v="Drinking Coco"/>
    <d v="2022-07-15T00:00:00"/>
    <x v="198"/>
    <x v="198"/>
    <n v="46"/>
  </r>
  <r>
    <x v="6"/>
    <x v="2"/>
    <s v="Choco Coated Almonds"/>
    <d v="2022-05-25T00:00:00"/>
    <x v="199"/>
    <x v="199"/>
    <n v="62"/>
  </r>
  <r>
    <x v="10"/>
    <x v="5"/>
    <s v="Eclairs"/>
    <d v="2022-04-20T00:00:00"/>
    <x v="200"/>
    <x v="200"/>
    <n v="358"/>
  </r>
  <r>
    <x v="2"/>
    <x v="4"/>
    <s v="99% Dark &amp; Pure"/>
    <d v="2022-06-02T00:00:00"/>
    <x v="201"/>
    <x v="201"/>
    <n v="249"/>
  </r>
  <r>
    <x v="11"/>
    <x v="0"/>
    <s v="Smooth Sliky Salty"/>
    <d v="2022-05-13T00:00:00"/>
    <x v="202"/>
    <x v="202"/>
    <n v="88"/>
  </r>
  <r>
    <x v="12"/>
    <x v="3"/>
    <s v="Baker's Choco Chips"/>
    <d v="2022-08-03T00:00:00"/>
    <x v="203"/>
    <x v="203"/>
    <n v="144"/>
  </r>
  <r>
    <x v="12"/>
    <x v="2"/>
    <s v="Milk Bars"/>
    <d v="2022-05-25T00:00:00"/>
    <x v="204"/>
    <x v="204"/>
    <n v="390"/>
  </r>
  <r>
    <x v="1"/>
    <x v="0"/>
    <s v="Raspberry Choco"/>
    <d v="2022-03-16T00:00:00"/>
    <x v="205"/>
    <x v="205"/>
    <n v="79"/>
  </r>
  <r>
    <x v="3"/>
    <x v="2"/>
    <s v="Orange Choco"/>
    <d v="2022-07-04T00:00:00"/>
    <x v="206"/>
    <x v="206"/>
    <n v="122"/>
  </r>
  <r>
    <x v="0"/>
    <x v="1"/>
    <s v="50% Dark Bites"/>
    <d v="2022-07-05T00:00:00"/>
    <x v="181"/>
    <x v="181"/>
    <n v="135"/>
  </r>
  <r>
    <x v="22"/>
    <x v="4"/>
    <s v="After Nines"/>
    <d v="2022-03-15T00:00:00"/>
    <x v="207"/>
    <x v="207"/>
    <n v="430"/>
  </r>
  <r>
    <x v="8"/>
    <x v="0"/>
    <s v="Raspberry Choco"/>
    <d v="2022-08-22T00:00:00"/>
    <x v="208"/>
    <x v="208"/>
    <n v="69"/>
  </r>
  <r>
    <x v="24"/>
    <x v="2"/>
    <s v="70% Dark Bites"/>
    <d v="2022-01-12T00:00:00"/>
    <x v="209"/>
    <x v="209"/>
    <n v="125"/>
  </r>
  <r>
    <x v="11"/>
    <x v="0"/>
    <s v="Baker's Choco Chips"/>
    <d v="2022-06-10T00:00:00"/>
    <x v="210"/>
    <x v="210"/>
    <n v="154"/>
  </r>
  <r>
    <x v="16"/>
    <x v="2"/>
    <s v="Peanut Butter Cubes"/>
    <d v="2022-03-25T00:00:00"/>
    <x v="152"/>
    <x v="152"/>
    <n v="286"/>
  </r>
  <r>
    <x v="7"/>
    <x v="1"/>
    <s v="Almond Choco"/>
    <d v="2022-07-27T00:00:00"/>
    <x v="211"/>
    <x v="211"/>
    <n v="99"/>
  </r>
  <r>
    <x v="15"/>
    <x v="0"/>
    <s v="Caramel Stuffed Bars"/>
    <d v="2022-04-15T00:00:00"/>
    <x v="212"/>
    <x v="212"/>
    <n v="433"/>
  </r>
  <r>
    <x v="13"/>
    <x v="1"/>
    <s v="Orange Choco"/>
    <d v="2022-06-27T00:00:00"/>
    <x v="213"/>
    <x v="213"/>
    <n v="19"/>
  </r>
  <r>
    <x v="0"/>
    <x v="0"/>
    <s v="70% Dark Bites"/>
    <d v="2022-04-14T00:00:00"/>
    <x v="214"/>
    <x v="214"/>
    <n v="258"/>
  </r>
  <r>
    <x v="15"/>
    <x v="2"/>
    <s v="Manuka Honey Choco"/>
    <d v="2022-03-15T00:00:00"/>
    <x v="215"/>
    <x v="215"/>
    <n v="92"/>
  </r>
  <r>
    <x v="22"/>
    <x v="4"/>
    <s v="Eclairs"/>
    <d v="2022-03-18T00:00:00"/>
    <x v="216"/>
    <x v="216"/>
    <n v="200"/>
  </r>
  <r>
    <x v="6"/>
    <x v="1"/>
    <s v="Eclairs"/>
    <d v="2022-04-29T00:00:00"/>
    <x v="217"/>
    <x v="217"/>
    <n v="61"/>
  </r>
  <r>
    <x v="9"/>
    <x v="3"/>
    <s v="White Choc"/>
    <d v="2022-02-25T00:00:00"/>
    <x v="218"/>
    <x v="218"/>
    <n v="246"/>
  </r>
  <r>
    <x v="15"/>
    <x v="4"/>
    <s v="Milk Bars"/>
    <d v="2022-03-02T00:00:00"/>
    <x v="119"/>
    <x v="119"/>
    <n v="56"/>
  </r>
  <r>
    <x v="1"/>
    <x v="2"/>
    <s v="Milk Bars"/>
    <d v="2022-06-20T00:00:00"/>
    <x v="219"/>
    <x v="219"/>
    <n v="87"/>
  </r>
  <r>
    <x v="12"/>
    <x v="5"/>
    <s v="White Choc"/>
    <d v="2022-07-15T00:00:00"/>
    <x v="64"/>
    <x v="64"/>
    <n v="173"/>
  </r>
  <r>
    <x v="23"/>
    <x v="2"/>
    <s v="50% Dark Bites"/>
    <d v="2022-05-12T00:00:00"/>
    <x v="220"/>
    <x v="220"/>
    <n v="252"/>
  </r>
  <r>
    <x v="9"/>
    <x v="3"/>
    <s v="Organic Choco Syrup"/>
    <d v="2022-07-01T00:00:00"/>
    <x v="221"/>
    <x v="221"/>
    <n v="256"/>
  </r>
  <r>
    <x v="15"/>
    <x v="4"/>
    <s v="85% Dark Bars"/>
    <d v="2022-08-08T00:00:00"/>
    <x v="222"/>
    <x v="222"/>
    <n v="54"/>
  </r>
  <r>
    <x v="22"/>
    <x v="2"/>
    <s v="50% Dark Bites"/>
    <d v="2022-07-25T00:00:00"/>
    <x v="223"/>
    <x v="223"/>
    <n v="6"/>
  </r>
  <r>
    <x v="18"/>
    <x v="0"/>
    <s v="Drinking Coco"/>
    <d v="2022-05-18T00:00:00"/>
    <x v="224"/>
    <x v="224"/>
    <n v="55"/>
  </r>
  <r>
    <x v="21"/>
    <x v="1"/>
    <s v="Peanut Butter Cubes"/>
    <d v="2022-07-15T00:00:00"/>
    <x v="225"/>
    <x v="225"/>
    <n v="277"/>
  </r>
  <r>
    <x v="14"/>
    <x v="1"/>
    <s v="70% Dark Bites"/>
    <d v="2022-07-05T00:00:00"/>
    <x v="148"/>
    <x v="148"/>
    <n v="44"/>
  </r>
  <r>
    <x v="9"/>
    <x v="4"/>
    <s v="Manuka Honey Choco"/>
    <d v="2022-07-04T00:00:00"/>
    <x v="226"/>
    <x v="226"/>
    <n v="96"/>
  </r>
  <r>
    <x v="23"/>
    <x v="0"/>
    <s v="70% Dark Bites"/>
    <d v="2022-06-20T00:00:00"/>
    <x v="20"/>
    <x v="20"/>
    <n v="216"/>
  </r>
  <r>
    <x v="5"/>
    <x v="2"/>
    <s v="Almond Choco"/>
    <d v="2022-01-25T00:00:00"/>
    <x v="227"/>
    <x v="227"/>
    <n v="424"/>
  </r>
  <r>
    <x v="16"/>
    <x v="3"/>
    <s v="Spicy Special Slims"/>
    <d v="2022-07-01T00:00:00"/>
    <x v="228"/>
    <x v="228"/>
    <n v="37"/>
  </r>
  <r>
    <x v="2"/>
    <x v="4"/>
    <s v="50% Dark Bites"/>
    <d v="2022-04-13T00:00:00"/>
    <x v="229"/>
    <x v="229"/>
    <n v="59"/>
  </r>
  <r>
    <x v="12"/>
    <x v="0"/>
    <s v="Smooth Sliky Salty"/>
    <d v="2022-05-04T00:00:00"/>
    <x v="230"/>
    <x v="230"/>
    <n v="76"/>
  </r>
  <r>
    <x v="12"/>
    <x v="2"/>
    <s v="Baker's Choco Chips"/>
    <d v="2022-08-04T00:00:00"/>
    <x v="231"/>
    <x v="231"/>
    <n v="109"/>
  </r>
  <r>
    <x v="12"/>
    <x v="1"/>
    <s v="70% Dark Bites"/>
    <d v="2022-06-01T00:00:00"/>
    <x v="232"/>
    <x v="232"/>
    <n v="146"/>
  </r>
  <r>
    <x v="0"/>
    <x v="0"/>
    <s v="Choco Coated Almonds"/>
    <d v="2022-04-22T00:00:00"/>
    <x v="233"/>
    <x v="233"/>
    <n v="185"/>
  </r>
  <r>
    <x v="16"/>
    <x v="4"/>
    <s v="50% Dark Bites"/>
    <d v="2022-08-03T00:00:00"/>
    <x v="234"/>
    <x v="234"/>
    <n v="27"/>
  </r>
  <r>
    <x v="24"/>
    <x v="4"/>
    <s v="Orange Choco"/>
    <d v="2022-06-10T00:00:00"/>
    <x v="90"/>
    <x v="90"/>
    <n v="69"/>
  </r>
  <r>
    <x v="5"/>
    <x v="0"/>
    <s v="Manuka Honey Choco"/>
    <d v="2022-06-27T00:00:00"/>
    <x v="235"/>
    <x v="235"/>
    <n v="46"/>
  </r>
  <r>
    <x v="11"/>
    <x v="2"/>
    <s v="Smooth Sliky Salty"/>
    <d v="2022-01-03T00:00:00"/>
    <x v="236"/>
    <x v="236"/>
    <n v="170"/>
  </r>
  <r>
    <x v="11"/>
    <x v="1"/>
    <s v="After Nines"/>
    <d v="2022-07-11T00:00:00"/>
    <x v="237"/>
    <x v="237"/>
    <n v="179"/>
  </r>
  <r>
    <x v="24"/>
    <x v="3"/>
    <s v="Milk Bars"/>
    <d v="2022-08-17T00:00:00"/>
    <x v="238"/>
    <x v="238"/>
    <n v="126"/>
  </r>
  <r>
    <x v="7"/>
    <x v="4"/>
    <s v="Fruit &amp; Nut Bars"/>
    <d v="2022-01-18T00:00:00"/>
    <x v="239"/>
    <x v="239"/>
    <n v="65"/>
  </r>
  <r>
    <x v="24"/>
    <x v="1"/>
    <s v="Organic Choco Syrup"/>
    <d v="2022-03-08T00:00:00"/>
    <x v="240"/>
    <x v="240"/>
    <n v="99"/>
  </r>
  <r>
    <x v="9"/>
    <x v="2"/>
    <s v="Orange Choco"/>
    <d v="2022-03-07T00:00:00"/>
    <x v="241"/>
    <x v="241"/>
    <n v="275"/>
  </r>
  <r>
    <x v="15"/>
    <x v="1"/>
    <s v="70% Dark Bites"/>
    <d v="2022-05-09T00:00:00"/>
    <x v="189"/>
    <x v="189"/>
    <n v="157"/>
  </r>
  <r>
    <x v="8"/>
    <x v="3"/>
    <s v="85% Dark Bars"/>
    <d v="2022-05-23T00:00:00"/>
    <x v="185"/>
    <x v="185"/>
    <n v="157"/>
  </r>
  <r>
    <x v="22"/>
    <x v="0"/>
    <s v="Caramel Stuffed Bars"/>
    <d v="2022-04-15T00:00:00"/>
    <x v="242"/>
    <x v="242"/>
    <n v="145"/>
  </r>
  <r>
    <x v="2"/>
    <x v="2"/>
    <s v="Drinking Coco"/>
    <d v="2022-07-27T00:00:00"/>
    <x v="243"/>
    <x v="243"/>
    <n v="139"/>
  </r>
  <r>
    <x v="11"/>
    <x v="5"/>
    <s v="Choco Coated Almonds"/>
    <d v="2022-08-22T00:00:00"/>
    <x v="237"/>
    <x v="237"/>
    <n v="406"/>
  </r>
  <r>
    <x v="24"/>
    <x v="4"/>
    <s v="70% Dark Bites"/>
    <d v="2022-05-11T00:00:00"/>
    <x v="207"/>
    <x v="207"/>
    <n v="122"/>
  </r>
  <r>
    <x v="22"/>
    <x v="1"/>
    <s v="Organic Choco Syrup"/>
    <d v="2022-01-26T00:00:00"/>
    <x v="40"/>
    <x v="40"/>
    <n v="38"/>
  </r>
  <r>
    <x v="8"/>
    <x v="4"/>
    <s v="50% Dark Bites"/>
    <d v="2022-04-14T00:00:00"/>
    <x v="244"/>
    <x v="244"/>
    <n v="117"/>
  </r>
  <r>
    <x v="17"/>
    <x v="3"/>
    <s v="Mint Chip Choco"/>
    <d v="2022-04-05T00:00:00"/>
    <x v="189"/>
    <x v="189"/>
    <n v="417"/>
  </r>
  <r>
    <x v="11"/>
    <x v="3"/>
    <s v="Smooth Sliky Salty"/>
    <d v="2022-06-14T00:00:00"/>
    <x v="245"/>
    <x v="245"/>
    <n v="57"/>
  </r>
  <r>
    <x v="6"/>
    <x v="5"/>
    <s v="Almond Choco"/>
    <d v="2022-04-13T00:00:00"/>
    <x v="40"/>
    <x v="40"/>
    <n v="125"/>
  </r>
  <r>
    <x v="12"/>
    <x v="2"/>
    <s v="White Choc"/>
    <d v="2022-06-27T00:00:00"/>
    <x v="246"/>
    <x v="246"/>
    <n v="166"/>
  </r>
  <r>
    <x v="23"/>
    <x v="2"/>
    <s v="Eclairs"/>
    <d v="2022-01-26T00:00:00"/>
    <x v="44"/>
    <x v="44"/>
    <n v="3"/>
  </r>
  <r>
    <x v="8"/>
    <x v="0"/>
    <s v="White Choc"/>
    <d v="2022-07-05T00:00:00"/>
    <x v="24"/>
    <x v="24"/>
    <n v="72"/>
  </r>
  <r>
    <x v="12"/>
    <x v="5"/>
    <s v="Baker's Choco Chips"/>
    <d v="2022-01-11T00:00:00"/>
    <x v="247"/>
    <x v="247"/>
    <n v="95"/>
  </r>
  <r>
    <x v="20"/>
    <x v="4"/>
    <s v="White Choc"/>
    <d v="2022-03-07T00:00:00"/>
    <x v="248"/>
    <x v="248"/>
    <n v="22"/>
  </r>
  <r>
    <x v="16"/>
    <x v="5"/>
    <s v="50% Dark Bites"/>
    <d v="2022-03-04T00:00:00"/>
    <x v="249"/>
    <x v="249"/>
    <n v="100"/>
  </r>
  <r>
    <x v="10"/>
    <x v="5"/>
    <s v="Organic Choco Syrup"/>
    <d v="2022-07-15T00:00:00"/>
    <x v="250"/>
    <x v="250"/>
    <n v="312"/>
  </r>
  <r>
    <x v="16"/>
    <x v="0"/>
    <s v="Peanut Butter Cubes"/>
    <d v="2022-05-11T00:00:00"/>
    <x v="251"/>
    <x v="251"/>
    <n v="86"/>
  </r>
  <r>
    <x v="10"/>
    <x v="4"/>
    <s v="Milk Bars"/>
    <d v="2022-01-27T00:00:00"/>
    <x v="238"/>
    <x v="238"/>
    <n v="7"/>
  </r>
  <r>
    <x v="10"/>
    <x v="1"/>
    <s v="Orange Choco"/>
    <d v="2022-06-27T00:00:00"/>
    <x v="252"/>
    <x v="252"/>
    <n v="149"/>
  </r>
  <r>
    <x v="24"/>
    <x v="1"/>
    <s v="Smooth Sliky Salty"/>
    <d v="2022-08-03T00:00:00"/>
    <x v="253"/>
    <x v="253"/>
    <n v="18"/>
  </r>
  <r>
    <x v="18"/>
    <x v="3"/>
    <s v="Mint Chip Choco"/>
    <d v="2022-08-19T00:00:00"/>
    <x v="254"/>
    <x v="254"/>
    <n v="242"/>
  </r>
  <r>
    <x v="18"/>
    <x v="2"/>
    <s v="Fruit &amp; Nut Bars"/>
    <d v="2022-06-15T00:00:00"/>
    <x v="136"/>
    <x v="136"/>
    <n v="102"/>
  </r>
  <r>
    <x v="17"/>
    <x v="0"/>
    <s v="Peanut Butter Cubes"/>
    <d v="2022-02-07T00:00:00"/>
    <x v="255"/>
    <x v="255"/>
    <n v="158"/>
  </r>
  <r>
    <x v="10"/>
    <x v="2"/>
    <s v="Almond Choco"/>
    <d v="2022-07-08T00:00:00"/>
    <x v="256"/>
    <x v="256"/>
    <n v="128"/>
  </r>
  <r>
    <x v="17"/>
    <x v="1"/>
    <s v="Milk Bars"/>
    <d v="2022-04-21T00:00:00"/>
    <x v="257"/>
    <x v="257"/>
    <n v="96"/>
  </r>
  <r>
    <x v="24"/>
    <x v="0"/>
    <s v="Mint Chip Choco"/>
    <d v="2022-04-08T00:00:00"/>
    <x v="258"/>
    <x v="258"/>
    <n v="209"/>
  </r>
  <r>
    <x v="15"/>
    <x v="2"/>
    <s v="50% Dark Bites"/>
    <d v="2022-08-19T00:00:00"/>
    <x v="259"/>
    <x v="259"/>
    <n v="52"/>
  </r>
  <r>
    <x v="3"/>
    <x v="1"/>
    <s v="Fruit &amp; Nut Bars"/>
    <d v="2022-05-04T00:00:00"/>
    <x v="260"/>
    <x v="260"/>
    <n v="55"/>
  </r>
  <r>
    <x v="9"/>
    <x v="4"/>
    <s v="85% Dark Bars"/>
    <d v="2022-05-11T00:00:00"/>
    <x v="261"/>
    <x v="261"/>
    <n v="108"/>
  </r>
  <r>
    <x v="9"/>
    <x v="4"/>
    <s v="Eclairs"/>
    <d v="2022-03-22T00:00:00"/>
    <x v="262"/>
    <x v="262"/>
    <n v="51"/>
  </r>
  <r>
    <x v="17"/>
    <x v="5"/>
    <s v="Spicy Special Slims"/>
    <d v="2022-08-10T00:00:00"/>
    <x v="263"/>
    <x v="263"/>
    <n v="216"/>
  </r>
  <r>
    <x v="17"/>
    <x v="4"/>
    <s v="Fruit &amp; Nut Bars"/>
    <d v="2022-05-04T00:00:00"/>
    <x v="264"/>
    <x v="264"/>
    <n v="318"/>
  </r>
  <r>
    <x v="20"/>
    <x v="4"/>
    <s v="99% Dark &amp; Pure"/>
    <d v="2022-08-18T00:00:00"/>
    <x v="265"/>
    <x v="265"/>
    <n v="238"/>
  </r>
  <r>
    <x v="23"/>
    <x v="5"/>
    <s v="Raspberry Choco"/>
    <d v="2022-08-03T00:00:00"/>
    <x v="266"/>
    <x v="266"/>
    <n v="238"/>
  </r>
  <r>
    <x v="11"/>
    <x v="3"/>
    <s v="Milk Bars"/>
    <d v="2022-01-14T00:00:00"/>
    <x v="267"/>
    <x v="267"/>
    <n v="315"/>
  </r>
  <r>
    <x v="22"/>
    <x v="2"/>
    <s v="Choco Coated Almonds"/>
    <d v="2022-04-08T00:00:00"/>
    <x v="268"/>
    <x v="268"/>
    <n v="72"/>
  </r>
  <r>
    <x v="20"/>
    <x v="0"/>
    <s v="Orange Choco"/>
    <d v="2022-08-01T00:00:00"/>
    <x v="269"/>
    <x v="269"/>
    <n v="3"/>
  </r>
  <r>
    <x v="17"/>
    <x v="5"/>
    <s v="Eclairs"/>
    <d v="2022-03-15T00:00:00"/>
    <x v="270"/>
    <x v="270"/>
    <n v="45"/>
  </r>
  <r>
    <x v="10"/>
    <x v="1"/>
    <s v="Mint Chip Choco"/>
    <d v="2022-07-15T00:00:00"/>
    <x v="271"/>
    <x v="271"/>
    <n v="184"/>
  </r>
  <r>
    <x v="8"/>
    <x v="3"/>
    <s v="Almond Choco"/>
    <d v="2022-01-13T00:00:00"/>
    <x v="272"/>
    <x v="272"/>
    <n v="127"/>
  </r>
  <r>
    <x v="9"/>
    <x v="2"/>
    <s v="85% Dark Bars"/>
    <d v="2022-08-26T00:00:00"/>
    <x v="134"/>
    <x v="134"/>
    <n v="53"/>
  </r>
  <r>
    <x v="24"/>
    <x v="5"/>
    <s v="Eclairs"/>
    <d v="2022-01-10T00:00:00"/>
    <x v="273"/>
    <x v="273"/>
    <n v="172"/>
  </r>
  <r>
    <x v="2"/>
    <x v="2"/>
    <s v="White Choc"/>
    <d v="2022-05-11T00:00:00"/>
    <x v="274"/>
    <x v="274"/>
    <n v="87"/>
  </r>
  <r>
    <x v="12"/>
    <x v="3"/>
    <s v="85% Dark Bars"/>
    <d v="2022-08-30T00:00:00"/>
    <x v="275"/>
    <x v="275"/>
    <n v="22"/>
  </r>
  <r>
    <x v="16"/>
    <x v="4"/>
    <s v="Caramel Stuffed Bars"/>
    <d v="2022-07-21T00:00:00"/>
    <x v="276"/>
    <x v="276"/>
    <n v="122"/>
  </r>
  <r>
    <x v="9"/>
    <x v="2"/>
    <s v="Almond Choco"/>
    <d v="2022-08-01T00:00:00"/>
    <x v="277"/>
    <x v="277"/>
    <n v="125"/>
  </r>
  <r>
    <x v="6"/>
    <x v="5"/>
    <s v="85% Dark Bars"/>
    <d v="2022-02-17T00:00:00"/>
    <x v="278"/>
    <x v="278"/>
    <n v="259"/>
  </r>
  <r>
    <x v="6"/>
    <x v="2"/>
    <s v="Drinking Coco"/>
    <d v="2022-07-27T00:00:00"/>
    <x v="120"/>
    <x v="120"/>
    <n v="156"/>
  </r>
  <r>
    <x v="23"/>
    <x v="4"/>
    <s v="Orange Choco"/>
    <d v="2022-02-23T00:00:00"/>
    <x v="279"/>
    <x v="279"/>
    <n v="107"/>
  </r>
  <r>
    <x v="7"/>
    <x v="2"/>
    <s v="50% Dark Bites"/>
    <d v="2022-03-22T00:00:00"/>
    <x v="280"/>
    <x v="280"/>
    <n v="40"/>
  </r>
  <r>
    <x v="17"/>
    <x v="1"/>
    <s v="99% Dark &amp; Pure"/>
    <d v="2022-06-23T00:00:00"/>
    <x v="19"/>
    <x v="19"/>
    <n v="311"/>
  </r>
  <r>
    <x v="14"/>
    <x v="0"/>
    <s v="White Choc"/>
    <d v="2022-02-01T00:00:00"/>
    <x v="281"/>
    <x v="281"/>
    <n v="73"/>
  </r>
  <r>
    <x v="20"/>
    <x v="2"/>
    <s v="After Nines"/>
    <d v="2022-03-02T00:00:00"/>
    <x v="282"/>
    <x v="282"/>
    <n v="288"/>
  </r>
  <r>
    <x v="2"/>
    <x v="0"/>
    <s v="Fruit &amp; Nut Bars"/>
    <d v="2022-04-06T00:00:00"/>
    <x v="283"/>
    <x v="283"/>
    <n v="86"/>
  </r>
  <r>
    <x v="5"/>
    <x v="2"/>
    <s v="Raspberry Choco"/>
    <d v="2022-03-17T00:00:00"/>
    <x v="284"/>
    <x v="284"/>
    <n v="72"/>
  </r>
  <r>
    <x v="14"/>
    <x v="0"/>
    <s v="Fruit &amp; Nut Bars"/>
    <d v="2022-06-24T00:00:00"/>
    <x v="110"/>
    <x v="110"/>
    <n v="136"/>
  </r>
  <r>
    <x v="8"/>
    <x v="5"/>
    <s v="50% Dark Bites"/>
    <d v="2022-07-19T00:00:00"/>
    <x v="285"/>
    <x v="285"/>
    <n v="303"/>
  </r>
  <r>
    <x v="14"/>
    <x v="4"/>
    <s v="Spicy Special Slims"/>
    <d v="2022-07-11T00:00:00"/>
    <x v="57"/>
    <x v="57"/>
    <n v="264"/>
  </r>
  <r>
    <x v="6"/>
    <x v="1"/>
    <s v="Almond Choco"/>
    <d v="2022-01-13T00:00:00"/>
    <x v="286"/>
    <x v="286"/>
    <n v="218"/>
  </r>
  <r>
    <x v="4"/>
    <x v="3"/>
    <s v="Smooth Sliky Salty"/>
    <d v="2022-07-07T00:00:00"/>
    <x v="287"/>
    <x v="287"/>
    <n v="60"/>
  </r>
  <r>
    <x v="3"/>
    <x v="1"/>
    <s v="85% Dark Bars"/>
    <d v="2022-05-25T00:00:00"/>
    <x v="288"/>
    <x v="288"/>
    <n v="418"/>
  </r>
  <r>
    <x v="11"/>
    <x v="1"/>
    <s v="Fruit &amp; Nut Bars"/>
    <d v="2022-04-13T00:00:00"/>
    <x v="21"/>
    <x v="21"/>
    <n v="151"/>
  </r>
  <r>
    <x v="19"/>
    <x v="3"/>
    <s v="50% Dark Bites"/>
    <d v="2022-03-02T00:00:00"/>
    <x v="289"/>
    <x v="289"/>
    <n v="202"/>
  </r>
  <r>
    <x v="5"/>
    <x v="5"/>
    <s v="Raspberry Choco"/>
    <d v="2022-06-23T00:00:00"/>
    <x v="268"/>
    <x v="268"/>
    <n v="126"/>
  </r>
  <r>
    <x v="20"/>
    <x v="4"/>
    <s v="Drinking Coco"/>
    <d v="2022-07-26T00:00:00"/>
    <x v="189"/>
    <x v="189"/>
    <n v="160"/>
  </r>
  <r>
    <x v="1"/>
    <x v="5"/>
    <s v="White Choc"/>
    <d v="2022-03-22T00:00:00"/>
    <x v="290"/>
    <x v="290"/>
    <n v="3"/>
  </r>
  <r>
    <x v="7"/>
    <x v="4"/>
    <s v="Baker's Choco Chips"/>
    <d v="2022-06-09T00:00:00"/>
    <x v="291"/>
    <x v="291"/>
    <n v="58"/>
  </r>
  <r>
    <x v="1"/>
    <x v="2"/>
    <s v="Caramel Stuffed Bars"/>
    <d v="2022-05-17T00:00:00"/>
    <x v="292"/>
    <x v="292"/>
    <n v="59"/>
  </r>
  <r>
    <x v="24"/>
    <x v="3"/>
    <s v="Peanut Butter Cubes"/>
    <d v="2022-03-04T00:00:00"/>
    <x v="293"/>
    <x v="293"/>
    <n v="273"/>
  </r>
  <r>
    <x v="20"/>
    <x v="5"/>
    <s v="Milk Bars"/>
    <d v="2022-07-07T00:00:00"/>
    <x v="294"/>
    <x v="294"/>
    <n v="28"/>
  </r>
  <r>
    <x v="17"/>
    <x v="5"/>
    <s v="Choco Coated Almonds"/>
    <d v="2022-01-13T00:00:00"/>
    <x v="295"/>
    <x v="295"/>
    <n v="118"/>
  </r>
  <r>
    <x v="14"/>
    <x v="2"/>
    <s v="Almond Choco"/>
    <d v="2022-07-13T00:00:00"/>
    <x v="260"/>
    <x v="260"/>
    <n v="75"/>
  </r>
  <r>
    <x v="22"/>
    <x v="2"/>
    <s v="85% Dark Bars"/>
    <d v="2022-06-16T00:00:00"/>
    <x v="296"/>
    <x v="296"/>
    <n v="329"/>
  </r>
  <r>
    <x v="2"/>
    <x v="0"/>
    <s v="50% Dark Bites"/>
    <d v="2022-07-18T00:00:00"/>
    <x v="297"/>
    <x v="297"/>
    <n v="69"/>
  </r>
  <r>
    <x v="24"/>
    <x v="0"/>
    <s v="Manuka Honey Choco"/>
    <d v="2022-05-30T00:00:00"/>
    <x v="88"/>
    <x v="88"/>
    <n v="395"/>
  </r>
  <r>
    <x v="2"/>
    <x v="0"/>
    <s v="70% Dark Bites"/>
    <d v="2022-06-21T00:00:00"/>
    <x v="298"/>
    <x v="298"/>
    <n v="81"/>
  </r>
  <r>
    <x v="0"/>
    <x v="2"/>
    <s v="Peanut Butter Cubes"/>
    <d v="2022-06-24T00:00:00"/>
    <x v="299"/>
    <x v="299"/>
    <n v="38"/>
  </r>
  <r>
    <x v="11"/>
    <x v="1"/>
    <s v="Eclairs"/>
    <d v="2022-01-13T00:00:00"/>
    <x v="181"/>
    <x v="181"/>
    <n v="96"/>
  </r>
  <r>
    <x v="14"/>
    <x v="5"/>
    <s v="Fruit &amp; Nut Bars"/>
    <d v="2022-04-04T00:00:00"/>
    <x v="300"/>
    <x v="300"/>
    <n v="195"/>
  </r>
  <r>
    <x v="16"/>
    <x v="0"/>
    <s v="Smooth Sliky Salty"/>
    <d v="2022-06-08T00:00:00"/>
    <x v="301"/>
    <x v="301"/>
    <n v="554"/>
  </r>
  <r>
    <x v="10"/>
    <x v="5"/>
    <s v="Spicy Special Slims"/>
    <d v="2022-08-02T00:00:00"/>
    <x v="262"/>
    <x v="262"/>
    <n v="47"/>
  </r>
  <r>
    <x v="20"/>
    <x v="4"/>
    <s v="Organic Choco Syrup"/>
    <d v="2022-07-21T00:00:00"/>
    <x v="302"/>
    <x v="302"/>
    <n v="152"/>
  </r>
  <r>
    <x v="14"/>
    <x v="1"/>
    <s v="Spicy Special Slims"/>
    <d v="2022-06-20T00:00:00"/>
    <x v="242"/>
    <x v="242"/>
    <n v="134"/>
  </r>
  <r>
    <x v="13"/>
    <x v="1"/>
    <s v="After Nines"/>
    <d v="2022-06-22T00:00:00"/>
    <x v="303"/>
    <x v="303"/>
    <n v="112"/>
  </r>
  <r>
    <x v="21"/>
    <x v="2"/>
    <s v="Caramel Stuffed Bars"/>
    <d v="2022-05-02T00:00:00"/>
    <x v="304"/>
    <x v="304"/>
    <n v="16"/>
  </r>
  <r>
    <x v="14"/>
    <x v="2"/>
    <s v="99% Dark &amp; Pure"/>
    <d v="2022-01-07T00:00:00"/>
    <x v="305"/>
    <x v="305"/>
    <n v="84"/>
  </r>
  <r>
    <x v="9"/>
    <x v="0"/>
    <s v="50% Dark Bites"/>
    <d v="2022-02-21T00:00:00"/>
    <x v="306"/>
    <x v="306"/>
    <n v="99"/>
  </r>
  <r>
    <x v="24"/>
    <x v="5"/>
    <s v="Baker's Choco Chips"/>
    <d v="2022-03-21T00:00:00"/>
    <x v="307"/>
    <x v="307"/>
    <n v="371"/>
  </r>
  <r>
    <x v="1"/>
    <x v="0"/>
    <s v="Drinking Coco"/>
    <d v="2022-04-04T00:00:00"/>
    <x v="308"/>
    <x v="308"/>
    <n v="136"/>
  </r>
  <r>
    <x v="5"/>
    <x v="5"/>
    <s v="Fruit &amp; Nut Bars"/>
    <d v="2022-03-24T00:00:00"/>
    <x v="309"/>
    <x v="309"/>
    <n v="203"/>
  </r>
  <r>
    <x v="5"/>
    <x v="3"/>
    <s v="Spicy Special Slims"/>
    <d v="2022-06-28T00:00:00"/>
    <x v="310"/>
    <x v="310"/>
    <n v="183"/>
  </r>
  <r>
    <x v="5"/>
    <x v="2"/>
    <s v="Drinking Coco"/>
    <d v="2022-01-14T00:00:00"/>
    <x v="311"/>
    <x v="311"/>
    <n v="195"/>
  </r>
  <r>
    <x v="10"/>
    <x v="3"/>
    <s v="Fruit &amp; Nut Bars"/>
    <d v="2022-02-07T00:00:00"/>
    <x v="312"/>
    <x v="312"/>
    <n v="135"/>
  </r>
  <r>
    <x v="17"/>
    <x v="3"/>
    <s v="Drinking Coco"/>
    <d v="2022-01-11T00:00:00"/>
    <x v="313"/>
    <x v="313"/>
    <n v="197"/>
  </r>
  <r>
    <x v="0"/>
    <x v="1"/>
    <s v="99% Dark &amp; Pure"/>
    <d v="2022-02-25T00:00:00"/>
    <x v="314"/>
    <x v="314"/>
    <n v="242"/>
  </r>
  <r>
    <x v="23"/>
    <x v="2"/>
    <s v="Mint Chip Choco"/>
    <d v="2022-08-01T00:00:00"/>
    <x v="14"/>
    <x v="14"/>
    <n v="25"/>
  </r>
  <r>
    <x v="13"/>
    <x v="2"/>
    <s v="Mint Chip Choco"/>
    <d v="2022-05-05T00:00:00"/>
    <x v="315"/>
    <x v="315"/>
    <n v="252"/>
  </r>
  <r>
    <x v="22"/>
    <x v="3"/>
    <s v="Raspberry Choco"/>
    <d v="2022-05-18T00:00:00"/>
    <x v="316"/>
    <x v="316"/>
    <n v="415"/>
  </r>
  <r>
    <x v="23"/>
    <x v="3"/>
    <s v="Choco Coated Almonds"/>
    <d v="2022-01-04T00:00:00"/>
    <x v="317"/>
    <x v="317"/>
    <n v="348"/>
  </r>
  <r>
    <x v="13"/>
    <x v="3"/>
    <s v="50% Dark Bites"/>
    <d v="2022-05-09T00:00:00"/>
    <x v="318"/>
    <x v="318"/>
    <n v="211"/>
  </r>
  <r>
    <x v="7"/>
    <x v="1"/>
    <s v="Smooth Sliky Salty"/>
    <d v="2022-05-06T00:00:00"/>
    <x v="319"/>
    <x v="319"/>
    <n v="81"/>
  </r>
  <r>
    <x v="15"/>
    <x v="0"/>
    <s v="White Choc"/>
    <d v="2022-01-13T00:00:00"/>
    <x v="320"/>
    <x v="320"/>
    <n v="145"/>
  </r>
  <r>
    <x v="13"/>
    <x v="2"/>
    <s v="Almond Choco"/>
    <d v="2022-06-24T00:00:00"/>
    <x v="122"/>
    <x v="122"/>
    <n v="74"/>
  </r>
  <r>
    <x v="1"/>
    <x v="4"/>
    <s v="Caramel Stuffed Bars"/>
    <d v="2022-02-14T00:00:00"/>
    <x v="321"/>
    <x v="321"/>
    <n v="21"/>
  </r>
  <r>
    <x v="21"/>
    <x v="2"/>
    <s v="99% Dark &amp; Pure"/>
    <d v="2022-01-18T00:00:00"/>
    <x v="322"/>
    <x v="322"/>
    <n v="101"/>
  </r>
  <r>
    <x v="16"/>
    <x v="1"/>
    <s v="Milk Bars"/>
    <d v="2022-05-02T00:00:00"/>
    <x v="323"/>
    <x v="323"/>
    <n v="91"/>
  </r>
  <r>
    <x v="24"/>
    <x v="2"/>
    <s v="Smooth Sliky Salty"/>
    <d v="2022-05-16T00:00:00"/>
    <x v="267"/>
    <x v="267"/>
    <n v="54"/>
  </r>
  <r>
    <x v="9"/>
    <x v="4"/>
    <s v="Almond Choco"/>
    <d v="2022-01-28T00:00:00"/>
    <x v="324"/>
    <x v="324"/>
    <n v="368"/>
  </r>
  <r>
    <x v="16"/>
    <x v="5"/>
    <s v="99% Dark &amp; Pure"/>
    <d v="2022-06-24T00:00:00"/>
    <x v="325"/>
    <x v="325"/>
    <n v="409"/>
  </r>
  <r>
    <x v="4"/>
    <x v="0"/>
    <s v="After Nines"/>
    <d v="2022-07-18T00:00:00"/>
    <x v="326"/>
    <x v="326"/>
    <n v="104"/>
  </r>
  <r>
    <x v="5"/>
    <x v="0"/>
    <s v="Eclairs"/>
    <d v="2022-04-13T00:00:00"/>
    <x v="327"/>
    <x v="327"/>
    <n v="164"/>
  </r>
  <r>
    <x v="23"/>
    <x v="4"/>
    <s v="Caramel Stuffed Bars"/>
    <d v="2022-04-15T00:00:00"/>
    <x v="328"/>
    <x v="328"/>
    <n v="76"/>
  </r>
  <r>
    <x v="3"/>
    <x v="1"/>
    <s v="Peanut Butter Cubes"/>
    <d v="2022-01-04T00:00:00"/>
    <x v="329"/>
    <x v="329"/>
    <n v="178"/>
  </r>
  <r>
    <x v="15"/>
    <x v="2"/>
    <s v="Eclairs"/>
    <d v="2022-07-04T00:00:00"/>
    <x v="330"/>
    <x v="330"/>
    <n v="31"/>
  </r>
  <r>
    <x v="12"/>
    <x v="4"/>
    <s v="Smooth Sliky Salty"/>
    <d v="2022-03-24T00:00:00"/>
    <x v="311"/>
    <x v="311"/>
    <n v="352"/>
  </r>
  <r>
    <x v="21"/>
    <x v="2"/>
    <s v="Manuka Honey Choco"/>
    <d v="2022-03-17T00:00:00"/>
    <x v="331"/>
    <x v="331"/>
    <n v="169"/>
  </r>
  <r>
    <x v="4"/>
    <x v="2"/>
    <s v="Almond Choco"/>
    <d v="2022-02-15T00:00:00"/>
    <x v="332"/>
    <x v="332"/>
    <n v="223"/>
  </r>
  <r>
    <x v="3"/>
    <x v="4"/>
    <s v="Orange Choco"/>
    <d v="2022-06-29T00:00:00"/>
    <x v="333"/>
    <x v="333"/>
    <n v="146"/>
  </r>
  <r>
    <x v="2"/>
    <x v="4"/>
    <s v="Fruit &amp; Nut Bars"/>
    <d v="2022-05-24T00:00:00"/>
    <x v="334"/>
    <x v="334"/>
    <n v="112"/>
  </r>
  <r>
    <x v="9"/>
    <x v="0"/>
    <s v="Milk Bars"/>
    <d v="2022-01-10T00:00:00"/>
    <x v="335"/>
    <x v="335"/>
    <n v="284"/>
  </r>
  <r>
    <x v="14"/>
    <x v="4"/>
    <s v="Raspberry Choco"/>
    <d v="2022-03-15T00:00:00"/>
    <x v="336"/>
    <x v="336"/>
    <n v="139"/>
  </r>
  <r>
    <x v="11"/>
    <x v="5"/>
    <s v="Milk Bars"/>
    <d v="2022-02-08T00:00:00"/>
    <x v="337"/>
    <x v="337"/>
    <n v="309"/>
  </r>
  <r>
    <x v="6"/>
    <x v="1"/>
    <s v="Caramel Stuffed Bars"/>
    <d v="2022-02-25T00:00:00"/>
    <x v="281"/>
    <x v="281"/>
    <n v="100"/>
  </r>
  <r>
    <x v="5"/>
    <x v="4"/>
    <s v="Eclairs"/>
    <d v="2022-05-03T00:00:00"/>
    <x v="282"/>
    <x v="282"/>
    <n v="42"/>
  </r>
  <r>
    <x v="13"/>
    <x v="4"/>
    <s v="Fruit &amp; Nut Bars"/>
    <d v="2022-06-14T00:00:00"/>
    <x v="338"/>
    <x v="338"/>
    <n v="24"/>
  </r>
  <r>
    <x v="5"/>
    <x v="1"/>
    <s v="50% Dark Bites"/>
    <d v="2022-08-09T00:00:00"/>
    <x v="339"/>
    <x v="339"/>
    <n v="83"/>
  </r>
  <r>
    <x v="18"/>
    <x v="3"/>
    <s v="Manuka Honey Choco"/>
    <d v="2022-07-11T00:00:00"/>
    <x v="340"/>
    <x v="340"/>
    <n v="234"/>
  </r>
  <r>
    <x v="16"/>
    <x v="0"/>
    <s v="Manuka Honey Choco"/>
    <d v="2022-01-14T00:00:00"/>
    <x v="341"/>
    <x v="341"/>
    <n v="118"/>
  </r>
  <r>
    <x v="1"/>
    <x v="5"/>
    <s v="Manuka Honey Choco"/>
    <d v="2022-02-24T00:00:00"/>
    <x v="342"/>
    <x v="342"/>
    <n v="46"/>
  </r>
  <r>
    <x v="18"/>
    <x v="3"/>
    <s v="Almond Choco"/>
    <d v="2022-03-15T00:00:00"/>
    <x v="343"/>
    <x v="343"/>
    <n v="144"/>
  </r>
  <r>
    <x v="4"/>
    <x v="3"/>
    <s v="Baker's Choco Chips"/>
    <d v="2022-04-25T00:00:00"/>
    <x v="344"/>
    <x v="344"/>
    <n v="47"/>
  </r>
  <r>
    <x v="17"/>
    <x v="2"/>
    <s v="Organic Choco Syrup"/>
    <d v="2022-05-10T00:00:00"/>
    <x v="345"/>
    <x v="345"/>
    <n v="41"/>
  </r>
  <r>
    <x v="11"/>
    <x v="2"/>
    <s v="Spicy Special Slims"/>
    <d v="2022-06-23T00:00:00"/>
    <x v="346"/>
    <x v="346"/>
    <n v="275"/>
  </r>
  <r>
    <x v="12"/>
    <x v="5"/>
    <s v="Smooth Sliky Salty"/>
    <d v="2022-02-28T00:00:00"/>
    <x v="347"/>
    <x v="347"/>
    <n v="370"/>
  </r>
  <r>
    <x v="6"/>
    <x v="4"/>
    <s v="Organic Choco Syrup"/>
    <d v="2022-05-25T00:00:00"/>
    <x v="348"/>
    <x v="348"/>
    <n v="138"/>
  </r>
  <r>
    <x v="13"/>
    <x v="3"/>
    <s v="Baker's Choco Chips"/>
    <d v="2022-02-22T00:00:00"/>
    <x v="349"/>
    <x v="349"/>
    <n v="215"/>
  </r>
  <r>
    <x v="1"/>
    <x v="0"/>
    <s v="85% Dark Bars"/>
    <d v="2022-07-11T00:00:00"/>
    <x v="350"/>
    <x v="350"/>
    <n v="134"/>
  </r>
  <r>
    <x v="11"/>
    <x v="5"/>
    <s v="Spicy Special Slims"/>
    <d v="2022-01-03T00:00:00"/>
    <x v="351"/>
    <x v="351"/>
    <n v="336"/>
  </r>
  <r>
    <x v="7"/>
    <x v="3"/>
    <s v="70% Dark Bites"/>
    <d v="2022-08-24T00:00:00"/>
    <x v="352"/>
    <x v="352"/>
    <n v="280"/>
  </r>
  <r>
    <x v="12"/>
    <x v="4"/>
    <s v="50% Dark Bites"/>
    <d v="2022-07-28T00:00:00"/>
    <x v="353"/>
    <x v="353"/>
    <n v="352"/>
  </r>
  <r>
    <x v="6"/>
    <x v="4"/>
    <s v="Mint Chip Choco"/>
    <d v="2022-05-25T00:00:00"/>
    <x v="354"/>
    <x v="354"/>
    <n v="150"/>
  </r>
  <r>
    <x v="10"/>
    <x v="3"/>
    <s v="Eclairs"/>
    <d v="2022-05-06T00:00:00"/>
    <x v="355"/>
    <x v="355"/>
    <n v="177"/>
  </r>
  <r>
    <x v="8"/>
    <x v="1"/>
    <s v="Drinking Coco"/>
    <d v="2022-01-28T00:00:00"/>
    <x v="356"/>
    <x v="356"/>
    <n v="142"/>
  </r>
  <r>
    <x v="11"/>
    <x v="0"/>
    <s v="Orange Choco"/>
    <d v="2022-06-06T00:00:00"/>
    <x v="357"/>
    <x v="357"/>
    <n v="12"/>
  </r>
  <r>
    <x v="6"/>
    <x v="3"/>
    <s v="Baker's Choco Chips"/>
    <d v="2022-07-12T00:00:00"/>
    <x v="358"/>
    <x v="358"/>
    <n v="24"/>
  </r>
  <r>
    <x v="24"/>
    <x v="5"/>
    <s v="Spicy Special Slims"/>
    <d v="2022-08-05T00:00:00"/>
    <x v="359"/>
    <x v="359"/>
    <n v="183"/>
  </r>
  <r>
    <x v="6"/>
    <x v="4"/>
    <s v="Orange Choco"/>
    <d v="2022-01-28T00:00:00"/>
    <x v="360"/>
    <x v="360"/>
    <n v="147"/>
  </r>
  <r>
    <x v="16"/>
    <x v="1"/>
    <s v="Spicy Special Slims"/>
    <d v="2022-08-31T00:00:00"/>
    <x v="361"/>
    <x v="361"/>
    <n v="137"/>
  </r>
  <r>
    <x v="9"/>
    <x v="4"/>
    <s v="50% Dark Bites"/>
    <d v="2022-04-19T00:00:00"/>
    <x v="362"/>
    <x v="362"/>
    <n v="13"/>
  </r>
  <r>
    <x v="9"/>
    <x v="0"/>
    <s v="Mint Chip Choco"/>
    <d v="2022-06-29T00:00:00"/>
    <x v="363"/>
    <x v="363"/>
    <n v="2"/>
  </r>
  <r>
    <x v="12"/>
    <x v="1"/>
    <s v="Choco Coated Almonds"/>
    <d v="2022-02-24T00:00:00"/>
    <x v="350"/>
    <x v="350"/>
    <n v="261"/>
  </r>
  <r>
    <x v="22"/>
    <x v="0"/>
    <s v="Smooth Sliky Salty"/>
    <d v="2022-03-04T00:00:00"/>
    <x v="364"/>
    <x v="364"/>
    <n v="84"/>
  </r>
  <r>
    <x v="2"/>
    <x v="1"/>
    <s v="Eclairs"/>
    <d v="2022-06-21T00:00:00"/>
    <x v="365"/>
    <x v="365"/>
    <n v="68"/>
  </r>
  <r>
    <x v="7"/>
    <x v="2"/>
    <s v="Organic Choco Syrup"/>
    <d v="2022-01-26T00:00:00"/>
    <x v="366"/>
    <x v="366"/>
    <n v="105"/>
  </r>
  <r>
    <x v="4"/>
    <x v="3"/>
    <s v="White Choc"/>
    <d v="2022-06-10T00:00:00"/>
    <x v="149"/>
    <x v="149"/>
    <n v="40"/>
  </r>
  <r>
    <x v="19"/>
    <x v="0"/>
    <s v="Drinking Coco"/>
    <d v="2022-05-23T00:00:00"/>
    <x v="367"/>
    <x v="367"/>
    <n v="65"/>
  </r>
  <r>
    <x v="20"/>
    <x v="1"/>
    <s v="Milk Bars"/>
    <d v="2022-04-15T00:00:00"/>
    <x v="368"/>
    <x v="368"/>
    <n v="107"/>
  </r>
  <r>
    <x v="10"/>
    <x v="3"/>
    <s v="Caramel Stuffed Bars"/>
    <d v="2022-01-31T00:00:00"/>
    <x v="99"/>
    <x v="99"/>
    <n v="227"/>
  </r>
  <r>
    <x v="19"/>
    <x v="3"/>
    <s v="Organic Choco Syrup"/>
    <d v="2022-03-04T00:00:00"/>
    <x v="369"/>
    <x v="369"/>
    <n v="39"/>
  </r>
  <r>
    <x v="8"/>
    <x v="3"/>
    <s v="After Nines"/>
    <d v="2022-04-19T00:00:00"/>
    <x v="370"/>
    <x v="370"/>
    <n v="84"/>
  </r>
  <r>
    <x v="12"/>
    <x v="0"/>
    <s v="Almond Choco"/>
    <d v="2022-05-16T00:00:00"/>
    <x v="371"/>
    <x v="371"/>
    <n v="100"/>
  </r>
  <r>
    <x v="4"/>
    <x v="2"/>
    <s v="Raspberry Choco"/>
    <d v="2022-02-17T00:00:00"/>
    <x v="162"/>
    <x v="162"/>
    <n v="120"/>
  </r>
  <r>
    <x v="17"/>
    <x v="4"/>
    <s v="Raspberry Choco"/>
    <d v="2022-01-18T00:00:00"/>
    <x v="372"/>
    <x v="372"/>
    <n v="257"/>
  </r>
  <r>
    <x v="13"/>
    <x v="5"/>
    <s v="Orange Choco"/>
    <d v="2022-02-09T00:00:00"/>
    <x v="373"/>
    <x v="373"/>
    <n v="85"/>
  </r>
  <r>
    <x v="9"/>
    <x v="5"/>
    <s v="Orange Choco"/>
    <d v="2022-03-23T00:00:00"/>
    <x v="350"/>
    <x v="350"/>
    <n v="178"/>
  </r>
  <r>
    <x v="22"/>
    <x v="3"/>
    <s v="Caramel Stuffed Bars"/>
    <d v="2022-02-01T00:00:00"/>
    <x v="289"/>
    <x v="289"/>
    <n v="151"/>
  </r>
  <r>
    <x v="9"/>
    <x v="1"/>
    <s v="Drinking Coco"/>
    <d v="2022-03-07T00:00:00"/>
    <x v="374"/>
    <x v="374"/>
    <n v="142"/>
  </r>
  <r>
    <x v="24"/>
    <x v="0"/>
    <s v="White Choc"/>
    <d v="2022-01-03T00:00:00"/>
    <x v="173"/>
    <x v="173"/>
    <n v="226"/>
  </r>
  <r>
    <x v="24"/>
    <x v="4"/>
    <s v="White Choc"/>
    <d v="2022-02-11T00:00:00"/>
    <x v="375"/>
    <x v="375"/>
    <n v="341"/>
  </r>
  <r>
    <x v="17"/>
    <x v="3"/>
    <s v="Orange Choco"/>
    <d v="2022-03-16T00:00:00"/>
    <x v="207"/>
    <x v="207"/>
    <n v="140"/>
  </r>
  <r>
    <x v="23"/>
    <x v="1"/>
    <s v="White Choc"/>
    <d v="2022-08-15T00:00:00"/>
    <x v="376"/>
    <x v="376"/>
    <n v="330"/>
  </r>
  <r>
    <x v="2"/>
    <x v="1"/>
    <s v="Manuka Honey Choco"/>
    <d v="2022-05-12T00:00:00"/>
    <x v="369"/>
    <x v="369"/>
    <n v="73"/>
  </r>
  <r>
    <x v="1"/>
    <x v="1"/>
    <s v="Spicy Special Slims"/>
    <d v="2022-04-11T00:00:00"/>
    <x v="377"/>
    <x v="377"/>
    <n v="4"/>
  </r>
  <r>
    <x v="3"/>
    <x v="3"/>
    <s v="Mint Chip Choco"/>
    <d v="2022-06-30T00:00:00"/>
    <x v="378"/>
    <x v="378"/>
    <n v="285"/>
  </r>
  <r>
    <x v="23"/>
    <x v="3"/>
    <s v="White Choc"/>
    <d v="2022-06-15T00:00:00"/>
    <x v="379"/>
    <x v="379"/>
    <n v="60"/>
  </r>
  <r>
    <x v="7"/>
    <x v="5"/>
    <s v="Caramel Stuffed Bars"/>
    <d v="2022-08-01T00:00:00"/>
    <x v="380"/>
    <x v="380"/>
    <n v="101"/>
  </r>
  <r>
    <x v="16"/>
    <x v="4"/>
    <s v="Milk Bars"/>
    <d v="2022-06-15T00:00:00"/>
    <x v="381"/>
    <x v="381"/>
    <n v="58"/>
  </r>
  <r>
    <x v="6"/>
    <x v="1"/>
    <s v="After Nines"/>
    <d v="2022-06-16T00:00:00"/>
    <x v="382"/>
    <x v="382"/>
    <n v="45"/>
  </r>
  <r>
    <x v="4"/>
    <x v="3"/>
    <s v="Raspberry Choco"/>
    <d v="2022-05-13T00:00:00"/>
    <x v="383"/>
    <x v="383"/>
    <n v="281"/>
  </r>
  <r>
    <x v="17"/>
    <x v="4"/>
    <s v="Drinking Coco"/>
    <d v="2022-05-10T00:00:00"/>
    <x v="384"/>
    <x v="384"/>
    <n v="138"/>
  </r>
  <r>
    <x v="4"/>
    <x v="1"/>
    <s v="Eclairs"/>
    <d v="2022-08-25T00:00:00"/>
    <x v="135"/>
    <x v="135"/>
    <n v="322"/>
  </r>
  <r>
    <x v="24"/>
    <x v="3"/>
    <s v="Organic Choco Syrup"/>
    <d v="2022-07-15T00:00:00"/>
    <x v="385"/>
    <x v="385"/>
    <n v="85"/>
  </r>
  <r>
    <x v="2"/>
    <x v="0"/>
    <s v="Baker's Choco Chips"/>
    <d v="2022-05-16T00:00:00"/>
    <x v="386"/>
    <x v="386"/>
    <n v="409"/>
  </r>
  <r>
    <x v="3"/>
    <x v="2"/>
    <s v="50% Dark Bites"/>
    <d v="2022-06-14T00:00:00"/>
    <x v="387"/>
    <x v="387"/>
    <n v="182"/>
  </r>
  <r>
    <x v="12"/>
    <x v="2"/>
    <s v="Smooth Sliky Salty"/>
    <d v="2022-01-25T00:00:00"/>
    <x v="388"/>
    <x v="388"/>
    <n v="467"/>
  </r>
  <r>
    <x v="24"/>
    <x v="4"/>
    <s v="Organic Choco Syrup"/>
    <d v="2022-07-28T00:00:00"/>
    <x v="389"/>
    <x v="389"/>
    <n v="14"/>
  </r>
  <r>
    <x v="6"/>
    <x v="5"/>
    <s v="Mint Chip Choco"/>
    <d v="2022-01-28T00:00:00"/>
    <x v="390"/>
    <x v="390"/>
    <n v="178"/>
  </r>
  <r>
    <x v="16"/>
    <x v="0"/>
    <s v="Orange Choco"/>
    <d v="2022-06-29T00:00:00"/>
    <x v="391"/>
    <x v="391"/>
    <n v="191"/>
  </r>
  <r>
    <x v="10"/>
    <x v="2"/>
    <s v="70% Dark Bites"/>
    <d v="2022-06-24T00:00:00"/>
    <x v="392"/>
    <x v="392"/>
    <n v="317"/>
  </r>
  <r>
    <x v="5"/>
    <x v="5"/>
    <s v="Mint Chip Choco"/>
    <d v="2022-07-01T00:00:00"/>
    <x v="393"/>
    <x v="393"/>
    <n v="410"/>
  </r>
  <r>
    <x v="13"/>
    <x v="4"/>
    <s v="Peanut Butter Cubes"/>
    <d v="2022-02-25T00:00:00"/>
    <x v="362"/>
    <x v="362"/>
    <n v="137"/>
  </r>
  <r>
    <x v="14"/>
    <x v="5"/>
    <s v="Smooth Sliky Salty"/>
    <d v="2022-08-01T00:00:00"/>
    <x v="394"/>
    <x v="394"/>
    <n v="12"/>
  </r>
  <r>
    <x v="4"/>
    <x v="2"/>
    <s v="Milk Bars"/>
    <d v="2022-06-21T00:00:00"/>
    <x v="23"/>
    <x v="23"/>
    <n v="254"/>
  </r>
  <r>
    <x v="21"/>
    <x v="3"/>
    <s v="Spicy Special Slims"/>
    <d v="2022-01-25T00:00:00"/>
    <x v="395"/>
    <x v="395"/>
    <n v="24"/>
  </r>
  <r>
    <x v="2"/>
    <x v="0"/>
    <s v="Milk Bars"/>
    <d v="2022-05-17T00:00:00"/>
    <x v="396"/>
    <x v="396"/>
    <n v="232"/>
  </r>
  <r>
    <x v="19"/>
    <x v="2"/>
    <s v="85% Dark Bars"/>
    <d v="2022-08-23T00:00:00"/>
    <x v="397"/>
    <x v="397"/>
    <n v="233"/>
  </r>
  <r>
    <x v="21"/>
    <x v="2"/>
    <s v="Smooth Sliky Salty"/>
    <d v="2022-03-03T00:00:00"/>
    <x v="398"/>
    <x v="398"/>
    <n v="118"/>
  </r>
  <r>
    <x v="13"/>
    <x v="1"/>
    <s v="Caramel Stuffed Bars"/>
    <d v="2022-05-30T00:00:00"/>
    <x v="153"/>
    <x v="153"/>
    <n v="543"/>
  </r>
  <r>
    <x v="10"/>
    <x v="4"/>
    <s v="Drinking Coco"/>
    <d v="2022-06-29T00:00:00"/>
    <x v="399"/>
    <x v="399"/>
    <n v="223"/>
  </r>
  <r>
    <x v="19"/>
    <x v="5"/>
    <s v="Organic Choco Syrup"/>
    <d v="2022-01-04T00:00:00"/>
    <x v="400"/>
    <x v="400"/>
    <n v="204"/>
  </r>
  <r>
    <x v="0"/>
    <x v="2"/>
    <s v="Drinking Coco"/>
    <d v="2022-01-14T00:00:00"/>
    <x v="401"/>
    <x v="401"/>
    <n v="65"/>
  </r>
  <r>
    <x v="10"/>
    <x v="4"/>
    <s v="Mint Chip Choco"/>
    <d v="2022-02-15T00:00:00"/>
    <x v="402"/>
    <x v="402"/>
    <n v="53"/>
  </r>
  <r>
    <x v="14"/>
    <x v="3"/>
    <s v="Spicy Special Slims"/>
    <d v="2022-01-10T00:00:00"/>
    <x v="403"/>
    <x v="403"/>
    <n v="469"/>
  </r>
  <r>
    <x v="22"/>
    <x v="4"/>
    <s v="White Choc"/>
    <d v="2022-05-04T00:00:00"/>
    <x v="404"/>
    <x v="404"/>
    <n v="213"/>
  </r>
  <r>
    <x v="19"/>
    <x v="4"/>
    <s v="Spicy Special Slims"/>
    <d v="2022-05-23T00:00:00"/>
    <x v="405"/>
    <x v="405"/>
    <n v="5"/>
  </r>
  <r>
    <x v="8"/>
    <x v="3"/>
    <s v="Fruit &amp; Nut Bars"/>
    <d v="2022-04-26T00:00:00"/>
    <x v="164"/>
    <x v="164"/>
    <n v="147"/>
  </r>
  <r>
    <x v="4"/>
    <x v="5"/>
    <s v="Organic Choco Syrup"/>
    <d v="2022-07-05T00:00:00"/>
    <x v="283"/>
    <x v="283"/>
    <n v="74"/>
  </r>
  <r>
    <x v="22"/>
    <x v="0"/>
    <s v="Organic Choco Syrup"/>
    <d v="2022-07-21T00:00:00"/>
    <x v="406"/>
    <x v="406"/>
    <n v="163"/>
  </r>
  <r>
    <x v="23"/>
    <x v="4"/>
    <s v="Mint Chip Choco"/>
    <d v="2022-02-21T00:00:00"/>
    <x v="407"/>
    <x v="407"/>
    <n v="248"/>
  </r>
  <r>
    <x v="20"/>
    <x v="4"/>
    <s v="Orange Choco"/>
    <d v="2022-02-03T00:00:00"/>
    <x v="279"/>
    <x v="279"/>
    <n v="138"/>
  </r>
  <r>
    <x v="2"/>
    <x v="2"/>
    <s v="Caramel Stuffed Bars"/>
    <d v="2022-07-08T00:00:00"/>
    <x v="80"/>
    <x v="80"/>
    <n v="151"/>
  </r>
  <r>
    <x v="9"/>
    <x v="1"/>
    <s v="50% Dark Bites"/>
    <d v="2022-05-31T00:00:00"/>
    <x v="408"/>
    <x v="408"/>
    <n v="139"/>
  </r>
  <r>
    <x v="1"/>
    <x v="3"/>
    <s v="Mint Chip Choco"/>
    <d v="2022-06-27T00:00:00"/>
    <x v="409"/>
    <x v="409"/>
    <n v="103"/>
  </r>
  <r>
    <x v="1"/>
    <x v="1"/>
    <s v="50% Dark Bites"/>
    <d v="2022-05-13T00:00:00"/>
    <x v="133"/>
    <x v="133"/>
    <n v="129"/>
  </r>
  <r>
    <x v="1"/>
    <x v="4"/>
    <s v="Manuka Honey Choco"/>
    <d v="2022-05-31T00:00:00"/>
    <x v="311"/>
    <x v="311"/>
    <n v="102"/>
  </r>
  <r>
    <x v="18"/>
    <x v="4"/>
    <s v="Orange Choco"/>
    <d v="2022-02-28T00:00:00"/>
    <x v="410"/>
    <x v="410"/>
    <n v="37"/>
  </r>
  <r>
    <x v="8"/>
    <x v="3"/>
    <s v="Eclairs"/>
    <d v="2022-03-28T00:00:00"/>
    <x v="411"/>
    <x v="411"/>
    <n v="31"/>
  </r>
  <r>
    <x v="2"/>
    <x v="4"/>
    <s v="After Nines"/>
    <d v="2022-01-14T00:00:00"/>
    <x v="117"/>
    <x v="117"/>
    <n v="227"/>
  </r>
  <r>
    <x v="8"/>
    <x v="3"/>
    <s v="Mint Chip Choco"/>
    <d v="2022-02-21T00:00:00"/>
    <x v="412"/>
    <x v="412"/>
    <n v="145"/>
  </r>
  <r>
    <x v="17"/>
    <x v="5"/>
    <s v="85% Dark Bars"/>
    <d v="2022-08-01T00:00:00"/>
    <x v="413"/>
    <x v="413"/>
    <n v="90"/>
  </r>
  <r>
    <x v="12"/>
    <x v="3"/>
    <s v="Smooth Sliky Salty"/>
    <d v="2022-05-19T00:00:00"/>
    <x v="414"/>
    <x v="414"/>
    <n v="59"/>
  </r>
  <r>
    <x v="15"/>
    <x v="4"/>
    <s v="White Choc"/>
    <d v="2022-07-13T00:00:00"/>
    <x v="62"/>
    <x v="62"/>
    <n v="60"/>
  </r>
  <r>
    <x v="19"/>
    <x v="2"/>
    <s v="Peanut Butter Cubes"/>
    <d v="2022-04-20T00:00:00"/>
    <x v="415"/>
    <x v="415"/>
    <n v="148"/>
  </r>
  <r>
    <x v="17"/>
    <x v="1"/>
    <s v="85% Dark Bars"/>
    <d v="2022-06-30T00:00:00"/>
    <x v="416"/>
    <x v="416"/>
    <n v="22"/>
  </r>
  <r>
    <x v="14"/>
    <x v="0"/>
    <s v="50% Dark Bites"/>
    <d v="2022-03-08T00:00:00"/>
    <x v="289"/>
    <x v="289"/>
    <n v="142"/>
  </r>
  <r>
    <x v="5"/>
    <x v="4"/>
    <s v="Fruit &amp; Nut Bars"/>
    <d v="2022-03-09T00:00:00"/>
    <x v="417"/>
    <x v="417"/>
    <n v="93"/>
  </r>
  <r>
    <x v="4"/>
    <x v="5"/>
    <s v="Raspberry Choco"/>
    <d v="2022-06-16T00:00:00"/>
    <x v="418"/>
    <x v="418"/>
    <n v="208"/>
  </r>
  <r>
    <x v="2"/>
    <x v="0"/>
    <s v="Drinking Coco"/>
    <d v="2022-06-30T00:00:00"/>
    <x v="419"/>
    <x v="419"/>
    <n v="42"/>
  </r>
  <r>
    <x v="20"/>
    <x v="1"/>
    <s v="Mint Chip Choco"/>
    <d v="2022-07-28T00:00:00"/>
    <x v="420"/>
    <x v="420"/>
    <n v="120"/>
  </r>
  <r>
    <x v="10"/>
    <x v="5"/>
    <s v="Peanut Butter Cubes"/>
    <d v="2022-08-12T00:00:00"/>
    <x v="421"/>
    <x v="421"/>
    <n v="159"/>
  </r>
  <r>
    <x v="8"/>
    <x v="0"/>
    <s v="Mint Chip Choco"/>
    <d v="2022-07-07T00:00:00"/>
    <x v="340"/>
    <x v="340"/>
    <n v="316"/>
  </r>
  <r>
    <x v="8"/>
    <x v="4"/>
    <s v="85% Dark Bars"/>
    <d v="2022-08-25T00:00:00"/>
    <x v="422"/>
    <x v="422"/>
    <n v="47"/>
  </r>
  <r>
    <x v="15"/>
    <x v="5"/>
    <s v="Eclairs"/>
    <d v="2022-01-17T00:00:00"/>
    <x v="423"/>
    <x v="423"/>
    <n v="233"/>
  </r>
  <r>
    <x v="3"/>
    <x v="2"/>
    <s v="70% Dark Bites"/>
    <d v="2022-03-04T00:00:00"/>
    <x v="424"/>
    <x v="424"/>
    <n v="384"/>
  </r>
  <r>
    <x v="11"/>
    <x v="3"/>
    <s v="Fruit &amp; Nut Bars"/>
    <d v="2022-08-25T00:00:00"/>
    <x v="425"/>
    <x v="425"/>
    <n v="4"/>
  </r>
  <r>
    <x v="24"/>
    <x v="0"/>
    <s v="Peanut Butter Cubes"/>
    <d v="2022-04-15T00:00:00"/>
    <x v="426"/>
    <x v="426"/>
    <n v="260"/>
  </r>
  <r>
    <x v="16"/>
    <x v="4"/>
    <s v="Organic Choco Syrup"/>
    <d v="2022-03-11T00:00:00"/>
    <x v="427"/>
    <x v="427"/>
    <n v="22"/>
  </r>
  <r>
    <x v="21"/>
    <x v="4"/>
    <s v="Raspberry Choco"/>
    <d v="2022-05-20T00:00:00"/>
    <x v="428"/>
    <x v="428"/>
    <n v="18"/>
  </r>
  <r>
    <x v="6"/>
    <x v="3"/>
    <s v="Manuka Honey Choco"/>
    <d v="2022-06-14T00:00:00"/>
    <x v="429"/>
    <x v="429"/>
    <n v="42"/>
  </r>
  <r>
    <x v="0"/>
    <x v="3"/>
    <s v="After Nines"/>
    <d v="2022-04-14T00:00:00"/>
    <x v="430"/>
    <x v="430"/>
    <n v="73"/>
  </r>
  <r>
    <x v="0"/>
    <x v="4"/>
    <s v="Smooth Sliky Salty"/>
    <d v="2022-07-07T00:00:00"/>
    <x v="431"/>
    <x v="431"/>
    <n v="154"/>
  </r>
  <r>
    <x v="22"/>
    <x v="1"/>
    <s v="Mint Chip Choco"/>
    <d v="2022-08-24T00:00:00"/>
    <x v="432"/>
    <x v="432"/>
    <n v="71"/>
  </r>
  <r>
    <x v="0"/>
    <x v="1"/>
    <s v="Eclairs"/>
    <d v="2022-02-24T00:00:00"/>
    <x v="433"/>
    <x v="433"/>
    <n v="127"/>
  </r>
  <r>
    <x v="10"/>
    <x v="5"/>
    <s v="Raspberry Choco"/>
    <d v="2022-05-09T00:00:00"/>
    <x v="434"/>
    <x v="434"/>
    <n v="224"/>
  </r>
  <r>
    <x v="16"/>
    <x v="2"/>
    <s v="70% Dark Bites"/>
    <d v="2022-02-08T00:00:00"/>
    <x v="435"/>
    <x v="435"/>
    <n v="223"/>
  </r>
  <r>
    <x v="13"/>
    <x v="0"/>
    <s v="70% Dark Bites"/>
    <d v="2022-03-24T00:00:00"/>
    <x v="436"/>
    <x v="436"/>
    <n v="284"/>
  </r>
  <r>
    <x v="7"/>
    <x v="4"/>
    <s v="Drinking Coco"/>
    <d v="2022-06-20T00:00:00"/>
    <x v="437"/>
    <x v="437"/>
    <n v="73"/>
  </r>
  <r>
    <x v="9"/>
    <x v="5"/>
    <s v="Manuka Honey Choco"/>
    <d v="2022-03-07T00:00:00"/>
    <x v="438"/>
    <x v="438"/>
    <n v="112"/>
  </r>
  <r>
    <x v="16"/>
    <x v="2"/>
    <s v="Fruit &amp; Nut Bars"/>
    <d v="2022-06-20T00:00:00"/>
    <x v="439"/>
    <x v="439"/>
    <n v="85"/>
  </r>
  <r>
    <x v="4"/>
    <x v="3"/>
    <s v="Organic Choco Syrup"/>
    <d v="2022-02-17T00:00:00"/>
    <x v="440"/>
    <x v="440"/>
    <n v="270"/>
  </r>
  <r>
    <x v="22"/>
    <x v="0"/>
    <s v="99% Dark &amp; Pure"/>
    <d v="2022-01-26T00:00:00"/>
    <x v="295"/>
    <x v="295"/>
    <n v="45"/>
  </r>
  <r>
    <x v="22"/>
    <x v="2"/>
    <s v="Mint Chip Choco"/>
    <d v="2022-05-02T00:00:00"/>
    <x v="441"/>
    <x v="441"/>
    <n v="153"/>
  </r>
  <r>
    <x v="14"/>
    <x v="5"/>
    <s v="99% Dark &amp; Pure"/>
    <d v="2022-07-07T00:00:00"/>
    <x v="163"/>
    <x v="163"/>
    <n v="7"/>
  </r>
  <r>
    <x v="7"/>
    <x v="2"/>
    <s v="Baker's Choco Chips"/>
    <d v="2022-08-22T00:00:00"/>
    <x v="442"/>
    <x v="442"/>
    <n v="51"/>
  </r>
  <r>
    <x v="10"/>
    <x v="2"/>
    <s v="After Nines"/>
    <d v="2022-08-11T00:00:00"/>
    <x v="443"/>
    <x v="443"/>
    <n v="67"/>
  </r>
  <r>
    <x v="11"/>
    <x v="0"/>
    <s v="99% Dark &amp; Pure"/>
    <d v="2022-01-13T00:00:00"/>
    <x v="172"/>
    <x v="172"/>
    <n v="194"/>
  </r>
  <r>
    <x v="5"/>
    <x v="2"/>
    <s v="50% Dark Bites"/>
    <d v="2022-03-02T00:00:00"/>
    <x v="444"/>
    <x v="444"/>
    <n v="116"/>
  </r>
  <r>
    <x v="11"/>
    <x v="2"/>
    <s v="Choco Coated Almonds"/>
    <d v="2022-07-27T00:00:00"/>
    <x v="445"/>
    <x v="445"/>
    <n v="41"/>
  </r>
  <r>
    <x v="20"/>
    <x v="3"/>
    <s v="Drinking Coco"/>
    <d v="2022-03-10T00:00:00"/>
    <x v="446"/>
    <x v="446"/>
    <n v="111"/>
  </r>
  <r>
    <x v="12"/>
    <x v="4"/>
    <s v="85% Dark Bars"/>
    <d v="2022-08-23T00:00:00"/>
    <x v="447"/>
    <x v="447"/>
    <n v="334"/>
  </r>
  <r>
    <x v="13"/>
    <x v="4"/>
    <s v="Eclairs"/>
    <d v="2022-04-25T00:00:00"/>
    <x v="7"/>
    <x v="7"/>
    <n v="155"/>
  </r>
  <r>
    <x v="17"/>
    <x v="0"/>
    <s v="Milk Bars"/>
    <d v="2022-03-07T00:00:00"/>
    <x v="448"/>
    <x v="448"/>
    <n v="407"/>
  </r>
  <r>
    <x v="18"/>
    <x v="0"/>
    <s v="Organic Choco Syrup"/>
    <d v="2022-07-12T00:00:00"/>
    <x v="449"/>
    <x v="449"/>
    <n v="52"/>
  </r>
  <r>
    <x v="22"/>
    <x v="4"/>
    <s v="Orange Choco"/>
    <d v="2022-05-16T00:00:00"/>
    <x v="450"/>
    <x v="450"/>
    <n v="138"/>
  </r>
  <r>
    <x v="5"/>
    <x v="1"/>
    <s v="Smooth Sliky Salty"/>
    <d v="2022-03-02T00:00:00"/>
    <x v="227"/>
    <x v="227"/>
    <n v="70"/>
  </r>
  <r>
    <x v="11"/>
    <x v="3"/>
    <s v="85% Dark Bars"/>
    <d v="2022-05-30T00:00:00"/>
    <x v="312"/>
    <x v="312"/>
    <n v="149"/>
  </r>
  <r>
    <x v="11"/>
    <x v="0"/>
    <s v="Manuka Honey Choco"/>
    <d v="2022-06-10T00:00:00"/>
    <x v="451"/>
    <x v="451"/>
    <n v="179"/>
  </r>
  <r>
    <x v="6"/>
    <x v="4"/>
    <s v="99% Dark &amp; Pure"/>
    <d v="2022-07-25T00:00:00"/>
    <x v="452"/>
    <x v="452"/>
    <n v="353"/>
  </r>
  <r>
    <x v="12"/>
    <x v="3"/>
    <s v="Mint Chip Choco"/>
    <d v="2022-06-09T00:00:00"/>
    <x v="149"/>
    <x v="149"/>
    <n v="97"/>
  </r>
  <r>
    <x v="17"/>
    <x v="4"/>
    <s v="Milk Bars"/>
    <d v="2022-05-12T00:00:00"/>
    <x v="453"/>
    <x v="453"/>
    <n v="60"/>
  </r>
  <r>
    <x v="5"/>
    <x v="4"/>
    <s v="Drinking Coco"/>
    <d v="2022-05-09T00:00:00"/>
    <x v="454"/>
    <x v="454"/>
    <n v="5"/>
  </r>
  <r>
    <x v="6"/>
    <x v="5"/>
    <s v="Manuka Honey Choco"/>
    <d v="2022-08-09T00:00:00"/>
    <x v="455"/>
    <x v="455"/>
    <n v="182"/>
  </r>
  <r>
    <x v="1"/>
    <x v="1"/>
    <s v="Choco Coated Almonds"/>
    <d v="2022-04-13T00:00:00"/>
    <x v="317"/>
    <x v="317"/>
    <n v="114"/>
  </r>
  <r>
    <x v="19"/>
    <x v="4"/>
    <s v="Caramel Stuffed Bars"/>
    <d v="2022-05-02T00:00:00"/>
    <x v="456"/>
    <x v="456"/>
    <n v="46"/>
  </r>
  <r>
    <x v="23"/>
    <x v="4"/>
    <s v="99% Dark &amp; Pure"/>
    <d v="2022-08-09T00:00:00"/>
    <x v="457"/>
    <x v="457"/>
    <n v="320"/>
  </r>
  <r>
    <x v="21"/>
    <x v="2"/>
    <s v="Raspberry Choco"/>
    <d v="2022-08-23T00:00:00"/>
    <x v="458"/>
    <x v="458"/>
    <n v="178"/>
  </r>
  <r>
    <x v="5"/>
    <x v="1"/>
    <s v="Spicy Special Slims"/>
    <d v="2022-05-13T00:00:00"/>
    <x v="459"/>
    <x v="459"/>
    <n v="170"/>
  </r>
  <r>
    <x v="10"/>
    <x v="4"/>
    <s v="Manuka Honey Choco"/>
    <d v="2022-02-01T00:00:00"/>
    <x v="460"/>
    <x v="460"/>
    <n v="67"/>
  </r>
  <r>
    <x v="21"/>
    <x v="4"/>
    <s v="50% Dark Bites"/>
    <d v="2022-06-23T00:00:00"/>
    <x v="461"/>
    <x v="461"/>
    <n v="301"/>
  </r>
  <r>
    <x v="22"/>
    <x v="0"/>
    <s v="Choco Coated Almonds"/>
    <d v="2022-05-24T00:00:00"/>
    <x v="462"/>
    <x v="462"/>
    <n v="134"/>
  </r>
  <r>
    <x v="3"/>
    <x v="5"/>
    <s v="Mint Chip Choco"/>
    <d v="2022-04-01T00:00:00"/>
    <x v="95"/>
    <x v="95"/>
    <n v="211"/>
  </r>
  <r>
    <x v="21"/>
    <x v="5"/>
    <s v="70% Dark Bites"/>
    <d v="2022-07-27T00:00:00"/>
    <x v="463"/>
    <x v="463"/>
    <n v="151"/>
  </r>
  <r>
    <x v="24"/>
    <x v="1"/>
    <s v="Peanut Butter Cubes"/>
    <d v="2022-01-27T00:00:00"/>
    <x v="464"/>
    <x v="464"/>
    <n v="208"/>
  </r>
  <r>
    <x v="3"/>
    <x v="1"/>
    <s v="Choco Coated Almonds"/>
    <d v="2022-08-12T00:00:00"/>
    <x v="134"/>
    <x v="134"/>
    <n v="134"/>
  </r>
  <r>
    <x v="2"/>
    <x v="5"/>
    <s v="Almond Choco"/>
    <d v="2022-02-01T00:00:00"/>
    <x v="465"/>
    <x v="465"/>
    <n v="49"/>
  </r>
  <r>
    <x v="7"/>
    <x v="1"/>
    <s v="After Nines"/>
    <d v="2022-03-02T00:00:00"/>
    <x v="466"/>
    <x v="466"/>
    <n v="204"/>
  </r>
  <r>
    <x v="20"/>
    <x v="2"/>
    <s v="99% Dark &amp; Pure"/>
    <d v="2022-06-30T00:00:00"/>
    <x v="467"/>
    <x v="467"/>
    <n v="34"/>
  </r>
  <r>
    <x v="23"/>
    <x v="2"/>
    <s v="Spicy Special Slims"/>
    <d v="2022-01-17T00:00:00"/>
    <x v="468"/>
    <x v="468"/>
    <n v="91"/>
  </r>
  <r>
    <x v="6"/>
    <x v="4"/>
    <s v="Milk Bars"/>
    <d v="2022-07-07T00:00:00"/>
    <x v="469"/>
    <x v="469"/>
    <n v="130"/>
  </r>
  <r>
    <x v="9"/>
    <x v="3"/>
    <s v="Mint Chip Choco"/>
    <d v="2022-01-31T00:00:00"/>
    <x v="470"/>
    <x v="470"/>
    <n v="107"/>
  </r>
  <r>
    <x v="12"/>
    <x v="0"/>
    <s v="99% Dark &amp; Pure"/>
    <d v="2022-08-10T00:00:00"/>
    <x v="471"/>
    <x v="471"/>
    <n v="121"/>
  </r>
  <r>
    <x v="12"/>
    <x v="4"/>
    <s v="Peanut Butter Cubes"/>
    <d v="2022-08-18T00:00:00"/>
    <x v="472"/>
    <x v="472"/>
    <n v="339"/>
  </r>
  <r>
    <x v="6"/>
    <x v="3"/>
    <s v="White Choc"/>
    <d v="2022-06-15T00:00:00"/>
    <x v="338"/>
    <x v="338"/>
    <n v="321"/>
  </r>
  <r>
    <x v="11"/>
    <x v="4"/>
    <s v="Baker's Choco Chips"/>
    <d v="2022-01-26T00:00:00"/>
    <x v="473"/>
    <x v="473"/>
    <n v="9"/>
  </r>
  <r>
    <x v="20"/>
    <x v="4"/>
    <s v="Spicy Special Slims"/>
    <d v="2022-04-29T00:00:00"/>
    <x v="474"/>
    <x v="474"/>
    <n v="69"/>
  </r>
  <r>
    <x v="9"/>
    <x v="5"/>
    <s v="White Choc"/>
    <d v="2022-03-03T00:00:00"/>
    <x v="475"/>
    <x v="475"/>
    <n v="72"/>
  </r>
  <r>
    <x v="16"/>
    <x v="2"/>
    <s v="Almond Choco"/>
    <d v="2022-02-22T00:00:00"/>
    <x v="476"/>
    <x v="476"/>
    <n v="392"/>
  </r>
  <r>
    <x v="4"/>
    <x v="4"/>
    <s v="Smooth Sliky Salty"/>
    <d v="2022-03-04T00:00:00"/>
    <x v="350"/>
    <x v="350"/>
    <n v="158"/>
  </r>
  <r>
    <x v="17"/>
    <x v="1"/>
    <s v="Smooth Sliky Salty"/>
    <d v="2022-07-07T00:00:00"/>
    <x v="477"/>
    <x v="477"/>
    <n v="9"/>
  </r>
  <r>
    <x v="21"/>
    <x v="3"/>
    <s v="Caramel Stuffed Bars"/>
    <d v="2022-06-17T00:00:00"/>
    <x v="478"/>
    <x v="478"/>
    <n v="347"/>
  </r>
  <r>
    <x v="3"/>
    <x v="5"/>
    <s v="Caramel Stuffed Bars"/>
    <d v="2022-08-02T00:00:00"/>
    <x v="479"/>
    <x v="479"/>
    <n v="114"/>
  </r>
  <r>
    <x v="4"/>
    <x v="4"/>
    <s v="Baker's Choco Chips"/>
    <d v="2022-08-12T00:00:00"/>
    <x v="80"/>
    <x v="80"/>
    <n v="120"/>
  </r>
  <r>
    <x v="22"/>
    <x v="3"/>
    <s v="Peanut Butter Cubes"/>
    <d v="2022-01-28T00:00:00"/>
    <x v="480"/>
    <x v="480"/>
    <n v="333"/>
  </r>
  <r>
    <x v="20"/>
    <x v="2"/>
    <s v="Orange Choco"/>
    <d v="2022-04-29T00:00:00"/>
    <x v="481"/>
    <x v="481"/>
    <n v="432"/>
  </r>
  <r>
    <x v="11"/>
    <x v="2"/>
    <s v="Manuka Honey Choco"/>
    <d v="2022-04-05T00:00:00"/>
    <x v="482"/>
    <x v="482"/>
    <n v="236"/>
  </r>
  <r>
    <x v="16"/>
    <x v="5"/>
    <s v="Manuka Honey Choco"/>
    <d v="2022-01-18T00:00:00"/>
    <x v="483"/>
    <x v="483"/>
    <n v="135"/>
  </r>
  <r>
    <x v="0"/>
    <x v="0"/>
    <s v="Baker's Choco Chips"/>
    <d v="2022-05-16T00:00:00"/>
    <x v="484"/>
    <x v="484"/>
    <n v="97"/>
  </r>
  <r>
    <x v="20"/>
    <x v="2"/>
    <s v="White Choc"/>
    <d v="2022-08-24T00:00:00"/>
    <x v="485"/>
    <x v="485"/>
    <n v="168"/>
  </r>
  <r>
    <x v="14"/>
    <x v="1"/>
    <s v="85% Dark Bars"/>
    <d v="2022-01-18T00:00:00"/>
    <x v="58"/>
    <x v="58"/>
    <n v="402"/>
  </r>
  <r>
    <x v="16"/>
    <x v="4"/>
    <s v="Eclairs"/>
    <d v="2022-08-22T00:00:00"/>
    <x v="385"/>
    <x v="385"/>
    <n v="10"/>
  </r>
  <r>
    <x v="5"/>
    <x v="0"/>
    <s v="99% Dark &amp; Pure"/>
    <d v="2022-03-07T00:00:00"/>
    <x v="486"/>
    <x v="486"/>
    <n v="84"/>
  </r>
  <r>
    <x v="12"/>
    <x v="0"/>
    <s v="Choco Coated Almonds"/>
    <d v="2022-03-04T00:00:00"/>
    <x v="280"/>
    <x v="280"/>
    <n v="69"/>
  </r>
  <r>
    <x v="23"/>
    <x v="5"/>
    <s v="Manuka Honey Choco"/>
    <d v="2022-04-22T00:00:00"/>
    <x v="115"/>
    <x v="115"/>
    <n v="111"/>
  </r>
  <r>
    <x v="16"/>
    <x v="2"/>
    <s v="Milk Bars"/>
    <d v="2022-06-09T00:00:00"/>
    <x v="409"/>
    <x v="409"/>
    <n v="89"/>
  </r>
  <r>
    <x v="3"/>
    <x v="5"/>
    <s v="Fruit &amp; Nut Bars"/>
    <d v="2022-07-25T00:00:00"/>
    <x v="487"/>
    <x v="487"/>
    <n v="199"/>
  </r>
  <r>
    <x v="3"/>
    <x v="1"/>
    <s v="Smooth Sliky Salty"/>
    <d v="2022-08-03T00:00:00"/>
    <x v="445"/>
    <x v="445"/>
    <n v="89"/>
  </r>
  <r>
    <x v="7"/>
    <x v="2"/>
    <s v="Manuka Honey Choco"/>
    <d v="2022-08-03T00:00:00"/>
    <x v="488"/>
    <x v="488"/>
    <n v="131"/>
  </r>
  <r>
    <x v="0"/>
    <x v="0"/>
    <s v="Milk Bars"/>
    <d v="2022-05-03T00:00:00"/>
    <x v="489"/>
    <x v="489"/>
    <n v="227"/>
  </r>
  <r>
    <x v="15"/>
    <x v="5"/>
    <s v="After Nines"/>
    <d v="2022-01-19T00:00:00"/>
    <x v="490"/>
    <x v="490"/>
    <n v="301"/>
  </r>
  <r>
    <x v="13"/>
    <x v="4"/>
    <s v="50% Dark Bites"/>
    <d v="2022-02-11T00:00:00"/>
    <x v="491"/>
    <x v="491"/>
    <n v="316"/>
  </r>
  <r>
    <x v="1"/>
    <x v="1"/>
    <s v="Almond Choco"/>
    <d v="2022-06-14T00:00:00"/>
    <x v="492"/>
    <x v="492"/>
    <n v="390"/>
  </r>
  <r>
    <x v="20"/>
    <x v="4"/>
    <s v="50% Dark Bites"/>
    <d v="2022-03-23T00:00:00"/>
    <x v="87"/>
    <x v="87"/>
    <n v="223"/>
  </r>
  <r>
    <x v="22"/>
    <x v="5"/>
    <s v="85% Dark Bars"/>
    <d v="2022-02-17T00:00:00"/>
    <x v="493"/>
    <x v="493"/>
    <n v="101"/>
  </r>
  <r>
    <x v="17"/>
    <x v="5"/>
    <s v="Smooth Sliky Salty"/>
    <d v="2022-03-17T00:00:00"/>
    <x v="418"/>
    <x v="418"/>
    <n v="479"/>
  </r>
  <r>
    <x v="9"/>
    <x v="2"/>
    <s v="Spicy Special Slims"/>
    <d v="2022-06-29T00:00:00"/>
    <x v="494"/>
    <x v="494"/>
    <n v="287"/>
  </r>
  <r>
    <x v="24"/>
    <x v="5"/>
    <s v="Choco Coated Almonds"/>
    <d v="2022-08-24T00:00:00"/>
    <x v="495"/>
    <x v="495"/>
    <n v="269"/>
  </r>
  <r>
    <x v="2"/>
    <x v="5"/>
    <s v="Spicy Special Slims"/>
    <d v="2022-07-04T00:00:00"/>
    <x v="496"/>
    <x v="496"/>
    <n v="277"/>
  </r>
  <r>
    <x v="13"/>
    <x v="3"/>
    <s v="Almond Choco"/>
    <d v="2022-03-28T00:00:00"/>
    <x v="497"/>
    <x v="497"/>
    <n v="67"/>
  </r>
  <r>
    <x v="14"/>
    <x v="1"/>
    <s v="Smooth Sliky Salty"/>
    <d v="2022-04-19T00:00:00"/>
    <x v="498"/>
    <x v="498"/>
    <n v="135"/>
  </r>
  <r>
    <x v="24"/>
    <x v="3"/>
    <s v="Mint Chip Choco"/>
    <d v="2022-01-18T00:00:00"/>
    <x v="157"/>
    <x v="157"/>
    <n v="229"/>
  </r>
  <r>
    <x v="1"/>
    <x v="3"/>
    <s v="Fruit &amp; Nut Bars"/>
    <d v="2022-01-17T00:00:00"/>
    <x v="336"/>
    <x v="336"/>
    <n v="88"/>
  </r>
  <r>
    <x v="19"/>
    <x v="3"/>
    <s v="Mint Chip Choco"/>
    <d v="2022-02-15T00:00:00"/>
    <x v="499"/>
    <x v="499"/>
    <n v="211"/>
  </r>
  <r>
    <x v="19"/>
    <x v="0"/>
    <s v="Milk Bars"/>
    <d v="2022-02-11T00:00:00"/>
    <x v="500"/>
    <x v="500"/>
    <n v="293"/>
  </r>
  <r>
    <x v="21"/>
    <x v="4"/>
    <s v="Manuka Honey Choco"/>
    <d v="2022-03-21T00:00:00"/>
    <x v="501"/>
    <x v="501"/>
    <n v="179"/>
  </r>
  <r>
    <x v="5"/>
    <x v="3"/>
    <s v="Almond Choco"/>
    <d v="2022-01-05T00:00:00"/>
    <x v="502"/>
    <x v="502"/>
    <n v="129"/>
  </r>
  <r>
    <x v="6"/>
    <x v="1"/>
    <s v="Raspberry Choco"/>
    <d v="2022-05-30T00:00:00"/>
    <x v="262"/>
    <x v="262"/>
    <n v="164"/>
  </r>
  <r>
    <x v="0"/>
    <x v="4"/>
    <s v="99% Dark &amp; Pure"/>
    <d v="2022-01-04T00:00:00"/>
    <x v="503"/>
    <x v="503"/>
    <n v="219"/>
  </r>
  <r>
    <x v="12"/>
    <x v="2"/>
    <s v="Fruit &amp; Nut Bars"/>
    <d v="2022-04-22T00:00:00"/>
    <x v="438"/>
    <x v="438"/>
    <n v="258"/>
  </r>
  <r>
    <x v="2"/>
    <x v="5"/>
    <s v="Milk Bars"/>
    <d v="2022-02-10T00:00:00"/>
    <x v="150"/>
    <x v="150"/>
    <n v="116"/>
  </r>
  <r>
    <x v="23"/>
    <x v="1"/>
    <s v="Spicy Special Slims"/>
    <d v="2022-08-12T00:00:00"/>
    <x v="504"/>
    <x v="504"/>
    <n v="204"/>
  </r>
  <r>
    <x v="5"/>
    <x v="4"/>
    <s v="Organic Choco Syrup"/>
    <d v="2022-08-10T00:00:00"/>
    <x v="505"/>
    <x v="505"/>
    <n v="321"/>
  </r>
  <r>
    <x v="20"/>
    <x v="2"/>
    <s v="Raspberry Choco"/>
    <d v="2022-06-07T00:00:00"/>
    <x v="352"/>
    <x v="352"/>
    <n v="56"/>
  </r>
  <r>
    <x v="0"/>
    <x v="1"/>
    <s v="Baker's Choco Chips"/>
    <d v="2022-06-06T00:00:00"/>
    <x v="506"/>
    <x v="506"/>
    <n v="74"/>
  </r>
  <r>
    <x v="10"/>
    <x v="3"/>
    <s v="Baker's Choco Chips"/>
    <d v="2022-04-05T00:00:00"/>
    <x v="507"/>
    <x v="507"/>
    <n v="189"/>
  </r>
  <r>
    <x v="18"/>
    <x v="4"/>
    <s v="50% Dark Bites"/>
    <d v="2022-04-18T00:00:00"/>
    <x v="2"/>
    <x v="2"/>
    <n v="131"/>
  </r>
  <r>
    <x v="19"/>
    <x v="1"/>
    <s v="50% Dark Bites"/>
    <d v="2022-01-31T00:00:00"/>
    <x v="508"/>
    <x v="508"/>
    <n v="15"/>
  </r>
  <r>
    <x v="22"/>
    <x v="4"/>
    <s v="Baker's Choco Chips"/>
    <d v="2022-08-22T00:00:00"/>
    <x v="509"/>
    <x v="509"/>
    <n v="140"/>
  </r>
  <r>
    <x v="0"/>
    <x v="2"/>
    <s v="99% Dark &amp; Pure"/>
    <d v="2022-02-25T00:00:00"/>
    <x v="510"/>
    <x v="510"/>
    <n v="198"/>
  </r>
  <r>
    <x v="3"/>
    <x v="2"/>
    <s v="Mint Chip Choco"/>
    <d v="2022-02-22T00:00:00"/>
    <x v="511"/>
    <x v="511"/>
    <n v="103"/>
  </r>
  <r>
    <x v="4"/>
    <x v="3"/>
    <s v="Milk Bars"/>
    <d v="2022-01-12T00:00:00"/>
    <x v="512"/>
    <x v="512"/>
    <n v="187"/>
  </r>
  <r>
    <x v="6"/>
    <x v="0"/>
    <s v="Almond Choco"/>
    <d v="2022-05-25T00:00:00"/>
    <x v="513"/>
    <x v="513"/>
    <n v="125"/>
  </r>
  <r>
    <x v="20"/>
    <x v="1"/>
    <s v="Smooth Sliky Salty"/>
    <d v="2022-02-01T00:00:00"/>
    <x v="126"/>
    <x v="126"/>
    <n v="8"/>
  </r>
  <r>
    <x v="7"/>
    <x v="0"/>
    <s v="Eclairs"/>
    <d v="2022-04-27T00:00:00"/>
    <x v="279"/>
    <x v="279"/>
    <n v="70"/>
  </r>
  <r>
    <x v="2"/>
    <x v="4"/>
    <s v="Smooth Sliky Salty"/>
    <d v="2022-07-22T00:00:00"/>
    <x v="175"/>
    <x v="175"/>
    <n v="126"/>
  </r>
  <r>
    <x v="14"/>
    <x v="3"/>
    <s v="Mint Chip Choco"/>
    <d v="2022-01-26T00:00:00"/>
    <x v="514"/>
    <x v="514"/>
    <n v="265"/>
  </r>
  <r>
    <x v="14"/>
    <x v="4"/>
    <s v="Mint Chip Choco"/>
    <d v="2022-08-24T00:00:00"/>
    <x v="515"/>
    <x v="515"/>
    <n v="296"/>
  </r>
  <r>
    <x v="22"/>
    <x v="3"/>
    <s v="Fruit &amp; Nut Bars"/>
    <d v="2022-01-18T00:00:00"/>
    <x v="516"/>
    <x v="516"/>
    <n v="21"/>
  </r>
  <r>
    <x v="10"/>
    <x v="1"/>
    <s v="85% Dark Bars"/>
    <d v="2022-03-30T00:00:00"/>
    <x v="517"/>
    <x v="517"/>
    <n v="83"/>
  </r>
  <r>
    <x v="24"/>
    <x v="2"/>
    <s v="Caramel Stuffed Bars"/>
    <d v="2022-01-17T00:00:00"/>
    <x v="518"/>
    <x v="518"/>
    <n v="162"/>
  </r>
  <r>
    <x v="20"/>
    <x v="4"/>
    <s v="Fruit &amp; Nut Bars"/>
    <d v="2022-02-17T00:00:00"/>
    <x v="519"/>
    <x v="519"/>
    <n v="145"/>
  </r>
  <r>
    <x v="20"/>
    <x v="5"/>
    <s v="Peanut Butter Cubes"/>
    <d v="2022-04-08T00:00:00"/>
    <x v="520"/>
    <x v="520"/>
    <n v="44"/>
  </r>
  <r>
    <x v="2"/>
    <x v="5"/>
    <s v="Drinking Coco"/>
    <d v="2022-07-06T00:00:00"/>
    <x v="158"/>
    <x v="158"/>
    <n v="82"/>
  </r>
  <r>
    <x v="15"/>
    <x v="1"/>
    <s v="Fruit &amp; Nut Bars"/>
    <d v="2022-04-04T00:00:00"/>
    <x v="521"/>
    <x v="521"/>
    <n v="226"/>
  </r>
  <r>
    <x v="3"/>
    <x v="3"/>
    <s v="Organic Choco Syrup"/>
    <d v="2022-03-02T00:00:00"/>
    <x v="522"/>
    <x v="522"/>
    <n v="207"/>
  </r>
  <r>
    <x v="2"/>
    <x v="3"/>
    <s v="Raspberry Choco"/>
    <d v="2022-08-09T00:00:00"/>
    <x v="523"/>
    <x v="523"/>
    <n v="176"/>
  </r>
  <r>
    <x v="17"/>
    <x v="2"/>
    <s v="Milk Bars"/>
    <d v="2022-06-09T00:00:00"/>
    <x v="524"/>
    <x v="524"/>
    <n v="286"/>
  </r>
  <r>
    <x v="24"/>
    <x v="0"/>
    <s v="Caramel Stuffed Bars"/>
    <d v="2022-06-02T00:00:00"/>
    <x v="525"/>
    <x v="525"/>
    <n v="300"/>
  </r>
  <r>
    <x v="1"/>
    <x v="4"/>
    <s v="Fruit &amp; Nut Bars"/>
    <d v="2022-07-05T00:00:00"/>
    <x v="526"/>
    <x v="526"/>
    <n v="235"/>
  </r>
  <r>
    <x v="19"/>
    <x v="5"/>
    <s v="Eclairs"/>
    <d v="2022-08-11T00:00:00"/>
    <x v="527"/>
    <x v="527"/>
    <n v="125"/>
  </r>
  <r>
    <x v="22"/>
    <x v="1"/>
    <s v="Choco Coated Almonds"/>
    <d v="2022-02-11T00:00:00"/>
    <x v="528"/>
    <x v="528"/>
    <n v="145"/>
  </r>
  <r>
    <x v="20"/>
    <x v="3"/>
    <s v="Spicy Special Slims"/>
    <d v="2022-08-11T00:00:00"/>
    <x v="529"/>
    <x v="529"/>
    <n v="65"/>
  </r>
  <r>
    <x v="13"/>
    <x v="2"/>
    <s v="Drinking Coco"/>
    <d v="2022-05-12T00:00:00"/>
    <x v="530"/>
    <x v="530"/>
    <n v="102"/>
  </r>
  <r>
    <x v="18"/>
    <x v="4"/>
    <s v="Milk Bars"/>
    <d v="2022-07-15T00:00:00"/>
    <x v="507"/>
    <x v="507"/>
    <n v="93"/>
  </r>
  <r>
    <x v="19"/>
    <x v="1"/>
    <s v="Organic Choco Syrup"/>
    <d v="2022-01-18T00:00:00"/>
    <x v="531"/>
    <x v="531"/>
    <n v="134"/>
  </r>
  <r>
    <x v="22"/>
    <x v="0"/>
    <s v="Fruit &amp; Nut Bars"/>
    <d v="2022-01-05T00:00:00"/>
    <x v="532"/>
    <x v="532"/>
    <n v="189"/>
  </r>
  <r>
    <x v="14"/>
    <x v="2"/>
    <s v="50% Dark Bites"/>
    <d v="2022-06-29T00:00:00"/>
    <x v="533"/>
    <x v="533"/>
    <n v="232"/>
  </r>
  <r>
    <x v="6"/>
    <x v="5"/>
    <s v="Raspberry Choco"/>
    <d v="2022-06-14T00:00:00"/>
    <x v="69"/>
    <x v="69"/>
    <n v="45"/>
  </r>
  <r>
    <x v="5"/>
    <x v="1"/>
    <s v="Mint Chip Choco"/>
    <d v="2022-08-08T00:00:00"/>
    <x v="534"/>
    <x v="534"/>
    <n v="67"/>
  </r>
  <r>
    <x v="17"/>
    <x v="1"/>
    <s v="Mint Chip Choco"/>
    <d v="2022-03-23T00:00:00"/>
    <x v="535"/>
    <x v="535"/>
    <n v="138"/>
  </r>
  <r>
    <x v="8"/>
    <x v="1"/>
    <s v="Caramel Stuffed Bars"/>
    <d v="2022-01-04T00:00:00"/>
    <x v="536"/>
    <x v="536"/>
    <n v="99"/>
  </r>
  <r>
    <x v="6"/>
    <x v="1"/>
    <s v="Milk Bars"/>
    <d v="2022-02-22T00:00:00"/>
    <x v="537"/>
    <x v="537"/>
    <n v="251"/>
  </r>
  <r>
    <x v="12"/>
    <x v="0"/>
    <s v="Spicy Special Slims"/>
    <d v="2022-02-17T00:00:00"/>
    <x v="538"/>
    <x v="538"/>
    <n v="252"/>
  </r>
  <r>
    <x v="8"/>
    <x v="4"/>
    <s v="Almond Choco"/>
    <d v="2022-02-03T00:00:00"/>
    <x v="539"/>
    <x v="539"/>
    <n v="78"/>
  </r>
  <r>
    <x v="1"/>
    <x v="5"/>
    <s v="Raspberry Choco"/>
    <d v="2022-03-17T00:00:00"/>
    <x v="20"/>
    <x v="20"/>
    <n v="130"/>
  </r>
  <r>
    <x v="18"/>
    <x v="2"/>
    <s v="Baker's Choco Chips"/>
    <d v="2022-01-25T00:00:00"/>
    <x v="540"/>
    <x v="540"/>
    <n v="154"/>
  </r>
  <r>
    <x v="6"/>
    <x v="2"/>
    <s v="Milk Bars"/>
    <d v="2022-07-27T00:00:00"/>
    <x v="541"/>
    <x v="541"/>
    <n v="52"/>
  </r>
  <r>
    <x v="15"/>
    <x v="2"/>
    <s v="Fruit &amp; Nut Bars"/>
    <d v="2022-01-28T00:00:00"/>
    <x v="542"/>
    <x v="542"/>
    <n v="53"/>
  </r>
  <r>
    <x v="22"/>
    <x v="2"/>
    <s v="Organic Choco Syrup"/>
    <d v="2022-07-05T00:00:00"/>
    <x v="543"/>
    <x v="543"/>
    <n v="50"/>
  </r>
  <r>
    <x v="1"/>
    <x v="1"/>
    <s v="White Choc"/>
    <d v="2022-03-15T00:00:00"/>
    <x v="544"/>
    <x v="544"/>
    <n v="44"/>
  </r>
  <r>
    <x v="5"/>
    <x v="5"/>
    <s v="After Nines"/>
    <d v="2022-08-04T00:00:00"/>
    <x v="545"/>
    <x v="545"/>
    <n v="200"/>
  </r>
  <r>
    <x v="3"/>
    <x v="4"/>
    <s v="Fruit &amp; Nut Bars"/>
    <d v="2022-06-27T00:00:00"/>
    <x v="45"/>
    <x v="45"/>
    <n v="361"/>
  </r>
  <r>
    <x v="3"/>
    <x v="5"/>
    <s v="After Nines"/>
    <d v="2022-07-13T00:00:00"/>
    <x v="416"/>
    <x v="416"/>
    <n v="172"/>
  </r>
  <r>
    <x v="8"/>
    <x v="3"/>
    <s v="Manuka Honey Choco"/>
    <d v="2022-02-24T00:00:00"/>
    <x v="546"/>
    <x v="546"/>
    <n v="239"/>
  </r>
  <r>
    <x v="10"/>
    <x v="3"/>
    <s v="85% Dark Bars"/>
    <d v="2022-06-28T00:00:00"/>
    <x v="547"/>
    <x v="547"/>
    <n v="55"/>
  </r>
  <r>
    <x v="4"/>
    <x v="2"/>
    <s v="85% Dark Bars"/>
    <d v="2022-06-30T00:00:00"/>
    <x v="548"/>
    <x v="548"/>
    <n v="27"/>
  </r>
  <r>
    <x v="14"/>
    <x v="5"/>
    <s v="Choco Coated Almonds"/>
    <d v="2022-08-18T00:00:00"/>
    <x v="82"/>
    <x v="82"/>
    <n v="7"/>
  </r>
  <r>
    <x v="16"/>
    <x v="1"/>
    <s v="70% Dark Bites"/>
    <d v="2022-01-24T00:00:00"/>
    <x v="549"/>
    <x v="549"/>
    <n v="301"/>
  </r>
  <r>
    <x v="12"/>
    <x v="4"/>
    <s v="White Choc"/>
    <d v="2022-03-11T00:00:00"/>
    <x v="407"/>
    <x v="407"/>
    <n v="134"/>
  </r>
  <r>
    <x v="24"/>
    <x v="3"/>
    <s v="After Nines"/>
    <d v="2022-06-23T00:00:00"/>
    <x v="550"/>
    <x v="550"/>
    <n v="350"/>
  </r>
  <r>
    <x v="15"/>
    <x v="1"/>
    <s v="Spicy Special Slims"/>
    <d v="2022-08-22T00:00:00"/>
    <x v="551"/>
    <x v="551"/>
    <n v="33"/>
  </r>
  <r>
    <x v="5"/>
    <x v="5"/>
    <s v="50% Dark Bites"/>
    <d v="2022-01-04T00:00:00"/>
    <x v="552"/>
    <x v="552"/>
    <n v="23"/>
  </r>
  <r>
    <x v="14"/>
    <x v="1"/>
    <s v="Milk Bars"/>
    <d v="2022-04-05T00:00:00"/>
    <x v="553"/>
    <x v="553"/>
    <n v="201"/>
  </r>
  <r>
    <x v="12"/>
    <x v="1"/>
    <s v="Milk Bars"/>
    <d v="2022-04-15T00:00:00"/>
    <x v="554"/>
    <x v="554"/>
    <n v="323"/>
  </r>
  <r>
    <x v="15"/>
    <x v="2"/>
    <s v="White Choc"/>
    <d v="2022-05-11T00:00:00"/>
    <x v="218"/>
    <x v="218"/>
    <n v="220"/>
  </r>
  <r>
    <x v="19"/>
    <x v="5"/>
    <s v="Manuka Honey Choco"/>
    <d v="2022-07-21T00:00:00"/>
    <x v="449"/>
    <x v="449"/>
    <n v="488"/>
  </r>
  <r>
    <x v="3"/>
    <x v="3"/>
    <s v="Orange Choco"/>
    <d v="2022-02-11T00:00:00"/>
    <x v="555"/>
    <x v="555"/>
    <n v="84"/>
  </r>
  <r>
    <x v="19"/>
    <x v="5"/>
    <s v="Smooth Sliky Salty"/>
    <d v="2022-07-08T00:00:00"/>
    <x v="556"/>
    <x v="556"/>
    <n v="79"/>
  </r>
  <r>
    <x v="5"/>
    <x v="0"/>
    <s v="Raspberry Choco"/>
    <d v="2022-08-11T00:00:00"/>
    <x v="557"/>
    <x v="557"/>
    <n v="344"/>
  </r>
  <r>
    <x v="15"/>
    <x v="3"/>
    <s v="After Nines"/>
    <d v="2022-08-04T00:00:00"/>
    <x v="558"/>
    <x v="558"/>
    <n v="7"/>
  </r>
  <r>
    <x v="19"/>
    <x v="3"/>
    <s v="Orange Choco"/>
    <d v="2022-06-14T00:00:00"/>
    <x v="559"/>
    <x v="559"/>
    <n v="88"/>
  </r>
  <r>
    <x v="17"/>
    <x v="0"/>
    <s v="Baker's Choco Chips"/>
    <d v="2022-01-17T00:00:00"/>
    <x v="560"/>
    <x v="560"/>
    <n v="275"/>
  </r>
  <r>
    <x v="0"/>
    <x v="5"/>
    <s v="Orange Choco"/>
    <d v="2022-06-23T00:00:00"/>
    <x v="561"/>
    <x v="561"/>
    <n v="512"/>
  </r>
  <r>
    <x v="0"/>
    <x v="0"/>
    <s v="Smooth Sliky Salty"/>
    <d v="2022-08-24T00:00:00"/>
    <x v="562"/>
    <x v="562"/>
    <n v="113"/>
  </r>
  <r>
    <x v="19"/>
    <x v="0"/>
    <s v="Caramel Stuffed Bars"/>
    <d v="2022-06-07T00:00:00"/>
    <x v="563"/>
    <x v="563"/>
    <n v="275"/>
  </r>
  <r>
    <x v="3"/>
    <x v="0"/>
    <s v="White Choc"/>
    <d v="2022-06-22T00:00:00"/>
    <x v="17"/>
    <x v="17"/>
    <n v="47"/>
  </r>
  <r>
    <x v="23"/>
    <x v="4"/>
    <s v="Fruit &amp; Nut Bars"/>
    <d v="2022-07-13T00:00:00"/>
    <x v="564"/>
    <x v="564"/>
    <n v="276"/>
  </r>
  <r>
    <x v="20"/>
    <x v="0"/>
    <s v="Choco Coated Almonds"/>
    <d v="2022-05-24T00:00:00"/>
    <x v="565"/>
    <x v="565"/>
    <n v="212"/>
  </r>
  <r>
    <x v="5"/>
    <x v="3"/>
    <s v="After Nines"/>
    <d v="2022-08-09T00:00:00"/>
    <x v="566"/>
    <x v="566"/>
    <n v="145"/>
  </r>
  <r>
    <x v="16"/>
    <x v="5"/>
    <s v="85% Dark Bars"/>
    <d v="2022-04-06T00:00:00"/>
    <x v="567"/>
    <x v="567"/>
    <n v="31"/>
  </r>
  <r>
    <x v="3"/>
    <x v="3"/>
    <s v="Manuka Honey Choco"/>
    <d v="2022-07-28T00:00:00"/>
    <x v="568"/>
    <x v="568"/>
    <n v="271"/>
  </r>
  <r>
    <x v="5"/>
    <x v="3"/>
    <s v="Raspberry Choco"/>
    <d v="2022-08-24T00:00:00"/>
    <x v="89"/>
    <x v="89"/>
    <n v="52"/>
  </r>
  <r>
    <x v="1"/>
    <x v="2"/>
    <s v="99% Dark &amp; Pure"/>
    <d v="2022-01-17T00:00:00"/>
    <x v="399"/>
    <x v="399"/>
    <n v="128"/>
  </r>
  <r>
    <x v="14"/>
    <x v="4"/>
    <s v="Drinking Coco"/>
    <d v="2022-02-07T00:00:00"/>
    <x v="569"/>
    <x v="569"/>
    <n v="142"/>
  </r>
  <r>
    <x v="6"/>
    <x v="2"/>
    <s v="Spicy Special Slims"/>
    <d v="2022-05-09T00:00:00"/>
    <x v="570"/>
    <x v="570"/>
    <n v="256"/>
  </r>
  <r>
    <x v="9"/>
    <x v="3"/>
    <s v="85% Dark Bars"/>
    <d v="2022-06-06T00:00:00"/>
    <x v="265"/>
    <x v="265"/>
    <n v="106"/>
  </r>
  <r>
    <x v="18"/>
    <x v="4"/>
    <s v="Choco Coated Almonds"/>
    <d v="2022-06-06T00:00:00"/>
    <x v="571"/>
    <x v="571"/>
    <n v="6"/>
  </r>
  <r>
    <x v="12"/>
    <x v="3"/>
    <s v="Organic Choco Syrup"/>
    <d v="2022-05-24T00:00:00"/>
    <x v="415"/>
    <x v="415"/>
    <n v="226"/>
  </r>
  <r>
    <x v="5"/>
    <x v="0"/>
    <s v="50% Dark Bites"/>
    <d v="2022-01-13T00:00:00"/>
    <x v="572"/>
    <x v="572"/>
    <n v="121"/>
  </r>
  <r>
    <x v="11"/>
    <x v="4"/>
    <s v="Raspberry Choco"/>
    <d v="2022-05-23T00:00:00"/>
    <x v="547"/>
    <x v="547"/>
    <n v="151"/>
  </r>
  <r>
    <x v="0"/>
    <x v="0"/>
    <s v="White Choc"/>
    <d v="2022-06-29T00:00:00"/>
    <x v="573"/>
    <x v="573"/>
    <n v="284"/>
  </r>
  <r>
    <x v="0"/>
    <x v="3"/>
    <s v="85% Dark Bars"/>
    <d v="2022-03-11T00:00:00"/>
    <x v="574"/>
    <x v="574"/>
    <n v="89"/>
  </r>
  <r>
    <x v="23"/>
    <x v="4"/>
    <s v="85% Dark Bars"/>
    <d v="2022-04-25T00:00:00"/>
    <x v="575"/>
    <x v="575"/>
    <n v="508"/>
  </r>
  <r>
    <x v="7"/>
    <x v="2"/>
    <s v="Smooth Sliky Salty"/>
    <d v="2022-05-30T00:00:00"/>
    <x v="576"/>
    <x v="576"/>
    <n v="243"/>
  </r>
  <r>
    <x v="14"/>
    <x v="1"/>
    <s v="Manuka Honey Choco"/>
    <d v="2022-05-23T00:00:00"/>
    <x v="577"/>
    <x v="577"/>
    <n v="170"/>
  </r>
  <r>
    <x v="9"/>
    <x v="4"/>
    <s v="Peanut Butter Cubes"/>
    <d v="2022-05-23T00:00:00"/>
    <x v="192"/>
    <x v="192"/>
    <n v="18"/>
  </r>
  <r>
    <x v="1"/>
    <x v="5"/>
    <s v="Peanut Butter Cubes"/>
    <d v="2022-06-24T00:00:00"/>
    <x v="458"/>
    <x v="458"/>
    <n v="282"/>
  </r>
  <r>
    <x v="20"/>
    <x v="3"/>
    <s v="Smooth Sliky Salty"/>
    <d v="2022-03-11T00:00:00"/>
    <x v="578"/>
    <x v="578"/>
    <n v="277"/>
  </r>
  <r>
    <x v="7"/>
    <x v="4"/>
    <s v="Smooth Sliky Salty"/>
    <d v="2022-07-27T00:00:00"/>
    <x v="579"/>
    <x v="579"/>
    <n v="212"/>
  </r>
  <r>
    <x v="7"/>
    <x v="4"/>
    <s v="White Choc"/>
    <d v="2022-08-16T00:00:00"/>
    <x v="9"/>
    <x v="9"/>
    <n v="126"/>
  </r>
  <r>
    <x v="13"/>
    <x v="5"/>
    <s v="Smooth Sliky Salty"/>
    <d v="2022-03-07T00:00:00"/>
    <x v="580"/>
    <x v="580"/>
    <n v="11"/>
  </r>
  <r>
    <x v="14"/>
    <x v="3"/>
    <s v="After Nines"/>
    <d v="2022-04-05T00:00:00"/>
    <x v="542"/>
    <x v="542"/>
    <n v="30"/>
  </r>
  <r>
    <x v="21"/>
    <x v="1"/>
    <s v="85% Dark Bars"/>
    <d v="2022-05-04T00:00:00"/>
    <x v="386"/>
    <x v="386"/>
    <n v="51"/>
  </r>
  <r>
    <x v="24"/>
    <x v="4"/>
    <s v="Choco Coated Almonds"/>
    <d v="2022-01-04T00:00:00"/>
    <x v="581"/>
    <x v="581"/>
    <n v="92"/>
  </r>
  <r>
    <x v="11"/>
    <x v="2"/>
    <s v="Baker's Choco Chips"/>
    <d v="2022-01-13T00:00:00"/>
    <x v="582"/>
    <x v="582"/>
    <n v="101"/>
  </r>
  <r>
    <x v="18"/>
    <x v="3"/>
    <s v="Fruit &amp; Nut Bars"/>
    <d v="2022-07-11T00:00:00"/>
    <x v="492"/>
    <x v="492"/>
    <n v="98"/>
  </r>
  <r>
    <x v="16"/>
    <x v="2"/>
    <s v="Mint Chip Choco"/>
    <d v="2022-05-17T00:00:00"/>
    <x v="230"/>
    <x v="230"/>
    <n v="159"/>
  </r>
  <r>
    <x v="21"/>
    <x v="3"/>
    <s v="Peanut Butter Cubes"/>
    <d v="2022-07-21T00:00:00"/>
    <x v="583"/>
    <x v="583"/>
    <n v="62"/>
  </r>
  <r>
    <x v="14"/>
    <x v="5"/>
    <s v="Organic Choco Syrup"/>
    <d v="2022-02-22T00:00:00"/>
    <x v="584"/>
    <x v="584"/>
    <n v="22"/>
  </r>
  <r>
    <x v="3"/>
    <x v="1"/>
    <s v="99% Dark &amp; Pure"/>
    <d v="2022-05-23T00:00:00"/>
    <x v="585"/>
    <x v="585"/>
    <n v="187"/>
  </r>
  <r>
    <x v="7"/>
    <x v="5"/>
    <s v="Drinking Coco"/>
    <d v="2022-07-12T00:00:00"/>
    <x v="586"/>
    <x v="586"/>
    <n v="200"/>
  </r>
  <r>
    <x v="3"/>
    <x v="0"/>
    <s v="Orange Choco"/>
    <d v="2022-06-15T00:00:00"/>
    <x v="587"/>
    <x v="587"/>
    <n v="201"/>
  </r>
  <r>
    <x v="8"/>
    <x v="3"/>
    <s v="50% Dark Bites"/>
    <d v="2022-06-23T00:00:00"/>
    <x v="588"/>
    <x v="588"/>
    <n v="308"/>
  </r>
  <r>
    <x v="14"/>
    <x v="2"/>
    <s v="Eclairs"/>
    <d v="2022-03-25T00:00:00"/>
    <x v="589"/>
    <x v="589"/>
    <n v="55"/>
  </r>
  <r>
    <x v="3"/>
    <x v="1"/>
    <s v="Caramel Stuffed Bars"/>
    <d v="2022-07-04T00:00:00"/>
    <x v="590"/>
    <x v="590"/>
    <n v="153"/>
  </r>
  <r>
    <x v="19"/>
    <x v="0"/>
    <s v="White Choc"/>
    <d v="2022-05-12T00:00:00"/>
    <x v="66"/>
    <x v="66"/>
    <n v="101"/>
  </r>
  <r>
    <x v="21"/>
    <x v="3"/>
    <s v="Raspberry Choco"/>
    <d v="2022-04-04T00:00:00"/>
    <x v="591"/>
    <x v="591"/>
    <n v="137"/>
  </r>
  <r>
    <x v="22"/>
    <x v="2"/>
    <s v="Orange Choco"/>
    <d v="2022-04-15T00:00:00"/>
    <x v="411"/>
    <x v="411"/>
    <n v="398"/>
  </r>
  <r>
    <x v="13"/>
    <x v="5"/>
    <s v="Eclairs"/>
    <d v="2022-03-08T00:00:00"/>
    <x v="592"/>
    <x v="592"/>
    <n v="88"/>
  </r>
  <r>
    <x v="10"/>
    <x v="1"/>
    <s v="White Choc"/>
    <d v="2022-01-17T00:00:00"/>
    <x v="593"/>
    <x v="593"/>
    <n v="232"/>
  </r>
  <r>
    <x v="18"/>
    <x v="1"/>
    <s v="Mint Chip Choco"/>
    <d v="2022-08-22T00:00:00"/>
    <x v="594"/>
    <x v="594"/>
    <n v="51"/>
  </r>
  <r>
    <x v="19"/>
    <x v="0"/>
    <s v="99% Dark &amp; Pure"/>
    <d v="2022-07-25T00:00:00"/>
    <x v="556"/>
    <x v="556"/>
    <n v="66"/>
  </r>
  <r>
    <x v="11"/>
    <x v="0"/>
    <s v="50% Dark Bites"/>
    <d v="2022-06-14T00:00:00"/>
    <x v="595"/>
    <x v="595"/>
    <n v="124"/>
  </r>
  <r>
    <x v="24"/>
    <x v="1"/>
    <s v="Choco Coated Almonds"/>
    <d v="2022-04-05T00:00:00"/>
    <x v="596"/>
    <x v="596"/>
    <n v="78"/>
  </r>
  <r>
    <x v="22"/>
    <x v="0"/>
    <s v="Raspberry Choco"/>
    <d v="2022-08-26T00:00:00"/>
    <x v="197"/>
    <x v="197"/>
    <n v="341"/>
  </r>
  <r>
    <x v="18"/>
    <x v="2"/>
    <s v="50% Dark Bites"/>
    <d v="2022-08-03T00:00:00"/>
    <x v="597"/>
    <x v="597"/>
    <n v="114"/>
  </r>
  <r>
    <x v="2"/>
    <x v="5"/>
    <s v="White Choc"/>
    <d v="2022-07-11T00:00:00"/>
    <x v="598"/>
    <x v="598"/>
    <n v="4"/>
  </r>
  <r>
    <x v="18"/>
    <x v="3"/>
    <s v="Eclairs"/>
    <d v="2022-03-11T00:00:00"/>
    <x v="599"/>
    <x v="599"/>
    <n v="22"/>
  </r>
  <r>
    <x v="6"/>
    <x v="0"/>
    <s v="Peanut Butter Cubes"/>
    <d v="2022-01-10T00:00:00"/>
    <x v="600"/>
    <x v="600"/>
    <n v="30"/>
  </r>
  <r>
    <x v="13"/>
    <x v="0"/>
    <s v="Baker's Choco Chips"/>
    <d v="2022-04-04T00:00:00"/>
    <x v="601"/>
    <x v="601"/>
    <n v="351"/>
  </r>
  <r>
    <x v="10"/>
    <x v="2"/>
    <s v="50% Dark Bites"/>
    <d v="2022-01-17T00:00:00"/>
    <x v="415"/>
    <x v="415"/>
    <n v="708"/>
  </r>
  <r>
    <x v="11"/>
    <x v="3"/>
    <s v="Organic Choco Syrup"/>
    <d v="2022-07-08T00:00:00"/>
    <x v="602"/>
    <x v="602"/>
    <n v="50"/>
  </r>
  <r>
    <x v="3"/>
    <x v="0"/>
    <s v="Organic Choco Syrup"/>
    <d v="2022-04-12T00:00:00"/>
    <x v="603"/>
    <x v="603"/>
    <n v="356"/>
  </r>
  <r>
    <x v="7"/>
    <x v="5"/>
    <s v="Fruit &amp; Nut Bars"/>
    <d v="2022-08-24T00:00:00"/>
    <x v="604"/>
    <x v="604"/>
    <n v="185"/>
  </r>
  <r>
    <x v="24"/>
    <x v="0"/>
    <s v="Choco Coated Almonds"/>
    <d v="2022-06-07T00:00:00"/>
    <x v="164"/>
    <x v="164"/>
    <n v="236"/>
  </r>
  <r>
    <x v="5"/>
    <x v="5"/>
    <s v="Almond Choco"/>
    <d v="2022-07-28T00:00:00"/>
    <x v="594"/>
    <x v="594"/>
    <n v="30"/>
  </r>
  <r>
    <x v="15"/>
    <x v="4"/>
    <s v="99% Dark &amp; Pure"/>
    <d v="2022-02-21T00:00:00"/>
    <x v="605"/>
    <x v="605"/>
    <n v="111"/>
  </r>
  <r>
    <x v="17"/>
    <x v="5"/>
    <s v="Mint Chip Choco"/>
    <d v="2022-04-08T00:00:00"/>
    <x v="606"/>
    <x v="606"/>
    <n v="289"/>
  </r>
  <r>
    <x v="6"/>
    <x v="0"/>
    <s v="Manuka Honey Choco"/>
    <d v="2022-06-28T00:00:00"/>
    <x v="234"/>
    <x v="234"/>
    <n v="103"/>
  </r>
  <r>
    <x v="1"/>
    <x v="0"/>
    <s v="Baker's Choco Chips"/>
    <d v="2022-03-24T00:00:00"/>
    <x v="37"/>
    <x v="37"/>
    <n v="20"/>
  </r>
  <r>
    <x v="8"/>
    <x v="2"/>
    <s v="Caramel Stuffed Bars"/>
    <d v="2022-07-29T00:00:00"/>
    <x v="607"/>
    <x v="607"/>
    <n v="55"/>
  </r>
  <r>
    <x v="17"/>
    <x v="4"/>
    <s v="Eclairs"/>
    <d v="2022-05-25T00:00:00"/>
    <x v="608"/>
    <x v="608"/>
    <n v="90"/>
  </r>
  <r>
    <x v="2"/>
    <x v="2"/>
    <s v="Raspberry Choco"/>
    <d v="2022-03-30T00:00:00"/>
    <x v="372"/>
    <x v="372"/>
    <n v="303"/>
  </r>
  <r>
    <x v="17"/>
    <x v="4"/>
    <s v="Organic Choco Syrup"/>
    <d v="2022-07-18T00:00:00"/>
    <x v="609"/>
    <x v="609"/>
    <n v="126"/>
  </r>
  <r>
    <x v="12"/>
    <x v="5"/>
    <s v="Orange Choco"/>
    <d v="2022-05-10T00:00:00"/>
    <x v="610"/>
    <x v="610"/>
    <n v="109"/>
  </r>
  <r>
    <x v="9"/>
    <x v="2"/>
    <s v="Choco Coated Almonds"/>
    <d v="2022-03-18T00:00:00"/>
    <x v="611"/>
    <x v="611"/>
    <n v="92"/>
  </r>
  <r>
    <x v="24"/>
    <x v="1"/>
    <s v="Caramel Stuffed Bars"/>
    <d v="2022-06-15T00:00:00"/>
    <x v="31"/>
    <x v="31"/>
    <n v="56"/>
  </r>
  <r>
    <x v="1"/>
    <x v="5"/>
    <s v="50% Dark Bites"/>
    <d v="2022-05-12T00:00:00"/>
    <x v="4"/>
    <x v="4"/>
    <n v="58"/>
  </r>
  <r>
    <x v="20"/>
    <x v="3"/>
    <s v="Baker's Choco Chips"/>
    <d v="2022-06-23T00:00:00"/>
    <x v="260"/>
    <x v="260"/>
    <n v="110"/>
  </r>
  <r>
    <x v="12"/>
    <x v="1"/>
    <s v="Spicy Special Slims"/>
    <d v="2022-04-21T00:00:00"/>
    <x v="428"/>
    <x v="428"/>
    <n v="171"/>
  </r>
  <r>
    <x v="2"/>
    <x v="2"/>
    <s v="Almond Choco"/>
    <d v="2022-08-17T00:00:00"/>
    <x v="504"/>
    <x v="504"/>
    <n v="117"/>
  </r>
  <r>
    <x v="7"/>
    <x v="3"/>
    <s v="Eclairs"/>
    <d v="2022-02-07T00:00:00"/>
    <x v="612"/>
    <x v="612"/>
    <n v="51"/>
  </r>
  <r>
    <x v="20"/>
    <x v="5"/>
    <s v="Smooth Sliky Salty"/>
    <d v="2022-03-17T00:00:00"/>
    <x v="613"/>
    <x v="613"/>
    <n v="118"/>
  </r>
  <r>
    <x v="3"/>
    <x v="1"/>
    <s v="Baker's Choco Chips"/>
    <d v="2022-08-01T00:00:00"/>
    <x v="614"/>
    <x v="614"/>
    <n v="79"/>
  </r>
  <r>
    <x v="0"/>
    <x v="2"/>
    <s v="Milk Bars"/>
    <d v="2022-03-18T00:00:00"/>
    <x v="615"/>
    <x v="615"/>
    <n v="29"/>
  </r>
  <r>
    <x v="2"/>
    <x v="5"/>
    <s v="Fruit &amp; Nut Bars"/>
    <d v="2022-06-14T00:00:00"/>
    <x v="419"/>
    <x v="419"/>
    <n v="103"/>
  </r>
  <r>
    <x v="12"/>
    <x v="0"/>
    <s v="Eclairs"/>
    <d v="2022-04-22T00:00:00"/>
    <x v="616"/>
    <x v="616"/>
    <n v="155"/>
  </r>
  <r>
    <x v="11"/>
    <x v="3"/>
    <s v="Eclairs"/>
    <d v="2022-01-18T00:00:00"/>
    <x v="617"/>
    <x v="617"/>
    <n v="31"/>
  </r>
  <r>
    <x v="15"/>
    <x v="2"/>
    <s v="99% Dark &amp; Pure"/>
    <d v="2022-08-26T00:00:00"/>
    <x v="618"/>
    <x v="618"/>
    <n v="128"/>
  </r>
  <r>
    <x v="5"/>
    <x v="3"/>
    <s v="Fruit &amp; Nut Bars"/>
    <d v="2022-06-10T00:00:00"/>
    <x v="619"/>
    <x v="619"/>
    <n v="419"/>
  </r>
  <r>
    <x v="14"/>
    <x v="5"/>
    <s v="70% Dark Bites"/>
    <d v="2022-01-31T00:00:00"/>
    <x v="443"/>
    <x v="443"/>
    <n v="7"/>
  </r>
  <r>
    <x v="20"/>
    <x v="3"/>
    <s v="Manuka Honey Choco"/>
    <d v="2022-04-08T00:00:00"/>
    <x v="620"/>
    <x v="620"/>
    <n v="106"/>
  </r>
  <r>
    <x v="23"/>
    <x v="2"/>
    <s v="Baker's Choco Chips"/>
    <d v="2022-06-07T00:00:00"/>
    <x v="131"/>
    <x v="131"/>
    <n v="68"/>
  </r>
  <r>
    <x v="8"/>
    <x v="2"/>
    <s v="85% Dark Bars"/>
    <d v="2022-02-10T00:00:00"/>
    <x v="621"/>
    <x v="621"/>
    <n v="44"/>
  </r>
  <r>
    <x v="12"/>
    <x v="2"/>
    <s v="50% Dark Bites"/>
    <d v="2022-05-16T00:00:00"/>
    <x v="622"/>
    <x v="622"/>
    <n v="457"/>
  </r>
  <r>
    <x v="5"/>
    <x v="1"/>
    <s v="Baker's Choco Chips"/>
    <d v="2022-03-18T00:00:00"/>
    <x v="384"/>
    <x v="384"/>
    <n v="524"/>
  </r>
  <r>
    <x v="1"/>
    <x v="2"/>
    <s v="50% Dark Bites"/>
    <d v="2022-07-13T00:00:00"/>
    <x v="623"/>
    <x v="623"/>
    <n v="137"/>
  </r>
  <r>
    <x v="4"/>
    <x v="4"/>
    <s v="Manuka Honey Choco"/>
    <d v="2022-07-25T00:00:00"/>
    <x v="521"/>
    <x v="521"/>
    <n v="86"/>
  </r>
  <r>
    <x v="1"/>
    <x v="5"/>
    <s v="Choco Coated Almonds"/>
    <d v="2022-08-19T00:00:00"/>
    <x v="148"/>
    <x v="148"/>
    <n v="296"/>
  </r>
  <r>
    <x v="10"/>
    <x v="5"/>
    <s v="70% Dark Bites"/>
    <d v="2022-06-24T00:00:00"/>
    <x v="265"/>
    <x v="265"/>
    <n v="597"/>
  </r>
  <r>
    <x v="20"/>
    <x v="5"/>
    <s v="Fruit &amp; Nut Bars"/>
    <d v="2022-06-20T00:00:00"/>
    <x v="624"/>
    <x v="624"/>
    <n v="149"/>
  </r>
  <r>
    <x v="21"/>
    <x v="1"/>
    <s v="99% Dark &amp; Pure"/>
    <d v="2022-08-02T00:00:00"/>
    <x v="625"/>
    <x v="625"/>
    <n v="207"/>
  </r>
  <r>
    <x v="22"/>
    <x v="3"/>
    <s v="70% Dark Bites"/>
    <d v="2022-02-22T00:00:00"/>
    <x v="626"/>
    <x v="626"/>
    <n v="93"/>
  </r>
  <r>
    <x v="9"/>
    <x v="3"/>
    <s v="Orange Choco"/>
    <d v="2022-02-01T00:00:00"/>
    <x v="459"/>
    <x v="459"/>
    <n v="23"/>
  </r>
  <r>
    <x v="3"/>
    <x v="5"/>
    <s v="70% Dark Bites"/>
    <d v="2022-02-14T00:00:00"/>
    <x v="627"/>
    <x v="627"/>
    <n v="305"/>
  </r>
  <r>
    <x v="20"/>
    <x v="2"/>
    <s v="Milk Bars"/>
    <d v="2022-02-24T00:00:00"/>
    <x v="219"/>
    <x v="219"/>
    <n v="125"/>
  </r>
  <r>
    <x v="17"/>
    <x v="1"/>
    <s v="Orange Choco"/>
    <d v="2022-03-18T00:00:00"/>
    <x v="201"/>
    <x v="201"/>
    <n v="129"/>
  </r>
  <r>
    <x v="15"/>
    <x v="0"/>
    <s v="Eclairs"/>
    <d v="2022-08-30T00:00:00"/>
    <x v="418"/>
    <x v="418"/>
    <n v="252"/>
  </r>
  <r>
    <x v="2"/>
    <x v="4"/>
    <s v="Peanut Butter Cubes"/>
    <d v="2022-05-09T00:00:00"/>
    <x v="78"/>
    <x v="78"/>
    <n v="75"/>
  </r>
  <r>
    <x v="18"/>
    <x v="4"/>
    <s v="Smooth Sliky Salty"/>
    <d v="2022-01-18T00:00:00"/>
    <x v="533"/>
    <x v="533"/>
    <n v="87"/>
  </r>
  <r>
    <x v="14"/>
    <x v="1"/>
    <s v="White Choc"/>
    <d v="2022-07-04T00:00:00"/>
    <x v="86"/>
    <x v="86"/>
    <n v="342"/>
  </r>
  <r>
    <x v="4"/>
    <x v="3"/>
    <s v="Spicy Special Slims"/>
    <d v="2022-06-03T00:00:00"/>
    <x v="628"/>
    <x v="628"/>
    <n v="13"/>
  </r>
  <r>
    <x v="12"/>
    <x v="3"/>
    <s v="Peanut Butter Cubes"/>
    <d v="2022-02-23T00:00:00"/>
    <x v="629"/>
    <x v="629"/>
    <n v="30"/>
  </r>
  <r>
    <x v="23"/>
    <x v="3"/>
    <s v="99% Dark &amp; Pure"/>
    <d v="2022-05-09T00:00:00"/>
    <x v="630"/>
    <x v="630"/>
    <n v="203"/>
  </r>
  <r>
    <x v="20"/>
    <x v="1"/>
    <s v="70% Dark Bites"/>
    <d v="2022-06-06T00:00:00"/>
    <x v="269"/>
    <x v="269"/>
    <n v="106"/>
  </r>
  <r>
    <x v="20"/>
    <x v="1"/>
    <s v="Drinking Coco"/>
    <d v="2022-07-04T00:00:00"/>
    <x v="520"/>
    <x v="520"/>
    <n v="234"/>
  </r>
  <r>
    <x v="6"/>
    <x v="3"/>
    <s v="Drinking Coco"/>
    <d v="2022-06-06T00:00:00"/>
    <x v="583"/>
    <x v="583"/>
    <n v="100"/>
  </r>
  <r>
    <x v="23"/>
    <x v="2"/>
    <s v="Almond Choco"/>
    <d v="2022-05-13T00:00:00"/>
    <x v="98"/>
    <x v="98"/>
    <n v="91"/>
  </r>
  <r>
    <x v="18"/>
    <x v="3"/>
    <s v="Organic Choco Syrup"/>
    <d v="2022-01-31T00:00:00"/>
    <x v="631"/>
    <x v="631"/>
    <n v="277"/>
  </r>
  <r>
    <x v="24"/>
    <x v="3"/>
    <s v="Caramel Stuffed Bars"/>
    <d v="2022-06-30T00:00:00"/>
    <x v="632"/>
    <x v="632"/>
    <n v="42"/>
  </r>
  <r>
    <x v="8"/>
    <x v="5"/>
    <s v="Manuka Honey Choco"/>
    <d v="2022-08-25T00:00:00"/>
    <x v="387"/>
    <x v="387"/>
    <n v="249"/>
  </r>
  <r>
    <x v="2"/>
    <x v="3"/>
    <s v="Smooth Sliky Salty"/>
    <d v="2022-01-10T00:00:00"/>
    <x v="622"/>
    <x v="622"/>
    <n v="97"/>
  </r>
  <r>
    <x v="6"/>
    <x v="4"/>
    <s v="Manuka Honey Choco"/>
    <d v="2022-08-22T00:00:00"/>
    <x v="633"/>
    <x v="633"/>
    <n v="8"/>
  </r>
  <r>
    <x v="13"/>
    <x v="3"/>
    <s v="85% Dark Bars"/>
    <d v="2022-04-14T00:00:00"/>
    <x v="634"/>
    <x v="634"/>
    <n v="275"/>
  </r>
  <r>
    <x v="4"/>
    <x v="0"/>
    <s v="Smooth Sliky Salty"/>
    <d v="2022-05-31T00:00:00"/>
    <x v="596"/>
    <x v="596"/>
    <n v="313"/>
  </r>
  <r>
    <x v="4"/>
    <x v="0"/>
    <s v="Raspberry Choco"/>
    <d v="2022-04-08T00:00:00"/>
    <x v="635"/>
    <x v="635"/>
    <n v="323"/>
  </r>
  <r>
    <x v="13"/>
    <x v="4"/>
    <s v="Drinking Coco"/>
    <d v="2022-02-21T00:00:00"/>
    <x v="22"/>
    <x v="22"/>
    <n v="155"/>
  </r>
  <r>
    <x v="19"/>
    <x v="2"/>
    <s v="Manuka Honey Choco"/>
    <d v="2022-03-30T00:00:00"/>
    <x v="636"/>
    <x v="636"/>
    <n v="377"/>
  </r>
  <r>
    <x v="9"/>
    <x v="1"/>
    <s v="Raspberry Choco"/>
    <d v="2022-03-02T00:00:00"/>
    <x v="637"/>
    <x v="637"/>
    <n v="2"/>
  </r>
  <r>
    <x v="0"/>
    <x v="4"/>
    <s v="Orange Choco"/>
    <d v="2022-07-28T00:00:00"/>
    <x v="638"/>
    <x v="638"/>
    <n v="170"/>
  </r>
  <r>
    <x v="16"/>
    <x v="3"/>
    <s v="70% Dark Bites"/>
    <d v="2022-03-24T00:00:00"/>
    <x v="639"/>
    <x v="639"/>
    <n v="38"/>
  </r>
  <r>
    <x v="14"/>
    <x v="2"/>
    <s v="After Nines"/>
    <d v="2022-08-11T00:00:00"/>
    <x v="79"/>
    <x v="79"/>
    <n v="105"/>
  </r>
  <r>
    <x v="15"/>
    <x v="0"/>
    <s v="Almond Choco"/>
    <d v="2022-05-17T00:00:00"/>
    <x v="640"/>
    <x v="640"/>
    <n v="166"/>
  </r>
  <r>
    <x v="16"/>
    <x v="5"/>
    <s v="Choco Coated Almonds"/>
    <d v="2022-05-18T00:00:00"/>
    <x v="641"/>
    <x v="641"/>
    <n v="164"/>
  </r>
  <r>
    <x v="13"/>
    <x v="0"/>
    <s v="Peanut Butter Cubes"/>
    <d v="2022-08-17T00:00:00"/>
    <x v="299"/>
    <x v="299"/>
    <n v="171"/>
  </r>
  <r>
    <x v="24"/>
    <x v="3"/>
    <s v="Eclairs"/>
    <d v="2022-04-04T00:00:00"/>
    <x v="642"/>
    <x v="642"/>
    <n v="49"/>
  </r>
  <r>
    <x v="6"/>
    <x v="1"/>
    <s v="85% Dark Bars"/>
    <d v="2022-08-09T00:00:00"/>
    <x v="643"/>
    <x v="643"/>
    <n v="205"/>
  </r>
  <r>
    <x v="6"/>
    <x v="3"/>
    <s v="Organic Choco Syrup"/>
    <d v="2022-01-17T00:00:00"/>
    <x v="331"/>
    <x v="331"/>
    <n v="313"/>
  </r>
  <r>
    <x v="19"/>
    <x v="5"/>
    <s v="White Choc"/>
    <d v="2022-02-14T00:00:00"/>
    <x v="15"/>
    <x v="15"/>
    <n v="29"/>
  </r>
  <r>
    <x v="2"/>
    <x v="3"/>
    <s v="Orange Choco"/>
    <d v="2022-05-16T00:00:00"/>
    <x v="400"/>
    <x v="400"/>
    <n v="307"/>
  </r>
  <r>
    <x v="24"/>
    <x v="5"/>
    <s v="Smooth Sliky Salty"/>
    <d v="2022-03-16T00:00:00"/>
    <x v="302"/>
    <x v="302"/>
    <n v="121"/>
  </r>
  <r>
    <x v="15"/>
    <x v="5"/>
    <s v="70% Dark Bites"/>
    <d v="2022-01-31T00:00:00"/>
    <x v="644"/>
    <x v="644"/>
    <n v="285"/>
  </r>
  <r>
    <x v="8"/>
    <x v="5"/>
    <s v="Organic Choco Syrup"/>
    <d v="2022-03-10T00:00:00"/>
    <x v="645"/>
    <x v="645"/>
    <n v="205"/>
  </r>
  <r>
    <x v="4"/>
    <x v="0"/>
    <s v="Organic Choco Syrup"/>
    <d v="2022-06-30T00:00:00"/>
    <x v="646"/>
    <x v="646"/>
    <n v="157"/>
  </r>
  <r>
    <x v="1"/>
    <x v="3"/>
    <s v="Eclairs"/>
    <d v="2022-03-01T00:00:00"/>
    <x v="647"/>
    <x v="647"/>
    <n v="182"/>
  </r>
  <r>
    <x v="9"/>
    <x v="0"/>
    <s v="Drinking Coco"/>
    <d v="2022-05-27T00:00:00"/>
    <x v="648"/>
    <x v="648"/>
    <n v="100"/>
  </r>
  <r>
    <x v="4"/>
    <x v="0"/>
    <s v="Milk Bars"/>
    <d v="2022-07-11T00:00:00"/>
    <x v="187"/>
    <x v="187"/>
    <n v="223"/>
  </r>
  <r>
    <x v="10"/>
    <x v="3"/>
    <s v="Mint Chip Choco"/>
    <d v="2022-03-02T00:00:00"/>
    <x v="649"/>
    <x v="649"/>
    <n v="61"/>
  </r>
  <r>
    <x v="0"/>
    <x v="4"/>
    <s v="Raspberry Choco"/>
    <d v="2022-03-04T00:00:00"/>
    <x v="86"/>
    <x v="86"/>
    <n v="133"/>
  </r>
  <r>
    <x v="20"/>
    <x v="0"/>
    <s v="85% Dark Bars"/>
    <d v="2022-06-23T00:00:00"/>
    <x v="650"/>
    <x v="650"/>
    <n v="228"/>
  </r>
  <r>
    <x v="20"/>
    <x v="4"/>
    <s v="Almond Choco"/>
    <d v="2022-01-27T00:00:00"/>
    <x v="651"/>
    <x v="651"/>
    <n v="233"/>
  </r>
  <r>
    <x v="11"/>
    <x v="5"/>
    <s v="Orange Choco"/>
    <d v="2022-01-14T00:00:00"/>
    <x v="497"/>
    <x v="497"/>
    <n v="425"/>
  </r>
  <r>
    <x v="17"/>
    <x v="1"/>
    <s v="Fruit &amp; Nut Bars"/>
    <d v="2022-07-29T00:00:00"/>
    <x v="652"/>
    <x v="652"/>
    <n v="24"/>
  </r>
  <r>
    <x v="6"/>
    <x v="5"/>
    <s v="Smooth Sliky Salty"/>
    <d v="2022-05-13T00:00:00"/>
    <x v="299"/>
    <x v="299"/>
    <n v="495"/>
  </r>
  <r>
    <x v="8"/>
    <x v="5"/>
    <s v="Baker's Choco Chips"/>
    <d v="2022-02-03T00:00:00"/>
    <x v="653"/>
    <x v="653"/>
    <n v="170"/>
  </r>
  <r>
    <x v="6"/>
    <x v="1"/>
    <s v="Smooth Sliky Salty"/>
    <d v="2022-05-27T00:00:00"/>
    <x v="654"/>
    <x v="654"/>
    <n v="26"/>
  </r>
  <r>
    <x v="3"/>
    <x v="2"/>
    <s v="Drinking Coco"/>
    <d v="2022-02-18T00:00:00"/>
    <x v="334"/>
    <x v="334"/>
    <n v="24"/>
  </r>
  <r>
    <x v="6"/>
    <x v="1"/>
    <s v="Spicy Special Slims"/>
    <d v="2022-01-28T00:00:00"/>
    <x v="655"/>
    <x v="655"/>
    <n v="33"/>
  </r>
  <r>
    <x v="1"/>
    <x v="0"/>
    <s v="Eclairs"/>
    <d v="2022-06-29T00:00:00"/>
    <x v="546"/>
    <x v="546"/>
    <n v="109"/>
  </r>
  <r>
    <x v="18"/>
    <x v="1"/>
    <s v="Caramel Stuffed Bars"/>
    <d v="2022-01-13T00:00:00"/>
    <x v="656"/>
    <x v="656"/>
    <n v="276"/>
  </r>
  <r>
    <x v="0"/>
    <x v="0"/>
    <s v="After Nines"/>
    <d v="2022-06-27T00:00:00"/>
    <x v="657"/>
    <x v="657"/>
    <n v="164"/>
  </r>
  <r>
    <x v="8"/>
    <x v="5"/>
    <s v="White Choc"/>
    <d v="2022-03-29T00:00:00"/>
    <x v="658"/>
    <x v="658"/>
    <n v="1"/>
  </r>
  <r>
    <x v="5"/>
    <x v="1"/>
    <s v="Organic Choco Syrup"/>
    <d v="2022-06-03T00:00:00"/>
    <x v="659"/>
    <x v="659"/>
    <n v="160"/>
  </r>
  <r>
    <x v="9"/>
    <x v="5"/>
    <s v="Smooth Sliky Salty"/>
    <d v="2022-03-21T00:00:00"/>
    <x v="106"/>
    <x v="106"/>
    <n v="98"/>
  </r>
  <r>
    <x v="9"/>
    <x v="1"/>
    <s v="Eclairs"/>
    <d v="2022-04-12T00:00:00"/>
    <x v="660"/>
    <x v="660"/>
    <n v="46"/>
  </r>
  <r>
    <x v="7"/>
    <x v="2"/>
    <s v="Raspberry Choco"/>
    <d v="2022-01-19T00:00:00"/>
    <x v="282"/>
    <x v="282"/>
    <n v="259"/>
  </r>
  <r>
    <x v="10"/>
    <x v="0"/>
    <s v="50% Dark Bites"/>
    <d v="2022-04-06T00:00:00"/>
    <x v="661"/>
    <x v="661"/>
    <n v="310"/>
  </r>
  <r>
    <x v="16"/>
    <x v="2"/>
    <s v="50% Dark Bites"/>
    <d v="2022-08-02T00:00:00"/>
    <x v="662"/>
    <x v="662"/>
    <n v="78"/>
  </r>
  <r>
    <x v="2"/>
    <x v="2"/>
    <s v="Eclairs"/>
    <d v="2022-04-12T00:00:00"/>
    <x v="663"/>
    <x v="663"/>
    <n v="136"/>
  </r>
  <r>
    <x v="4"/>
    <x v="1"/>
    <s v="Drinking Coco"/>
    <d v="2022-07-21T00:00:00"/>
    <x v="664"/>
    <x v="664"/>
    <n v="130"/>
  </r>
  <r>
    <x v="1"/>
    <x v="3"/>
    <s v="Baker's Choco Chips"/>
    <d v="2022-03-22T00:00:00"/>
    <x v="196"/>
    <x v="196"/>
    <n v="24"/>
  </r>
  <r>
    <x v="15"/>
    <x v="1"/>
    <s v="Peanut Butter Cubes"/>
    <d v="2022-05-09T00:00:00"/>
    <x v="665"/>
    <x v="665"/>
    <n v="5"/>
  </r>
  <r>
    <x v="19"/>
    <x v="2"/>
    <s v="Baker's Choco Chips"/>
    <d v="2022-08-09T00:00:00"/>
    <x v="666"/>
    <x v="666"/>
    <n v="109"/>
  </r>
  <r>
    <x v="22"/>
    <x v="5"/>
    <s v="Choco Coated Almonds"/>
    <d v="2022-07-20T00:00:00"/>
    <x v="667"/>
    <x v="667"/>
    <n v="294"/>
  </r>
  <r>
    <x v="6"/>
    <x v="1"/>
    <s v="70% Dark Bites"/>
    <d v="2022-04-14T00:00:00"/>
    <x v="668"/>
    <x v="668"/>
    <n v="413"/>
  </r>
  <r>
    <x v="0"/>
    <x v="5"/>
    <s v="White Choc"/>
    <d v="2022-01-25T00:00:00"/>
    <x v="669"/>
    <x v="669"/>
    <n v="136"/>
  </r>
  <r>
    <x v="19"/>
    <x v="2"/>
    <s v="Almond Choco"/>
    <d v="2022-04-25T00:00:00"/>
    <x v="231"/>
    <x v="231"/>
    <n v="175"/>
  </r>
  <r>
    <x v="23"/>
    <x v="5"/>
    <s v="After Nines"/>
    <d v="2022-01-17T00:00:00"/>
    <x v="210"/>
    <x v="210"/>
    <n v="237"/>
  </r>
  <r>
    <x v="10"/>
    <x v="4"/>
    <s v="Eclairs"/>
    <d v="2022-08-15T00:00:00"/>
    <x v="670"/>
    <x v="670"/>
    <n v="125"/>
  </r>
  <r>
    <x v="10"/>
    <x v="5"/>
    <s v="Fruit &amp; Nut Bars"/>
    <d v="2022-06-02T00:00:00"/>
    <x v="671"/>
    <x v="671"/>
    <n v="16"/>
  </r>
  <r>
    <x v="5"/>
    <x v="4"/>
    <s v="85% Dark Bars"/>
    <d v="2022-06-30T00:00:00"/>
    <x v="672"/>
    <x v="672"/>
    <n v="135"/>
  </r>
  <r>
    <x v="23"/>
    <x v="3"/>
    <s v="Raspberry Choco"/>
    <d v="2022-02-10T00:00:00"/>
    <x v="673"/>
    <x v="673"/>
    <n v="91"/>
  </r>
  <r>
    <x v="11"/>
    <x v="5"/>
    <s v="Caramel Stuffed Bars"/>
    <d v="2022-02-23T00:00:00"/>
    <x v="203"/>
    <x v="203"/>
    <n v="614"/>
  </r>
  <r>
    <x v="17"/>
    <x v="1"/>
    <s v="Organic Choco Syrup"/>
    <d v="2022-01-27T00:00:00"/>
    <x v="674"/>
    <x v="674"/>
    <n v="216"/>
  </r>
  <r>
    <x v="21"/>
    <x v="0"/>
    <s v="Mint Chip Choco"/>
    <d v="2022-05-26T00:00:00"/>
    <x v="675"/>
    <x v="675"/>
    <n v="317"/>
  </r>
  <r>
    <x v="6"/>
    <x v="4"/>
    <s v="70% Dark Bites"/>
    <d v="2022-04-14T00:00:00"/>
    <x v="606"/>
    <x v="606"/>
    <n v="21"/>
  </r>
  <r>
    <x v="22"/>
    <x v="2"/>
    <s v="99% Dark &amp; Pure"/>
    <d v="2022-08-01T00:00:00"/>
    <x v="649"/>
    <x v="649"/>
    <n v="154"/>
  </r>
  <r>
    <x v="9"/>
    <x v="2"/>
    <s v="Eclairs"/>
    <d v="2022-08-22T00:00:00"/>
    <x v="676"/>
    <x v="676"/>
    <n v="222"/>
  </r>
  <r>
    <x v="11"/>
    <x v="1"/>
    <s v="99% Dark &amp; Pure"/>
    <d v="2022-07-22T00:00:00"/>
    <x v="677"/>
    <x v="677"/>
    <n v="157"/>
  </r>
  <r>
    <x v="15"/>
    <x v="4"/>
    <s v="Fruit &amp; Nut Bars"/>
    <d v="2022-04-28T00:00:00"/>
    <x v="325"/>
    <x v="325"/>
    <n v="27"/>
  </r>
  <r>
    <x v="20"/>
    <x v="2"/>
    <s v="Almond Choco"/>
    <d v="2022-05-30T00:00:00"/>
    <x v="678"/>
    <x v="678"/>
    <n v="350"/>
  </r>
  <r>
    <x v="24"/>
    <x v="4"/>
    <s v="Milk Bars"/>
    <d v="2022-07-21T00:00:00"/>
    <x v="679"/>
    <x v="679"/>
    <n v="157"/>
  </r>
  <r>
    <x v="3"/>
    <x v="0"/>
    <s v="Caramel Stuffed Bars"/>
    <d v="2022-08-02T00:00:00"/>
    <x v="421"/>
    <x v="421"/>
    <n v="468"/>
  </r>
  <r>
    <x v="6"/>
    <x v="3"/>
    <s v="70% Dark Bites"/>
    <d v="2022-06-15T00:00:00"/>
    <x v="639"/>
    <x v="639"/>
    <n v="130"/>
  </r>
  <r>
    <x v="4"/>
    <x v="1"/>
    <s v="85% Dark Bars"/>
    <d v="2022-07-05T00:00:00"/>
    <x v="680"/>
    <x v="680"/>
    <n v="130"/>
  </r>
  <r>
    <x v="16"/>
    <x v="3"/>
    <s v="Smooth Sliky Salty"/>
    <d v="2022-04-12T00:00:00"/>
    <x v="486"/>
    <x v="486"/>
    <n v="518"/>
  </r>
  <r>
    <x v="2"/>
    <x v="2"/>
    <s v="70% Dark Bites"/>
    <d v="2022-08-18T00:00:00"/>
    <x v="203"/>
    <x v="203"/>
    <n v="105"/>
  </r>
  <r>
    <x v="3"/>
    <x v="0"/>
    <s v="50% Dark Bites"/>
    <d v="2022-01-12T00:00:00"/>
    <x v="681"/>
    <x v="681"/>
    <n v="293"/>
  </r>
  <r>
    <x v="5"/>
    <x v="5"/>
    <s v="White Choc"/>
    <d v="2022-08-11T00:00:00"/>
    <x v="682"/>
    <x v="682"/>
    <n v="15"/>
  </r>
  <r>
    <x v="0"/>
    <x v="2"/>
    <s v="Spicy Special Slims"/>
    <d v="2022-01-13T00:00:00"/>
    <x v="507"/>
    <x v="507"/>
    <n v="384"/>
  </r>
  <r>
    <x v="15"/>
    <x v="0"/>
    <s v="Baker's Choco Chips"/>
    <d v="2022-04-29T00:00:00"/>
    <x v="683"/>
    <x v="683"/>
    <n v="135"/>
  </r>
  <r>
    <x v="7"/>
    <x v="3"/>
    <s v="After Nines"/>
    <d v="2022-07-07T00:00:00"/>
    <x v="684"/>
    <x v="684"/>
    <n v="92"/>
  </r>
  <r>
    <x v="22"/>
    <x v="3"/>
    <s v="Mint Chip Choco"/>
    <d v="2022-03-11T00:00:00"/>
    <x v="685"/>
    <x v="685"/>
    <n v="4"/>
  </r>
  <r>
    <x v="22"/>
    <x v="0"/>
    <s v="70% Dark Bites"/>
    <d v="2022-02-16T00:00:00"/>
    <x v="686"/>
    <x v="686"/>
    <n v="239"/>
  </r>
  <r>
    <x v="8"/>
    <x v="2"/>
    <s v="Organic Choco Syrup"/>
    <d v="2022-01-07T00:00:00"/>
    <x v="443"/>
    <x v="443"/>
    <n v="33"/>
  </r>
  <r>
    <x v="12"/>
    <x v="3"/>
    <s v="Drinking Coco"/>
    <d v="2022-01-12T00:00:00"/>
    <x v="645"/>
    <x v="645"/>
    <n v="518"/>
  </r>
  <r>
    <x v="12"/>
    <x v="1"/>
    <s v="Eclairs"/>
    <d v="2022-06-09T00:00:00"/>
    <x v="687"/>
    <x v="687"/>
    <n v="147"/>
  </r>
  <r>
    <x v="19"/>
    <x v="1"/>
    <s v="Eclairs"/>
    <d v="2022-05-16T00:00:00"/>
    <x v="688"/>
    <x v="688"/>
    <n v="84"/>
  </r>
  <r>
    <x v="2"/>
    <x v="0"/>
    <s v="85% Dark Bars"/>
    <d v="2022-06-23T00:00:00"/>
    <x v="689"/>
    <x v="689"/>
    <n v="94"/>
  </r>
  <r>
    <x v="13"/>
    <x v="0"/>
    <s v="Raspberry Choco"/>
    <d v="2022-01-28T00:00:00"/>
    <x v="690"/>
    <x v="690"/>
    <n v="194"/>
  </r>
  <r>
    <x v="23"/>
    <x v="0"/>
    <s v="Mint Chip Choco"/>
    <d v="2022-07-14T00:00:00"/>
    <x v="37"/>
    <x v="37"/>
    <n v="216"/>
  </r>
  <r>
    <x v="8"/>
    <x v="5"/>
    <s v="Drinking Coco"/>
    <d v="2022-04-18T00:00:00"/>
    <x v="592"/>
    <x v="592"/>
    <n v="247"/>
  </r>
  <r>
    <x v="4"/>
    <x v="4"/>
    <s v="Milk Bars"/>
    <d v="2022-06-14T00:00:00"/>
    <x v="362"/>
    <x v="362"/>
    <n v="79"/>
  </r>
  <r>
    <x v="4"/>
    <x v="0"/>
    <s v="Orange Choco"/>
    <d v="2022-04-15T00:00:00"/>
    <x v="691"/>
    <x v="691"/>
    <n v="237"/>
  </r>
  <r>
    <x v="14"/>
    <x v="5"/>
    <s v="Peanut Butter Cubes"/>
    <d v="2022-05-19T00:00:00"/>
    <x v="369"/>
    <x v="369"/>
    <n v="63"/>
  </r>
  <r>
    <x v="2"/>
    <x v="1"/>
    <s v="White Choc"/>
    <d v="2022-04-13T00:00:00"/>
    <x v="692"/>
    <x v="692"/>
    <n v="172"/>
  </r>
  <r>
    <x v="15"/>
    <x v="5"/>
    <s v="Choco Coated Almonds"/>
    <d v="2022-08-15T00:00:00"/>
    <x v="475"/>
    <x v="475"/>
    <n v="408"/>
  </r>
  <r>
    <x v="18"/>
    <x v="1"/>
    <s v="Choco Coated Almonds"/>
    <d v="2022-08-22T00:00:00"/>
    <x v="607"/>
    <x v="607"/>
    <n v="233"/>
  </r>
  <r>
    <x v="18"/>
    <x v="3"/>
    <s v="Baker's Choco Chips"/>
    <d v="2022-04-22T00:00:00"/>
    <x v="432"/>
    <x v="432"/>
    <n v="59"/>
  </r>
  <r>
    <x v="16"/>
    <x v="0"/>
    <s v="Choco Coated Almonds"/>
    <d v="2022-08-03T00:00:00"/>
    <x v="693"/>
    <x v="693"/>
    <n v="123"/>
  </r>
  <r>
    <x v="17"/>
    <x v="3"/>
    <s v="Organic Choco Syrup"/>
    <d v="2022-01-04T00:00:00"/>
    <x v="694"/>
    <x v="694"/>
    <n v="229"/>
  </r>
  <r>
    <x v="20"/>
    <x v="5"/>
    <s v="After Nines"/>
    <d v="2022-01-13T00:00:00"/>
    <x v="695"/>
    <x v="695"/>
    <n v="198"/>
  </r>
  <r>
    <x v="1"/>
    <x v="2"/>
    <s v="Baker's Choco Chips"/>
    <d v="2022-05-11T00:00:00"/>
    <x v="696"/>
    <x v="696"/>
    <n v="32"/>
  </r>
  <r>
    <x v="15"/>
    <x v="3"/>
    <s v="Peanut Butter Cubes"/>
    <d v="2022-02-16T00:00:00"/>
    <x v="268"/>
    <x v="268"/>
    <n v="236"/>
  </r>
  <r>
    <x v="16"/>
    <x v="0"/>
    <s v="Caramel Stuffed Bars"/>
    <d v="2022-05-20T00:00:00"/>
    <x v="697"/>
    <x v="697"/>
    <n v="67"/>
  </r>
  <r>
    <x v="0"/>
    <x v="0"/>
    <s v="Drinking Coco"/>
    <d v="2022-02-03T00:00:00"/>
    <x v="698"/>
    <x v="698"/>
    <n v="438"/>
  </r>
  <r>
    <x v="12"/>
    <x v="1"/>
    <s v="Manuka Honey Choco"/>
    <d v="2022-05-06T00:00:00"/>
    <x v="699"/>
    <x v="699"/>
    <n v="167"/>
  </r>
  <r>
    <x v="5"/>
    <x v="0"/>
    <s v="Choco Coated Almonds"/>
    <d v="2022-06-30T00:00:00"/>
    <x v="345"/>
    <x v="345"/>
    <n v="135"/>
  </r>
  <r>
    <x v="5"/>
    <x v="0"/>
    <s v="Smooth Sliky Salty"/>
    <d v="2022-03-22T00:00:00"/>
    <x v="700"/>
    <x v="700"/>
    <n v="148"/>
  </r>
  <r>
    <x v="21"/>
    <x v="5"/>
    <s v="Orange Choco"/>
    <d v="2022-02-17T00:00:00"/>
    <x v="701"/>
    <x v="701"/>
    <n v="54"/>
  </r>
  <r>
    <x v="0"/>
    <x v="0"/>
    <s v="85% Dark Bars"/>
    <d v="2022-07-07T00:00:00"/>
    <x v="306"/>
    <x v="306"/>
    <n v="64"/>
  </r>
  <r>
    <x v="4"/>
    <x v="0"/>
    <s v="70% Dark Bites"/>
    <d v="2022-03-16T00:00:00"/>
    <x v="570"/>
    <x v="570"/>
    <n v="181"/>
  </r>
  <r>
    <x v="20"/>
    <x v="0"/>
    <s v="99% Dark &amp; Pure"/>
    <d v="2022-08-12T00:00:00"/>
    <x v="702"/>
    <x v="702"/>
    <n v="114"/>
  </r>
  <r>
    <x v="2"/>
    <x v="3"/>
    <s v="After Nines"/>
    <d v="2022-01-21T00:00:00"/>
    <x v="703"/>
    <x v="703"/>
    <n v="181"/>
  </r>
  <r>
    <x v="4"/>
    <x v="2"/>
    <s v="50% Dark Bites"/>
    <d v="2022-05-06T00:00:00"/>
    <x v="704"/>
    <x v="704"/>
    <n v="151"/>
  </r>
  <r>
    <x v="4"/>
    <x v="5"/>
    <s v="50% Dark Bites"/>
    <d v="2022-06-24T00:00:00"/>
    <x v="705"/>
    <x v="705"/>
    <n v="137"/>
  </r>
  <r>
    <x v="8"/>
    <x v="4"/>
    <s v="White Choc"/>
    <d v="2022-05-05T00:00:00"/>
    <x v="706"/>
    <x v="706"/>
    <n v="163"/>
  </r>
  <r>
    <x v="7"/>
    <x v="3"/>
    <s v="99% Dark &amp; Pure"/>
    <d v="2022-03-25T00:00:00"/>
    <x v="641"/>
    <x v="641"/>
    <n v="84"/>
  </r>
  <r>
    <x v="14"/>
    <x v="2"/>
    <s v="Caramel Stuffed Bars"/>
    <d v="2022-02-14T00:00:00"/>
    <x v="707"/>
    <x v="707"/>
    <n v="140"/>
  </r>
  <r>
    <x v="14"/>
    <x v="3"/>
    <s v="85% Dark Bars"/>
    <d v="2022-05-12T00:00:00"/>
    <x v="708"/>
    <x v="708"/>
    <n v="187"/>
  </r>
  <r>
    <x v="8"/>
    <x v="3"/>
    <s v="Smooth Sliky Salty"/>
    <d v="2022-01-25T00:00:00"/>
    <x v="7"/>
    <x v="7"/>
    <n v="169"/>
  </r>
  <r>
    <x v="24"/>
    <x v="0"/>
    <s v="85% Dark Bars"/>
    <d v="2022-06-28T00:00:00"/>
    <x v="709"/>
    <x v="709"/>
    <n v="12"/>
  </r>
  <r>
    <x v="17"/>
    <x v="2"/>
    <s v="Drinking Coco"/>
    <d v="2022-07-13T00:00:00"/>
    <x v="710"/>
    <x v="710"/>
    <n v="194"/>
  </r>
  <r>
    <x v="13"/>
    <x v="4"/>
    <s v="Milk Bars"/>
    <d v="2022-05-16T00:00:00"/>
    <x v="243"/>
    <x v="243"/>
    <n v="252"/>
  </r>
  <r>
    <x v="3"/>
    <x v="1"/>
    <s v="After Nines"/>
    <d v="2022-03-14T00:00:00"/>
    <x v="711"/>
    <x v="711"/>
    <n v="168"/>
  </r>
  <r>
    <x v="5"/>
    <x v="4"/>
    <s v="After Nines"/>
    <d v="2022-08-15T00:00:00"/>
    <x v="712"/>
    <x v="712"/>
    <n v="261"/>
  </r>
  <r>
    <x v="24"/>
    <x v="1"/>
    <s v="Orange Choco"/>
    <d v="2022-02-16T00:00:00"/>
    <x v="713"/>
    <x v="713"/>
    <n v="256"/>
  </r>
  <r>
    <x v="9"/>
    <x v="0"/>
    <s v="Manuka Honey Choco"/>
    <d v="2022-06-15T00:00:00"/>
    <x v="13"/>
    <x v="13"/>
    <n v="43"/>
  </r>
  <r>
    <x v="8"/>
    <x v="2"/>
    <s v="Raspberry Choco"/>
    <d v="2022-05-27T00:00:00"/>
    <x v="714"/>
    <x v="714"/>
    <n v="100"/>
  </r>
  <r>
    <x v="18"/>
    <x v="4"/>
    <s v="Drinking Coco"/>
    <d v="2022-06-14T00:00:00"/>
    <x v="715"/>
    <x v="715"/>
    <n v="98"/>
  </r>
  <r>
    <x v="18"/>
    <x v="1"/>
    <s v="Eclairs"/>
    <d v="2022-02-25T00:00:00"/>
    <x v="158"/>
    <x v="158"/>
    <n v="76"/>
  </r>
  <r>
    <x v="18"/>
    <x v="1"/>
    <s v="After Nines"/>
    <d v="2022-08-04T00:00:00"/>
    <x v="716"/>
    <x v="716"/>
    <n v="262"/>
  </r>
  <r>
    <x v="20"/>
    <x v="1"/>
    <s v="99% Dark &amp; Pure"/>
    <d v="2022-06-28T00:00:00"/>
    <x v="443"/>
    <x v="443"/>
    <n v="244"/>
  </r>
  <r>
    <x v="5"/>
    <x v="5"/>
    <s v="Spicy Special Slims"/>
    <d v="2022-04-05T00:00:00"/>
    <x v="717"/>
    <x v="717"/>
    <n v="12"/>
  </r>
  <r>
    <x v="22"/>
    <x v="5"/>
    <s v="Peanut Butter Cubes"/>
    <d v="2022-07-05T00:00:00"/>
    <x v="718"/>
    <x v="718"/>
    <n v="113"/>
  </r>
  <r>
    <x v="16"/>
    <x v="3"/>
    <s v="Eclairs"/>
    <d v="2022-01-20T00:00:00"/>
    <x v="719"/>
    <x v="719"/>
    <n v="48"/>
  </r>
  <r>
    <x v="24"/>
    <x v="3"/>
    <s v="Drinking Coco"/>
    <d v="2022-02-16T00:00:00"/>
    <x v="720"/>
    <x v="720"/>
    <n v="131"/>
  </r>
  <r>
    <x v="14"/>
    <x v="0"/>
    <s v="Drinking Coco"/>
    <d v="2022-07-12T00:00:00"/>
    <x v="270"/>
    <x v="270"/>
    <n v="174"/>
  </r>
  <r>
    <x v="20"/>
    <x v="1"/>
    <s v="Raspberry Choco"/>
    <d v="2022-06-16T00:00:00"/>
    <x v="721"/>
    <x v="721"/>
    <n v="254"/>
  </r>
  <r>
    <x v="23"/>
    <x v="2"/>
    <s v="Choco Coated Almonds"/>
    <d v="2022-04-13T00:00:00"/>
    <x v="722"/>
    <x v="722"/>
    <n v="284"/>
  </r>
  <r>
    <x v="16"/>
    <x v="0"/>
    <s v="50% Dark Bites"/>
    <d v="2022-02-21T00:00:00"/>
    <x v="723"/>
    <x v="723"/>
    <n v="67"/>
  </r>
  <r>
    <x v="13"/>
    <x v="5"/>
    <s v="Choco Coated Almonds"/>
    <d v="2022-05-11T00:00:00"/>
    <x v="724"/>
    <x v="724"/>
    <n v="249"/>
  </r>
  <r>
    <x v="24"/>
    <x v="1"/>
    <s v="50% Dark Bites"/>
    <d v="2022-04-15T00:00:00"/>
    <x v="445"/>
    <x v="445"/>
    <n v="313"/>
  </r>
  <r>
    <x v="4"/>
    <x v="5"/>
    <s v="Peanut Butter Cubes"/>
    <d v="2022-06-07T00:00:00"/>
    <x v="725"/>
    <x v="725"/>
    <n v="167"/>
  </r>
  <r>
    <x v="4"/>
    <x v="0"/>
    <s v="White Choc"/>
    <d v="2022-06-27T00:00:00"/>
    <x v="726"/>
    <x v="726"/>
    <n v="286"/>
  </r>
  <r>
    <x v="8"/>
    <x v="1"/>
    <s v="After Nines"/>
    <d v="2022-07-29T00:00:00"/>
    <x v="727"/>
    <x v="727"/>
    <n v="109"/>
  </r>
  <r>
    <x v="18"/>
    <x v="5"/>
    <s v="Smooth Sliky Salty"/>
    <d v="2022-06-02T00:00:00"/>
    <x v="728"/>
    <x v="728"/>
    <n v="166"/>
  </r>
  <r>
    <x v="7"/>
    <x v="1"/>
    <s v="Mint Chip Choco"/>
    <d v="2022-01-26T00:00:00"/>
    <x v="381"/>
    <x v="381"/>
    <n v="85"/>
  </r>
  <r>
    <x v="7"/>
    <x v="5"/>
    <s v="99% Dark &amp; Pure"/>
    <d v="2022-03-02T00:00:00"/>
    <x v="729"/>
    <x v="729"/>
    <n v="142"/>
  </r>
  <r>
    <x v="1"/>
    <x v="2"/>
    <s v="70% Dark Bites"/>
    <d v="2022-01-10T00:00:00"/>
    <x v="730"/>
    <x v="730"/>
    <n v="104"/>
  </r>
  <r>
    <x v="12"/>
    <x v="4"/>
    <s v="70% Dark Bites"/>
    <d v="2022-06-27T00:00:00"/>
    <x v="560"/>
    <x v="560"/>
    <n v="115"/>
  </r>
  <r>
    <x v="8"/>
    <x v="5"/>
    <s v="Orange Choco"/>
    <d v="2022-06-30T00:00:00"/>
    <x v="42"/>
    <x v="42"/>
    <n v="18"/>
  </r>
  <r>
    <x v="13"/>
    <x v="2"/>
    <s v="85% Dark Bars"/>
    <d v="2022-07-08T00:00:00"/>
    <x v="731"/>
    <x v="731"/>
    <n v="80"/>
  </r>
  <r>
    <x v="4"/>
    <x v="1"/>
    <s v="Spicy Special Slims"/>
    <d v="2022-06-08T00:00:00"/>
    <x v="732"/>
    <x v="732"/>
    <n v="88"/>
  </r>
  <r>
    <x v="3"/>
    <x v="0"/>
    <s v="Manuka Honey Choco"/>
    <d v="2022-08-18T00:00:00"/>
    <x v="224"/>
    <x v="224"/>
    <n v="212"/>
  </r>
  <r>
    <x v="16"/>
    <x v="2"/>
    <s v="After Nines"/>
    <d v="2022-04-08T00:00:00"/>
    <x v="120"/>
    <x v="120"/>
    <n v="306"/>
  </r>
  <r>
    <x v="18"/>
    <x v="5"/>
    <s v="Fruit &amp; Nut Bars"/>
    <d v="2022-08-08T00:00:00"/>
    <x v="553"/>
    <x v="553"/>
    <n v="181"/>
  </r>
  <r>
    <x v="18"/>
    <x v="0"/>
    <s v="Milk Bars"/>
    <d v="2022-08-26T00:00:00"/>
    <x v="733"/>
    <x v="733"/>
    <n v="65"/>
  </r>
  <r>
    <x v="4"/>
    <x v="5"/>
    <s v="Fruit &amp; Nut Bars"/>
    <d v="2022-01-14T00:00:00"/>
    <x v="554"/>
    <x v="554"/>
    <n v="158"/>
  </r>
  <r>
    <x v="17"/>
    <x v="4"/>
    <s v="Baker's Choco Chips"/>
    <d v="2022-08-11T00:00:00"/>
    <x v="734"/>
    <x v="734"/>
    <n v="271"/>
  </r>
  <r>
    <x v="22"/>
    <x v="4"/>
    <s v="Almond Choco"/>
    <d v="2022-05-31T00:00:00"/>
    <x v="735"/>
    <x v="735"/>
    <n v="24"/>
  </r>
  <r>
    <x v="1"/>
    <x v="3"/>
    <s v="50% Dark Bites"/>
    <d v="2022-07-11T00:00:00"/>
    <x v="736"/>
    <x v="736"/>
    <n v="10"/>
  </r>
  <r>
    <x v="10"/>
    <x v="5"/>
    <s v="Caramel Stuffed Bars"/>
    <d v="2022-03-02T00:00:00"/>
    <x v="737"/>
    <x v="737"/>
    <n v="304"/>
  </r>
  <r>
    <x v="22"/>
    <x v="2"/>
    <s v="Raspberry Choco"/>
    <d v="2022-07-13T00:00:00"/>
    <x v="738"/>
    <x v="738"/>
    <n v="88"/>
  </r>
  <r>
    <x v="7"/>
    <x v="0"/>
    <s v="Spicy Special Slims"/>
    <d v="2022-08-03T00:00:00"/>
    <x v="739"/>
    <x v="739"/>
    <n v="133"/>
  </r>
  <r>
    <x v="14"/>
    <x v="0"/>
    <s v="Peanut Butter Cubes"/>
    <d v="2022-03-01T00:00:00"/>
    <x v="740"/>
    <x v="740"/>
    <n v="165"/>
  </r>
  <r>
    <x v="20"/>
    <x v="3"/>
    <s v="White Choc"/>
    <d v="2022-04-13T00:00:00"/>
    <x v="741"/>
    <x v="741"/>
    <n v="150"/>
  </r>
  <r>
    <x v="12"/>
    <x v="5"/>
    <s v="Fruit &amp; Nut Bars"/>
    <d v="2022-02-14T00:00:00"/>
    <x v="742"/>
    <x v="742"/>
    <n v="180"/>
  </r>
  <r>
    <x v="9"/>
    <x v="1"/>
    <s v="White Choc"/>
    <d v="2022-07-26T00:00:00"/>
    <x v="743"/>
    <x v="743"/>
    <n v="213"/>
  </r>
  <r>
    <x v="6"/>
    <x v="0"/>
    <s v="Drinking Coco"/>
    <d v="2022-01-27T00:00:00"/>
    <x v="744"/>
    <x v="744"/>
    <n v="133"/>
  </r>
  <r>
    <x v="0"/>
    <x v="1"/>
    <s v="Peanut Butter Cubes"/>
    <d v="2022-04-14T00:00:00"/>
    <x v="745"/>
    <x v="745"/>
    <n v="446"/>
  </r>
  <r>
    <x v="4"/>
    <x v="4"/>
    <s v="Almond Choco"/>
    <d v="2022-05-19T00:00:00"/>
    <x v="412"/>
    <x v="412"/>
    <n v="141"/>
  </r>
  <r>
    <x v="15"/>
    <x v="1"/>
    <s v="Eclairs"/>
    <d v="2022-02-09T00:00:00"/>
    <x v="746"/>
    <x v="746"/>
    <n v="58"/>
  </r>
  <r>
    <x v="6"/>
    <x v="0"/>
    <s v="Spicy Special Slims"/>
    <d v="2022-05-25T00:00:00"/>
    <x v="747"/>
    <x v="747"/>
    <n v="58"/>
  </r>
  <r>
    <x v="4"/>
    <x v="2"/>
    <s v="Manuka Honey Choco"/>
    <d v="2022-01-26T00:00:00"/>
    <x v="748"/>
    <x v="748"/>
    <n v="76"/>
  </r>
  <r>
    <x v="12"/>
    <x v="1"/>
    <s v="White Choc"/>
    <d v="2022-07-04T00:00:00"/>
    <x v="749"/>
    <x v="749"/>
    <n v="296"/>
  </r>
  <r>
    <x v="24"/>
    <x v="1"/>
    <s v="Almond Choco"/>
    <d v="2022-04-13T00:00:00"/>
    <x v="750"/>
    <x v="750"/>
    <n v="73"/>
  </r>
  <r>
    <x v="2"/>
    <x v="2"/>
    <s v="Smooth Sliky Salty"/>
    <d v="2022-01-25T00:00:00"/>
    <x v="751"/>
    <x v="751"/>
    <n v="119"/>
  </r>
  <r>
    <x v="21"/>
    <x v="4"/>
    <s v="85% Dark Bars"/>
    <d v="2022-04-25T00:00:00"/>
    <x v="752"/>
    <x v="752"/>
    <n v="78"/>
  </r>
  <r>
    <x v="21"/>
    <x v="4"/>
    <s v="Eclairs"/>
    <d v="2022-06-10T00:00:00"/>
    <x v="416"/>
    <x v="416"/>
    <n v="392"/>
  </r>
  <r>
    <x v="22"/>
    <x v="3"/>
    <s v="White Choc"/>
    <d v="2022-08-22T00:00:00"/>
    <x v="543"/>
    <x v="543"/>
    <n v="51"/>
  </r>
  <r>
    <x v="1"/>
    <x v="1"/>
    <s v="After Nines"/>
    <d v="2022-06-27T00:00:00"/>
    <x v="168"/>
    <x v="168"/>
    <n v="207"/>
  </r>
  <r>
    <x v="15"/>
    <x v="1"/>
    <s v="Orange Choco"/>
    <d v="2022-06-30T00:00:00"/>
    <x v="149"/>
    <x v="149"/>
    <n v="40"/>
  </r>
  <r>
    <x v="0"/>
    <x v="1"/>
    <s v="Almond Choco"/>
    <d v="2022-08-30T00:00:00"/>
    <x v="753"/>
    <x v="753"/>
    <n v="100"/>
  </r>
  <r>
    <x v="10"/>
    <x v="2"/>
    <s v="Raspberry Choco"/>
    <d v="2022-08-23T00:00:00"/>
    <x v="366"/>
    <x v="366"/>
    <n v="57"/>
  </r>
  <r>
    <x v="21"/>
    <x v="3"/>
    <s v="99% Dark &amp; Pure"/>
    <d v="2022-08-26T00:00:00"/>
    <x v="754"/>
    <x v="754"/>
    <n v="42"/>
  </r>
  <r>
    <x v="2"/>
    <x v="2"/>
    <s v="Orange Choco"/>
    <d v="2022-03-09T00:00:00"/>
    <x v="755"/>
    <x v="755"/>
    <n v="156"/>
  </r>
  <r>
    <x v="20"/>
    <x v="0"/>
    <s v="Drinking Coco"/>
    <d v="2022-04-20T00:00:00"/>
    <x v="756"/>
    <x v="756"/>
    <n v="23"/>
  </r>
  <r>
    <x v="9"/>
    <x v="5"/>
    <s v="Caramel Stuffed Bars"/>
    <d v="2022-06-10T00:00:00"/>
    <x v="634"/>
    <x v="634"/>
    <n v="539"/>
  </r>
  <r>
    <x v="15"/>
    <x v="2"/>
    <s v="Organic Choco Syrup"/>
    <d v="2022-02-08T00:00:00"/>
    <x v="38"/>
    <x v="38"/>
    <n v="158"/>
  </r>
  <r>
    <x v="6"/>
    <x v="2"/>
    <s v="White Choc"/>
    <d v="2022-08-25T00:00:00"/>
    <x v="678"/>
    <x v="678"/>
    <n v="22"/>
  </r>
  <r>
    <x v="23"/>
    <x v="1"/>
    <s v="Peanut Butter Cubes"/>
    <d v="2022-02-16T00:00:00"/>
    <x v="757"/>
    <x v="757"/>
    <n v="73"/>
  </r>
  <r>
    <x v="17"/>
    <x v="0"/>
    <s v="99% Dark &amp; Pure"/>
    <d v="2022-05-30T00:00:00"/>
    <x v="758"/>
    <x v="758"/>
    <n v="27"/>
  </r>
  <r>
    <x v="2"/>
    <x v="3"/>
    <s v="50% Dark Bites"/>
    <d v="2022-06-29T00:00:00"/>
    <x v="759"/>
    <x v="759"/>
    <n v="64"/>
  </r>
  <r>
    <x v="2"/>
    <x v="4"/>
    <s v="Milk Bars"/>
    <d v="2022-06-16T00:00:00"/>
    <x v="114"/>
    <x v="114"/>
    <n v="133"/>
  </r>
  <r>
    <x v="6"/>
    <x v="0"/>
    <s v="Caramel Stuffed Bars"/>
    <d v="2022-03-04T00:00:00"/>
    <x v="760"/>
    <x v="760"/>
    <n v="149"/>
  </r>
  <r>
    <x v="14"/>
    <x v="3"/>
    <s v="Peanut Butter Cubes"/>
    <d v="2022-03-15T00:00:00"/>
    <x v="761"/>
    <x v="761"/>
    <n v="434"/>
  </r>
  <r>
    <x v="14"/>
    <x v="3"/>
    <s v="50% Dark Bites"/>
    <d v="2022-01-27T00:00:00"/>
    <x v="762"/>
    <x v="762"/>
    <n v="85"/>
  </r>
  <r>
    <x v="12"/>
    <x v="5"/>
    <s v="Drinking Coco"/>
    <d v="2022-07-05T00:00:00"/>
    <x v="366"/>
    <x v="366"/>
    <n v="118"/>
  </r>
  <r>
    <x v="8"/>
    <x v="4"/>
    <s v="Caramel Stuffed Bars"/>
    <d v="2022-03-29T00:00:00"/>
    <x v="763"/>
    <x v="763"/>
    <n v="299"/>
  </r>
  <r>
    <x v="9"/>
    <x v="5"/>
    <s v="Almond Choco"/>
    <d v="2022-05-12T00:00:00"/>
    <x v="764"/>
    <x v="764"/>
    <n v="35"/>
  </r>
  <r>
    <x v="4"/>
    <x v="4"/>
    <s v="Drinking Coco"/>
    <d v="2022-03-11T00:00:00"/>
    <x v="265"/>
    <x v="265"/>
    <n v="44"/>
  </r>
  <r>
    <x v="6"/>
    <x v="3"/>
    <s v="Eclairs"/>
    <d v="2022-07-11T00:00:00"/>
    <x v="765"/>
    <x v="765"/>
    <n v="299"/>
  </r>
  <r>
    <x v="5"/>
    <x v="3"/>
    <s v="Choco Coated Almonds"/>
    <d v="2022-08-01T00:00:00"/>
    <x v="766"/>
    <x v="766"/>
    <n v="62"/>
  </r>
  <r>
    <x v="5"/>
    <x v="0"/>
    <s v="Spicy Special Slims"/>
    <d v="2022-02-16T00:00:00"/>
    <x v="767"/>
    <x v="767"/>
    <n v="200"/>
  </r>
  <r>
    <x v="14"/>
    <x v="4"/>
    <s v="After Nines"/>
    <d v="2022-04-13T00:00:00"/>
    <x v="768"/>
    <x v="768"/>
    <n v="235"/>
  </r>
  <r>
    <x v="4"/>
    <x v="1"/>
    <s v="Choco Coated Almonds"/>
    <d v="2022-02-14T00:00:00"/>
    <x v="92"/>
    <x v="92"/>
    <n v="363"/>
  </r>
  <r>
    <x v="24"/>
    <x v="2"/>
    <s v="Peanut Butter Cubes"/>
    <d v="2022-03-14T00:00:00"/>
    <x v="769"/>
    <x v="769"/>
    <n v="68"/>
  </r>
  <r>
    <x v="4"/>
    <x v="2"/>
    <s v="Spicy Special Slims"/>
    <d v="2022-04-26T00:00:00"/>
    <x v="770"/>
    <x v="770"/>
    <n v="26"/>
  </r>
  <r>
    <x v="0"/>
    <x v="5"/>
    <s v="Manuka Honey Choco"/>
    <d v="2022-04-05T00:00:00"/>
    <x v="771"/>
    <x v="771"/>
    <n v="200"/>
  </r>
  <r>
    <x v="21"/>
    <x v="5"/>
    <s v="Drinking Coco"/>
    <d v="2022-03-03T00:00:00"/>
    <x v="772"/>
    <x v="772"/>
    <n v="264"/>
  </r>
  <r>
    <x v="16"/>
    <x v="4"/>
    <s v="Spicy Special Slims"/>
    <d v="2022-06-13T00:00:00"/>
    <x v="572"/>
    <x v="572"/>
    <n v="175"/>
  </r>
  <r>
    <x v="11"/>
    <x v="3"/>
    <s v="70% Dark Bites"/>
    <d v="2022-02-14T00:00:00"/>
    <x v="773"/>
    <x v="773"/>
    <n v="352"/>
  </r>
  <r>
    <x v="13"/>
    <x v="3"/>
    <s v="99% Dark &amp; Pure"/>
    <d v="2022-04-18T00:00:00"/>
    <x v="593"/>
    <x v="593"/>
    <n v="183"/>
  </r>
  <r>
    <x v="4"/>
    <x v="3"/>
    <s v="85% Dark Bars"/>
    <d v="2022-02-01T00:00:00"/>
    <x v="475"/>
    <x v="475"/>
    <n v="417"/>
  </r>
  <r>
    <x v="23"/>
    <x v="3"/>
    <s v="Orange Choco"/>
    <d v="2022-08-04T00:00:00"/>
    <x v="62"/>
    <x v="62"/>
    <n v="146"/>
  </r>
  <r>
    <x v="19"/>
    <x v="3"/>
    <s v="Almond Choco"/>
    <d v="2022-04-05T00:00:00"/>
    <x v="774"/>
    <x v="774"/>
    <n v="158"/>
  </r>
  <r>
    <x v="10"/>
    <x v="2"/>
    <s v="99% Dark &amp; Pure"/>
    <d v="2022-01-26T00:00:00"/>
    <x v="629"/>
    <x v="629"/>
    <n v="168"/>
  </r>
  <r>
    <x v="16"/>
    <x v="0"/>
    <s v="After Nines"/>
    <d v="2022-01-21T00:00:00"/>
    <x v="775"/>
    <x v="775"/>
    <n v="176"/>
  </r>
  <r>
    <x v="16"/>
    <x v="5"/>
    <s v="After Nines"/>
    <d v="2022-08-22T00:00:00"/>
    <x v="673"/>
    <x v="673"/>
    <n v="172"/>
  </r>
  <r>
    <x v="16"/>
    <x v="0"/>
    <s v="Drinking Coco"/>
    <d v="2022-01-27T00:00:00"/>
    <x v="311"/>
    <x v="311"/>
    <n v="224"/>
  </r>
  <r>
    <x v="7"/>
    <x v="0"/>
    <s v="50% Dark Bites"/>
    <d v="2022-02-16T00:00:00"/>
    <x v="776"/>
    <x v="776"/>
    <n v="68"/>
  </r>
  <r>
    <x v="23"/>
    <x v="4"/>
    <s v="Raspberry Choco"/>
    <d v="2022-01-03T00:00:00"/>
    <x v="553"/>
    <x v="553"/>
    <n v="46"/>
  </r>
  <r>
    <x v="10"/>
    <x v="4"/>
    <s v="White Choc"/>
    <d v="2022-08-24T00:00:00"/>
    <x v="777"/>
    <x v="777"/>
    <n v="2"/>
  </r>
  <r>
    <x v="4"/>
    <x v="4"/>
    <s v="Spicy Special Slims"/>
    <d v="2022-02-07T00:00:00"/>
    <x v="299"/>
    <x v="299"/>
    <n v="417"/>
  </r>
  <r>
    <x v="9"/>
    <x v="2"/>
    <s v="Smooth Sliky Salty"/>
    <d v="2022-02-11T00:00:00"/>
    <x v="778"/>
    <x v="778"/>
    <n v="109"/>
  </r>
  <r>
    <x v="16"/>
    <x v="5"/>
    <s v="Organic Choco Syrup"/>
    <d v="2022-03-29T00:00:00"/>
    <x v="779"/>
    <x v="779"/>
    <n v="81"/>
  </r>
  <r>
    <x v="11"/>
    <x v="4"/>
    <s v="Peanut Butter Cubes"/>
    <d v="2022-06-15T00:00:00"/>
    <x v="780"/>
    <x v="780"/>
    <n v="350"/>
  </r>
  <r>
    <x v="17"/>
    <x v="0"/>
    <s v="Smooth Sliky Salty"/>
    <d v="2022-04-26T00:00:00"/>
    <x v="781"/>
    <x v="781"/>
    <n v="142"/>
  </r>
  <r>
    <x v="6"/>
    <x v="2"/>
    <s v="Organic Choco Syrup"/>
    <d v="2022-07-15T00:00:00"/>
    <x v="130"/>
    <x v="130"/>
    <n v="264"/>
  </r>
  <r>
    <x v="12"/>
    <x v="1"/>
    <s v="Organic Choco Syrup"/>
    <d v="2022-06-23T00:00:00"/>
    <x v="782"/>
    <x v="782"/>
    <n v="20"/>
  </r>
  <r>
    <x v="17"/>
    <x v="2"/>
    <s v="Baker's Choco Chips"/>
    <d v="2022-01-11T00:00:00"/>
    <x v="783"/>
    <x v="783"/>
    <n v="421"/>
  </r>
  <r>
    <x v="12"/>
    <x v="0"/>
    <s v="50% Dark Bites"/>
    <d v="2022-02-09T00:00:00"/>
    <x v="784"/>
    <x v="784"/>
    <n v="271"/>
  </r>
  <r>
    <x v="1"/>
    <x v="0"/>
    <s v="Almond Choco"/>
    <d v="2022-06-06T00:00:00"/>
    <x v="785"/>
    <x v="785"/>
    <n v="204"/>
  </r>
  <r>
    <x v="23"/>
    <x v="0"/>
    <s v="Caramel Stuffed Bars"/>
    <d v="2022-08-10T00:00:00"/>
    <x v="751"/>
    <x v="751"/>
    <n v="235"/>
  </r>
  <r>
    <x v="18"/>
    <x v="2"/>
    <s v="Smooth Sliky Salty"/>
    <d v="2022-01-04T00:00:00"/>
    <x v="786"/>
    <x v="786"/>
    <n v="46"/>
  </r>
  <r>
    <x v="19"/>
    <x v="5"/>
    <s v="70% Dark Bites"/>
    <d v="2022-04-08T00:00:00"/>
    <x v="787"/>
    <x v="787"/>
    <n v="15"/>
  </r>
  <r>
    <x v="8"/>
    <x v="0"/>
    <s v="Milk Bars"/>
    <d v="2022-03-02T00:00:00"/>
    <x v="788"/>
    <x v="788"/>
    <n v="430"/>
  </r>
  <r>
    <x v="1"/>
    <x v="5"/>
    <s v="Drinking Coco"/>
    <d v="2022-06-15T00:00:00"/>
    <x v="789"/>
    <x v="789"/>
    <n v="709"/>
  </r>
  <r>
    <x v="0"/>
    <x v="2"/>
    <s v="After Nines"/>
    <d v="2022-02-14T00:00:00"/>
    <x v="681"/>
    <x v="681"/>
    <n v="47"/>
  </r>
  <r>
    <x v="15"/>
    <x v="0"/>
    <s v="After Nines"/>
    <d v="2022-07-05T00:00:00"/>
    <x v="702"/>
    <x v="702"/>
    <n v="380"/>
  </r>
  <r>
    <x v="8"/>
    <x v="1"/>
    <s v="Mint Chip Choco"/>
    <d v="2022-01-12T00:00:00"/>
    <x v="685"/>
    <x v="685"/>
    <n v="465"/>
  </r>
  <r>
    <x v="14"/>
    <x v="1"/>
    <s v="Mint Chip Choco"/>
    <d v="2022-03-03T00:00:00"/>
    <x v="790"/>
    <x v="790"/>
    <n v="96"/>
  </r>
  <r>
    <x v="0"/>
    <x v="3"/>
    <s v="Milk Bars"/>
    <d v="2022-05-18T00:00:00"/>
    <x v="791"/>
    <x v="791"/>
    <n v="188"/>
  </r>
  <r>
    <x v="5"/>
    <x v="1"/>
    <s v="Caramel Stuffed Bars"/>
    <d v="2022-07-28T00:00:00"/>
    <x v="792"/>
    <x v="792"/>
    <n v="202"/>
  </r>
  <r>
    <x v="14"/>
    <x v="0"/>
    <s v="Manuka Honey Choco"/>
    <d v="2022-02-07T00:00:00"/>
    <x v="793"/>
    <x v="793"/>
    <n v="106"/>
  </r>
  <r>
    <x v="19"/>
    <x v="1"/>
    <s v="Orange Choco"/>
    <d v="2022-05-30T00:00:00"/>
    <x v="733"/>
    <x v="733"/>
    <n v="421"/>
  </r>
  <r>
    <x v="9"/>
    <x v="2"/>
    <s v="Raspberry Choco"/>
    <d v="2022-04-25T00:00:00"/>
    <x v="794"/>
    <x v="794"/>
    <n v="27"/>
  </r>
  <r>
    <x v="12"/>
    <x v="5"/>
    <s v="85% Dark Bars"/>
    <d v="2022-02-16T00:00:00"/>
    <x v="795"/>
    <x v="795"/>
    <n v="45"/>
  </r>
  <r>
    <x v="20"/>
    <x v="2"/>
    <s v="Drinking Coco"/>
    <d v="2022-05-04T00:00:00"/>
    <x v="325"/>
    <x v="325"/>
    <n v="60"/>
  </r>
  <r>
    <x v="1"/>
    <x v="5"/>
    <s v="70% Dark Bites"/>
    <d v="2022-06-02T00:00:00"/>
    <x v="796"/>
    <x v="796"/>
    <n v="77"/>
  </r>
  <r>
    <x v="17"/>
    <x v="4"/>
    <s v="Caramel Stuffed Bars"/>
    <d v="2022-07-11T00:00:00"/>
    <x v="311"/>
    <x v="311"/>
    <n v="464"/>
  </r>
  <r>
    <x v="12"/>
    <x v="3"/>
    <s v="Spicy Special Slims"/>
    <d v="2022-06-07T00:00:00"/>
    <x v="79"/>
    <x v="79"/>
    <n v="60"/>
  </r>
  <r>
    <x v="3"/>
    <x v="0"/>
    <s v="Almond Choco"/>
    <d v="2022-07-06T00:00:00"/>
    <x v="636"/>
    <x v="636"/>
    <n v="157"/>
  </r>
  <r>
    <x v="15"/>
    <x v="1"/>
    <s v="Raspberry Choco"/>
    <d v="2022-06-15T00:00:00"/>
    <x v="797"/>
    <x v="797"/>
    <n v="154"/>
  </r>
  <r>
    <x v="23"/>
    <x v="1"/>
    <s v="Mint Chip Choco"/>
    <d v="2022-04-14T00:00:00"/>
    <x v="798"/>
    <x v="798"/>
    <n v="239"/>
  </r>
  <r>
    <x v="21"/>
    <x v="1"/>
    <s v="Drinking Coco"/>
    <d v="2022-08-08T00:00:00"/>
    <x v="799"/>
    <x v="799"/>
    <n v="163"/>
  </r>
  <r>
    <x v="11"/>
    <x v="0"/>
    <s v="Drinking Coco"/>
    <d v="2022-03-29T00:00:00"/>
    <x v="800"/>
    <x v="800"/>
    <n v="28"/>
  </r>
  <r>
    <x v="13"/>
    <x v="2"/>
    <s v="Organic Choco Syrup"/>
    <d v="2022-07-04T00:00:00"/>
    <x v="661"/>
    <x v="661"/>
    <n v="76"/>
  </r>
  <r>
    <x v="24"/>
    <x v="1"/>
    <s v="99% Dark &amp; Pure"/>
    <d v="2022-02-16T00:00:00"/>
    <x v="270"/>
    <x v="270"/>
    <n v="96"/>
  </r>
  <r>
    <x v="7"/>
    <x v="5"/>
    <s v="Spicy Special Slims"/>
    <d v="2022-05-02T00:00:00"/>
    <x v="801"/>
    <x v="801"/>
    <n v="156"/>
  </r>
  <r>
    <x v="1"/>
    <x v="1"/>
    <s v="Eclairs"/>
    <d v="2022-07-21T00:00:00"/>
    <x v="802"/>
    <x v="802"/>
    <n v="106"/>
  </r>
  <r>
    <x v="5"/>
    <x v="2"/>
    <s v="99% Dark &amp; Pure"/>
    <d v="2022-08-18T00:00:00"/>
    <x v="803"/>
    <x v="803"/>
    <n v="235"/>
  </r>
  <r>
    <x v="16"/>
    <x v="4"/>
    <s v="85% Dark Bars"/>
    <d v="2022-06-22T00:00:00"/>
    <x v="604"/>
    <x v="604"/>
    <n v="259"/>
  </r>
  <r>
    <x v="21"/>
    <x v="0"/>
    <s v="Peanut Butter Cubes"/>
    <d v="2022-07-19T00:00:00"/>
    <x v="804"/>
    <x v="804"/>
    <n v="126"/>
  </r>
  <r>
    <x v="22"/>
    <x v="0"/>
    <s v="Peanut Butter Cubes"/>
    <d v="2022-08-12T00:00:00"/>
    <x v="393"/>
    <x v="393"/>
    <n v="85"/>
  </r>
  <r>
    <x v="22"/>
    <x v="4"/>
    <s v="Choco Coated Almonds"/>
    <d v="2022-06-07T00:00:00"/>
    <x v="161"/>
    <x v="161"/>
    <n v="132"/>
  </r>
  <r>
    <x v="11"/>
    <x v="5"/>
    <s v="Peanut Butter Cubes"/>
    <d v="2022-03-08T00:00:00"/>
    <x v="805"/>
    <x v="805"/>
    <n v="91"/>
  </r>
  <r>
    <x v="24"/>
    <x v="2"/>
    <s v="Choco Coated Almonds"/>
    <d v="2022-04-08T00:00:00"/>
    <x v="806"/>
    <x v="806"/>
    <n v="167"/>
  </r>
  <r>
    <x v="14"/>
    <x v="5"/>
    <s v="Eclairs"/>
    <d v="2022-05-06T00:00:00"/>
    <x v="704"/>
    <x v="704"/>
    <n v="203"/>
  </r>
  <r>
    <x v="13"/>
    <x v="1"/>
    <s v="Drinking Coco"/>
    <d v="2022-05-31T00:00:00"/>
    <x v="512"/>
    <x v="512"/>
    <n v="11"/>
  </r>
  <r>
    <x v="1"/>
    <x v="2"/>
    <s v="Mint Chip Choco"/>
    <d v="2022-01-13T00:00:00"/>
    <x v="807"/>
    <x v="807"/>
    <n v="295"/>
  </r>
  <r>
    <x v="17"/>
    <x v="4"/>
    <s v="70% Dark Bites"/>
    <d v="2022-03-15T00:00:00"/>
    <x v="529"/>
    <x v="529"/>
    <n v="77"/>
  </r>
  <r>
    <x v="19"/>
    <x v="5"/>
    <s v="Peanut Butter Cubes"/>
    <d v="2022-02-16T00:00:00"/>
    <x v="523"/>
    <x v="523"/>
    <n v="319"/>
  </r>
  <r>
    <x v="2"/>
    <x v="4"/>
    <s v="70% Dark Bites"/>
    <d v="2022-01-14T00:00:00"/>
    <x v="808"/>
    <x v="808"/>
    <n v="196"/>
  </r>
  <r>
    <x v="7"/>
    <x v="2"/>
    <s v="White Choc"/>
    <d v="2022-03-21T00:00:00"/>
    <x v="809"/>
    <x v="809"/>
    <n v="102"/>
  </r>
  <r>
    <x v="13"/>
    <x v="5"/>
    <s v="Drinking Coco"/>
    <d v="2022-05-17T00:00:00"/>
    <x v="810"/>
    <x v="810"/>
    <n v="312"/>
  </r>
  <r>
    <x v="21"/>
    <x v="3"/>
    <s v="85% Dark Bars"/>
    <d v="2022-08-08T00:00:00"/>
    <x v="811"/>
    <x v="811"/>
    <n v="55"/>
  </r>
  <r>
    <x v="22"/>
    <x v="5"/>
    <s v="Milk Bars"/>
    <d v="2022-04-26T00:00:00"/>
    <x v="812"/>
    <x v="812"/>
    <n v="82"/>
  </r>
  <r>
    <x v="22"/>
    <x v="2"/>
    <s v="70% Dark Bites"/>
    <d v="2022-04-15T00:00:00"/>
    <x v="813"/>
    <x v="813"/>
    <n v="260"/>
  </r>
  <r>
    <x v="4"/>
    <x v="5"/>
    <s v="Eclairs"/>
    <d v="2022-05-19T00:00:00"/>
    <x v="814"/>
    <x v="814"/>
    <n v="591"/>
  </r>
  <r>
    <x v="17"/>
    <x v="5"/>
    <s v="Drinking Coco"/>
    <d v="2022-01-10T00:00:00"/>
    <x v="815"/>
    <x v="815"/>
    <n v="24"/>
  </r>
  <r>
    <x v="9"/>
    <x v="3"/>
    <s v="After Nines"/>
    <d v="2022-05-04T00:00:00"/>
    <x v="604"/>
    <x v="604"/>
    <n v="228"/>
  </r>
  <r>
    <x v="13"/>
    <x v="5"/>
    <s v="White Choc"/>
    <d v="2022-04-05T00:00:00"/>
    <x v="816"/>
    <x v="816"/>
    <n v="268"/>
  </r>
  <r>
    <x v="19"/>
    <x v="1"/>
    <s v="After Nines"/>
    <d v="2022-01-17T00:00:00"/>
    <x v="652"/>
    <x v="652"/>
    <n v="68"/>
  </r>
  <r>
    <x v="13"/>
    <x v="1"/>
    <s v="Spicy Special Slims"/>
    <d v="2022-03-22T00:00:00"/>
    <x v="817"/>
    <x v="817"/>
    <n v="173"/>
  </r>
  <r>
    <x v="23"/>
    <x v="2"/>
    <s v="White Choc"/>
    <d v="2022-07-05T00:00:00"/>
    <x v="198"/>
    <x v="198"/>
    <n v="93"/>
  </r>
  <r>
    <x v="4"/>
    <x v="5"/>
    <s v="Orange Choco"/>
    <d v="2022-04-27T00:00:00"/>
    <x v="518"/>
    <x v="518"/>
    <n v="338"/>
  </r>
  <r>
    <x v="16"/>
    <x v="5"/>
    <s v="Almond Choco"/>
    <d v="2022-08-12T00:00:00"/>
    <x v="198"/>
    <x v="198"/>
    <n v="73"/>
  </r>
  <r>
    <x v="3"/>
    <x v="0"/>
    <s v="Baker's Choco Chips"/>
    <d v="2022-03-11T00:00:00"/>
    <x v="704"/>
    <x v="704"/>
    <n v="251"/>
  </r>
  <r>
    <x v="0"/>
    <x v="0"/>
    <s v="Fruit &amp; Nut Bars"/>
    <d v="2022-05-13T00:00:00"/>
    <x v="818"/>
    <x v="818"/>
    <n v="229"/>
  </r>
  <r>
    <x v="17"/>
    <x v="4"/>
    <s v="Smooth Sliky Salty"/>
    <d v="2022-05-12T00:00:00"/>
    <x v="819"/>
    <x v="819"/>
    <n v="91"/>
  </r>
  <r>
    <x v="6"/>
    <x v="4"/>
    <s v="Raspberry Choco"/>
    <d v="2022-01-12T00:00:00"/>
    <x v="820"/>
    <x v="820"/>
    <n v="194"/>
  </r>
  <r>
    <x v="22"/>
    <x v="3"/>
    <s v="Milk Bars"/>
    <d v="2022-03-29T00:00:00"/>
    <x v="821"/>
    <x v="821"/>
    <n v="403"/>
  </r>
  <r>
    <x v="13"/>
    <x v="1"/>
    <s v="50% Dark Bites"/>
    <d v="2022-03-14T00:00:00"/>
    <x v="822"/>
    <x v="822"/>
    <n v="12"/>
  </r>
  <r>
    <x v="8"/>
    <x v="3"/>
    <s v="99% Dark &amp; Pure"/>
    <d v="2022-05-24T00:00:00"/>
    <x v="823"/>
    <x v="823"/>
    <n v="195"/>
  </r>
  <r>
    <x v="17"/>
    <x v="5"/>
    <s v="Organic Choco Syrup"/>
    <d v="2022-01-28T00:00:00"/>
    <x v="824"/>
    <x v="824"/>
    <n v="75"/>
  </r>
  <r>
    <x v="12"/>
    <x v="1"/>
    <s v="Almond Choco"/>
    <d v="2022-05-24T00:00:00"/>
    <x v="825"/>
    <x v="825"/>
    <n v="96"/>
  </r>
  <r>
    <x v="6"/>
    <x v="2"/>
    <s v="Peanut Butter Cubes"/>
    <d v="2022-08-19T00:00:00"/>
    <x v="733"/>
    <x v="733"/>
    <n v="205"/>
  </r>
  <r>
    <x v="10"/>
    <x v="2"/>
    <s v="Spicy Special Slims"/>
    <d v="2022-05-17T00:00:00"/>
    <x v="826"/>
    <x v="826"/>
    <n v="323"/>
  </r>
  <r>
    <x v="0"/>
    <x v="4"/>
    <s v="White Choc"/>
    <d v="2022-06-07T00:00:00"/>
    <x v="774"/>
    <x v="774"/>
    <n v="119"/>
  </r>
  <r>
    <x v="24"/>
    <x v="5"/>
    <s v="Organic Choco Syrup"/>
    <d v="2022-07-26T00:00:00"/>
    <x v="755"/>
    <x v="755"/>
    <n v="217"/>
  </r>
  <r>
    <x v="23"/>
    <x v="1"/>
    <s v="Eclairs"/>
    <d v="2022-07-28T00:00:00"/>
    <x v="506"/>
    <x v="506"/>
    <n v="384"/>
  </r>
  <r>
    <x v="10"/>
    <x v="1"/>
    <s v="70% Dark Bites"/>
    <d v="2022-05-23T00:00:00"/>
    <x v="221"/>
    <x v="221"/>
    <n v="344"/>
  </r>
  <r>
    <x v="0"/>
    <x v="0"/>
    <s v="Mint Chip Choco"/>
    <d v="2023-01-04T00:00:00"/>
    <x v="827"/>
    <x v="827"/>
    <n v="178"/>
  </r>
  <r>
    <x v="1"/>
    <x v="1"/>
    <s v="85% Dark Bars"/>
    <d v="2023-08-01T00:00:00"/>
    <x v="828"/>
    <x v="828"/>
    <n v="100"/>
  </r>
  <r>
    <x v="2"/>
    <x v="1"/>
    <s v="Peanut Butter Cubes"/>
    <d v="2023-07-07T00:00:00"/>
    <x v="829"/>
    <x v="829"/>
    <n v="100"/>
  </r>
  <r>
    <x v="3"/>
    <x v="2"/>
    <s v="Peanut Butter Cubes"/>
    <d v="2023-04-27T00:00:00"/>
    <x v="830"/>
    <x v="830"/>
    <n v="350"/>
  </r>
  <r>
    <x v="0"/>
    <x v="0"/>
    <s v="Peanut Butter Cubes"/>
    <d v="2023-02-24T00:00:00"/>
    <x v="831"/>
    <x v="831"/>
    <n v="178"/>
  </r>
  <r>
    <x v="1"/>
    <x v="1"/>
    <s v="Smooth Sliky Salty"/>
    <d v="2023-06-06T00:00:00"/>
    <x v="832"/>
    <x v="832"/>
    <n v="37"/>
  </r>
  <r>
    <x v="4"/>
    <x v="0"/>
    <s v="99% Dark &amp; Pure"/>
    <d v="2023-01-25T00:00:00"/>
    <x v="833"/>
    <x v="833"/>
    <n v="175"/>
  </r>
  <r>
    <x v="5"/>
    <x v="2"/>
    <s v="After Nines"/>
    <d v="2023-03-24T00:00:00"/>
    <x v="834"/>
    <x v="834"/>
    <n v="78"/>
  </r>
  <r>
    <x v="0"/>
    <x v="3"/>
    <s v="50% Dark Bites"/>
    <d v="2023-04-20T00:00:00"/>
    <x v="835"/>
    <x v="835"/>
    <n v="64"/>
  </r>
  <r>
    <x v="6"/>
    <x v="2"/>
    <s v="99% Dark &amp; Pure"/>
    <d v="2023-07-04T00:00:00"/>
    <x v="836"/>
    <x v="836"/>
    <n v="98"/>
  </r>
  <r>
    <x v="7"/>
    <x v="0"/>
    <s v="Smooth Sliky Salty"/>
    <d v="2023-01-13T00:00:00"/>
    <x v="837"/>
    <x v="837"/>
    <n v="65"/>
  </r>
  <r>
    <x v="8"/>
    <x v="4"/>
    <s v="Orange Choco"/>
    <d v="2023-03-10T00:00:00"/>
    <x v="838"/>
    <x v="838"/>
    <n v="12"/>
  </r>
  <r>
    <x v="9"/>
    <x v="5"/>
    <s v="Eclairs"/>
    <d v="2023-01-13T00:00:00"/>
    <x v="839"/>
    <x v="839"/>
    <n v="277"/>
  </r>
  <r>
    <x v="10"/>
    <x v="3"/>
    <s v="Drinking Coco"/>
    <d v="2023-07-28T00:00:00"/>
    <x v="840"/>
    <x v="840"/>
    <n v="163"/>
  </r>
  <r>
    <x v="11"/>
    <x v="3"/>
    <s v="Peanut Butter Cubes"/>
    <d v="2023-08-03T00:00:00"/>
    <x v="841"/>
    <x v="841"/>
    <n v="169"/>
  </r>
  <r>
    <x v="12"/>
    <x v="2"/>
    <s v="Organic Choco Syrup"/>
    <d v="2023-01-26T00:00:00"/>
    <x v="842"/>
    <x v="842"/>
    <n v="355"/>
  </r>
  <r>
    <x v="1"/>
    <x v="5"/>
    <s v="Organic Choco Syrup"/>
    <d v="2023-02-14T00:00:00"/>
    <x v="843"/>
    <x v="843"/>
    <n v="44"/>
  </r>
  <r>
    <x v="13"/>
    <x v="4"/>
    <s v="Smooth Sliky Salty"/>
    <d v="2023-04-05T00:00:00"/>
    <x v="844"/>
    <x v="844"/>
    <n v="148"/>
  </r>
  <r>
    <x v="12"/>
    <x v="5"/>
    <s v="Milk Bars"/>
    <d v="2023-02-16T00:00:00"/>
    <x v="845"/>
    <x v="845"/>
    <n v="248"/>
  </r>
  <r>
    <x v="14"/>
    <x v="0"/>
    <s v="85% Dark Bars"/>
    <d v="2023-06-08T00:00:00"/>
    <x v="846"/>
    <x v="846"/>
    <n v="175"/>
  </r>
  <r>
    <x v="6"/>
    <x v="2"/>
    <s v="Eclairs"/>
    <d v="2023-06-27T00:00:00"/>
    <x v="847"/>
    <x v="847"/>
    <n v="94"/>
  </r>
  <r>
    <x v="5"/>
    <x v="4"/>
    <s v="Spicy Special Slims"/>
    <d v="2023-02-17T00:00:00"/>
    <x v="848"/>
    <x v="848"/>
    <n v="166"/>
  </r>
  <r>
    <x v="11"/>
    <x v="4"/>
    <s v="After Nines"/>
    <d v="2023-05-30T00:00:00"/>
    <x v="849"/>
    <x v="849"/>
    <n v="159"/>
  </r>
  <r>
    <x v="15"/>
    <x v="0"/>
    <s v="Drinking Coco"/>
    <d v="2023-03-14T00:00:00"/>
    <x v="850"/>
    <x v="850"/>
    <n v="120"/>
  </r>
  <r>
    <x v="16"/>
    <x v="2"/>
    <s v="Eclairs"/>
    <d v="2023-02-28T00:00:00"/>
    <x v="851"/>
    <x v="851"/>
    <n v="118"/>
  </r>
  <r>
    <x v="10"/>
    <x v="1"/>
    <s v="Fruit &amp; Nut Bars"/>
    <d v="2023-01-26T00:00:00"/>
    <x v="852"/>
    <x v="852"/>
    <n v="315"/>
  </r>
  <r>
    <x v="13"/>
    <x v="5"/>
    <s v="Spicy Special Slims"/>
    <d v="2023-02-09T00:00:00"/>
    <x v="853"/>
    <x v="853"/>
    <n v="193"/>
  </r>
  <r>
    <x v="15"/>
    <x v="4"/>
    <s v="Eclairs"/>
    <d v="2023-07-07T00:00:00"/>
    <x v="854"/>
    <x v="854"/>
    <n v="122"/>
  </r>
  <r>
    <x v="17"/>
    <x v="3"/>
    <s v="White Choc"/>
    <d v="2023-07-05T00:00:00"/>
    <x v="855"/>
    <x v="855"/>
    <n v="165"/>
  </r>
  <r>
    <x v="17"/>
    <x v="3"/>
    <s v="Manuka Honey Choco"/>
    <d v="2023-06-15T00:00:00"/>
    <x v="856"/>
    <x v="856"/>
    <n v="325"/>
  </r>
  <r>
    <x v="1"/>
    <x v="3"/>
    <s v="85% Dark Bars"/>
    <d v="2023-05-24T00:00:00"/>
    <x v="857"/>
    <x v="857"/>
    <n v="121"/>
  </r>
  <r>
    <x v="7"/>
    <x v="0"/>
    <s v="99% Dark &amp; Pure"/>
    <d v="2023-06-29T00:00:00"/>
    <x v="858"/>
    <x v="858"/>
    <n v="150"/>
  </r>
  <r>
    <x v="18"/>
    <x v="2"/>
    <s v="Manuka Honey Choco"/>
    <d v="2023-05-11T00:00:00"/>
    <x v="859"/>
    <x v="859"/>
    <n v="95"/>
  </r>
  <r>
    <x v="10"/>
    <x v="0"/>
    <s v="Almond Choco"/>
    <d v="2023-06-30T00:00:00"/>
    <x v="860"/>
    <x v="860"/>
    <n v="126"/>
  </r>
  <r>
    <x v="19"/>
    <x v="5"/>
    <s v="After Nines"/>
    <d v="2023-05-11T00:00:00"/>
    <x v="861"/>
    <x v="861"/>
    <n v="77"/>
  </r>
  <r>
    <x v="13"/>
    <x v="4"/>
    <s v="Manuka Honey Choco"/>
    <d v="2023-07-22T00:00:00"/>
    <x v="862"/>
    <x v="862"/>
    <n v="302"/>
  </r>
  <r>
    <x v="19"/>
    <x v="0"/>
    <s v="50% Dark Bites"/>
    <d v="2023-08-24T00:00:00"/>
    <x v="863"/>
    <x v="863"/>
    <n v="337"/>
  </r>
  <r>
    <x v="20"/>
    <x v="3"/>
    <s v="After Nines"/>
    <d v="2023-07-07T00:00:00"/>
    <x v="864"/>
    <x v="864"/>
    <n v="74"/>
  </r>
  <r>
    <x v="21"/>
    <x v="2"/>
    <s v="85% Dark Bars"/>
    <d v="2023-05-19T00:00:00"/>
    <x v="865"/>
    <x v="865"/>
    <n v="14"/>
  </r>
  <r>
    <x v="10"/>
    <x v="1"/>
    <s v="Manuka Honey Choco"/>
    <d v="2023-07-04T00:00:00"/>
    <x v="866"/>
    <x v="866"/>
    <n v="583"/>
  </r>
  <r>
    <x v="20"/>
    <x v="4"/>
    <s v="After Nines"/>
    <d v="2023-06-02T00:00:00"/>
    <x v="867"/>
    <x v="867"/>
    <n v="17"/>
  </r>
  <r>
    <x v="10"/>
    <x v="4"/>
    <s v="Raspberry Choco"/>
    <d v="2023-04-15T00:00:00"/>
    <x v="868"/>
    <x v="868"/>
    <n v="353"/>
  </r>
  <r>
    <x v="9"/>
    <x v="5"/>
    <s v="Choco Coated Almonds"/>
    <d v="2023-07-11T00:00:00"/>
    <x v="869"/>
    <x v="869"/>
    <n v="250"/>
  </r>
  <r>
    <x v="19"/>
    <x v="1"/>
    <s v="Spicy Special Slims"/>
    <d v="2023-02-23T00:00:00"/>
    <x v="870"/>
    <x v="870"/>
    <n v="154"/>
  </r>
  <r>
    <x v="22"/>
    <x v="5"/>
    <s v="Almond Choco"/>
    <d v="2023-08-22T00:00:00"/>
    <x v="871"/>
    <x v="871"/>
    <n v="107"/>
  </r>
  <r>
    <x v="16"/>
    <x v="4"/>
    <s v="Peanut Butter Cubes"/>
    <d v="2023-02-16T00:00:00"/>
    <x v="872"/>
    <x v="872"/>
    <n v="189"/>
  </r>
  <r>
    <x v="1"/>
    <x v="4"/>
    <s v="50% Dark Bites"/>
    <d v="2023-01-13T00:00:00"/>
    <x v="873"/>
    <x v="873"/>
    <n v="155"/>
  </r>
  <r>
    <x v="14"/>
    <x v="2"/>
    <s v="Milk Bars"/>
    <d v="2023-02-14T00:00:00"/>
    <x v="874"/>
    <x v="874"/>
    <n v="20"/>
  </r>
  <r>
    <x v="13"/>
    <x v="1"/>
    <s v="Eclairs"/>
    <d v="2023-06-10T00:00:00"/>
    <x v="875"/>
    <x v="875"/>
    <n v="310"/>
  </r>
  <r>
    <x v="14"/>
    <x v="1"/>
    <s v="Fruit &amp; Nut Bars"/>
    <d v="2023-07-07T00:00:00"/>
    <x v="876"/>
    <x v="876"/>
    <n v="190"/>
  </r>
  <r>
    <x v="14"/>
    <x v="5"/>
    <s v="Almond Choco"/>
    <d v="2023-03-24T00:00:00"/>
    <x v="877"/>
    <x v="877"/>
    <n v="76"/>
  </r>
  <r>
    <x v="6"/>
    <x v="2"/>
    <s v="Fruit &amp; Nut Bars"/>
    <d v="2023-06-06T00:00:00"/>
    <x v="878"/>
    <x v="878"/>
    <n v="24"/>
  </r>
  <r>
    <x v="23"/>
    <x v="2"/>
    <s v="Drinking Coco"/>
    <d v="2023-07-19T00:00:00"/>
    <x v="879"/>
    <x v="879"/>
    <n v="145"/>
  </r>
  <r>
    <x v="12"/>
    <x v="4"/>
    <s v="Raspberry Choco"/>
    <d v="2023-04-19T00:00:00"/>
    <x v="880"/>
    <x v="880"/>
    <n v="87"/>
  </r>
  <r>
    <x v="11"/>
    <x v="1"/>
    <s v="85% Dark Bars"/>
    <d v="2023-07-19T00:00:00"/>
    <x v="881"/>
    <x v="881"/>
    <n v="175"/>
  </r>
  <r>
    <x v="0"/>
    <x v="5"/>
    <s v="Drinking Coco"/>
    <d v="2023-07-15T00:00:00"/>
    <x v="882"/>
    <x v="882"/>
    <n v="23"/>
  </r>
  <r>
    <x v="24"/>
    <x v="3"/>
    <s v="Spicy Special Slims"/>
    <d v="2023-02-14T00:00:00"/>
    <x v="883"/>
    <x v="883"/>
    <n v="18"/>
  </r>
  <r>
    <x v="6"/>
    <x v="5"/>
    <s v="99% Dark &amp; Pure"/>
    <d v="2023-05-18T00:00:00"/>
    <x v="884"/>
    <x v="884"/>
    <n v="446"/>
  </r>
  <r>
    <x v="8"/>
    <x v="2"/>
    <s v="Fruit &amp; Nut Bars"/>
    <d v="2023-06-30T00:00:00"/>
    <x v="885"/>
    <x v="885"/>
    <n v="58"/>
  </r>
  <r>
    <x v="19"/>
    <x v="2"/>
    <s v="50% Dark Bites"/>
    <d v="2023-06-02T00:00:00"/>
    <x v="886"/>
    <x v="886"/>
    <n v="219"/>
  </r>
  <r>
    <x v="19"/>
    <x v="2"/>
    <s v="Drinking Coco"/>
    <d v="2023-06-28T00:00:00"/>
    <x v="887"/>
    <x v="887"/>
    <n v="49"/>
  </r>
  <r>
    <x v="11"/>
    <x v="2"/>
    <s v="Organic Choco Syrup"/>
    <d v="2023-05-16T00:00:00"/>
    <x v="888"/>
    <x v="888"/>
    <n v="189"/>
  </r>
  <r>
    <x v="20"/>
    <x v="5"/>
    <s v="Baker's Choco Chips"/>
    <d v="2023-05-26T00:00:00"/>
    <x v="889"/>
    <x v="889"/>
    <n v="325"/>
  </r>
  <r>
    <x v="10"/>
    <x v="1"/>
    <s v="Almond Choco"/>
    <d v="2023-07-06T00:00:00"/>
    <x v="890"/>
    <x v="890"/>
    <n v="157"/>
  </r>
  <r>
    <x v="4"/>
    <x v="1"/>
    <s v="99% Dark &amp; Pure"/>
    <d v="2023-05-27T00:00:00"/>
    <x v="891"/>
    <x v="891"/>
    <n v="11"/>
  </r>
  <r>
    <x v="18"/>
    <x v="2"/>
    <s v="Caramel Stuffed Bars"/>
    <d v="2023-04-14T00:00:00"/>
    <x v="892"/>
    <x v="892"/>
    <n v="12"/>
  </r>
  <r>
    <x v="1"/>
    <x v="2"/>
    <s v="Organic Choco Syrup"/>
    <d v="2023-08-10T00:00:00"/>
    <x v="893"/>
    <x v="893"/>
    <n v="15"/>
  </r>
  <r>
    <x v="21"/>
    <x v="1"/>
    <s v="50% Dark Bites"/>
    <d v="2023-07-04T00:00:00"/>
    <x v="894"/>
    <x v="894"/>
    <n v="398"/>
  </r>
  <r>
    <x v="4"/>
    <x v="1"/>
    <s v="Organic Choco Syrup"/>
    <d v="2023-07-08T00:00:00"/>
    <x v="895"/>
    <x v="895"/>
    <n v="60"/>
  </r>
  <r>
    <x v="3"/>
    <x v="4"/>
    <s v="Peanut Butter Cubes"/>
    <d v="2023-07-22T00:00:00"/>
    <x v="896"/>
    <x v="896"/>
    <n v="98"/>
  </r>
  <r>
    <x v="2"/>
    <x v="4"/>
    <s v="Choco Coated Almonds"/>
    <d v="2023-03-02T00:00:00"/>
    <x v="897"/>
    <x v="897"/>
    <n v="103"/>
  </r>
  <r>
    <x v="2"/>
    <x v="0"/>
    <s v="Almond Choco"/>
    <d v="2023-01-10T00:00:00"/>
    <x v="898"/>
    <x v="898"/>
    <n v="10"/>
  </r>
  <r>
    <x v="0"/>
    <x v="3"/>
    <s v="White Choc"/>
    <d v="2023-03-11T00:00:00"/>
    <x v="899"/>
    <x v="899"/>
    <n v="231"/>
  </r>
  <r>
    <x v="19"/>
    <x v="3"/>
    <s v="Peanut Butter Cubes"/>
    <d v="2023-06-20T00:00:00"/>
    <x v="900"/>
    <x v="900"/>
    <n v="291"/>
  </r>
  <r>
    <x v="1"/>
    <x v="0"/>
    <s v="Organic Choco Syrup"/>
    <d v="2023-08-26T00:00:00"/>
    <x v="901"/>
    <x v="901"/>
    <n v="208"/>
  </r>
  <r>
    <x v="13"/>
    <x v="5"/>
    <s v="Milk Bars"/>
    <d v="2023-07-13T00:00:00"/>
    <x v="902"/>
    <x v="902"/>
    <n v="34"/>
  </r>
  <r>
    <x v="21"/>
    <x v="4"/>
    <s v="Spicy Special Slims"/>
    <d v="2023-02-11T00:00:00"/>
    <x v="903"/>
    <x v="903"/>
    <n v="251"/>
  </r>
  <r>
    <x v="11"/>
    <x v="4"/>
    <s v="Orange Choco"/>
    <d v="2023-01-27T00:00:00"/>
    <x v="904"/>
    <x v="904"/>
    <n v="184"/>
  </r>
  <r>
    <x v="1"/>
    <x v="0"/>
    <s v="99% Dark &amp; Pure"/>
    <d v="2023-01-31T00:00:00"/>
    <x v="905"/>
    <x v="905"/>
    <n v="145"/>
  </r>
  <r>
    <x v="21"/>
    <x v="4"/>
    <s v="White Choc"/>
    <d v="2023-08-18T00:00:00"/>
    <x v="906"/>
    <x v="906"/>
    <n v="24"/>
  </r>
  <r>
    <x v="19"/>
    <x v="4"/>
    <s v="Raspberry Choco"/>
    <d v="2023-06-30T00:00:00"/>
    <x v="907"/>
    <x v="907"/>
    <n v="21"/>
  </r>
  <r>
    <x v="23"/>
    <x v="2"/>
    <s v="Fruit &amp; Nut Bars"/>
    <d v="2023-08-23T00:00:00"/>
    <x v="908"/>
    <x v="908"/>
    <n v="328"/>
  </r>
  <r>
    <x v="6"/>
    <x v="3"/>
    <s v="Mint Chip Choco"/>
    <d v="2023-08-01T00:00:00"/>
    <x v="909"/>
    <x v="909"/>
    <n v="197"/>
  </r>
  <r>
    <x v="13"/>
    <x v="3"/>
    <s v="After Nines"/>
    <d v="2023-05-25T00:00:00"/>
    <x v="910"/>
    <x v="910"/>
    <n v="10"/>
  </r>
  <r>
    <x v="13"/>
    <x v="5"/>
    <s v="Organic Choco Syrup"/>
    <d v="2023-01-10T00:00:00"/>
    <x v="911"/>
    <x v="911"/>
    <n v="85"/>
  </r>
  <r>
    <x v="17"/>
    <x v="2"/>
    <s v="70% Dark Bites"/>
    <d v="2023-02-07T00:00:00"/>
    <x v="912"/>
    <x v="912"/>
    <n v="113"/>
  </r>
  <r>
    <x v="10"/>
    <x v="4"/>
    <s v="Orange Choco"/>
    <d v="2023-05-12T00:00:00"/>
    <x v="913"/>
    <x v="913"/>
    <n v="425"/>
  </r>
  <r>
    <x v="22"/>
    <x v="2"/>
    <s v="Spicy Special Slims"/>
    <d v="2023-03-07T00:00:00"/>
    <x v="914"/>
    <x v="914"/>
    <n v="392"/>
  </r>
  <r>
    <x v="17"/>
    <x v="2"/>
    <s v="85% Dark Bars"/>
    <d v="2023-04-05T00:00:00"/>
    <x v="915"/>
    <x v="915"/>
    <n v="419"/>
  </r>
  <r>
    <x v="19"/>
    <x v="5"/>
    <s v="Caramel Stuffed Bars"/>
    <d v="2023-01-03T00:00:00"/>
    <x v="916"/>
    <x v="916"/>
    <n v="343"/>
  </r>
  <r>
    <x v="17"/>
    <x v="0"/>
    <s v="Eclairs"/>
    <d v="2023-03-24T00:00:00"/>
    <x v="917"/>
    <x v="917"/>
    <n v="276"/>
  </r>
  <r>
    <x v="22"/>
    <x v="1"/>
    <s v="Raspberry Choco"/>
    <d v="2023-07-07T00:00:00"/>
    <x v="918"/>
    <x v="918"/>
    <n v="10"/>
  </r>
  <r>
    <x v="1"/>
    <x v="4"/>
    <s v="After Nines"/>
    <d v="2023-07-26T00:00:00"/>
    <x v="919"/>
    <x v="919"/>
    <n v="255"/>
  </r>
  <r>
    <x v="18"/>
    <x v="2"/>
    <s v="Organic Choco Syrup"/>
    <d v="2023-07-07T00:00:00"/>
    <x v="920"/>
    <x v="920"/>
    <n v="115"/>
  </r>
  <r>
    <x v="10"/>
    <x v="5"/>
    <s v="50% Dark Bites"/>
    <d v="2023-07-15T00:00:00"/>
    <x v="921"/>
    <x v="921"/>
    <n v="65"/>
  </r>
  <r>
    <x v="13"/>
    <x v="3"/>
    <s v="Orange Choco"/>
    <d v="2023-04-01T00:00:00"/>
    <x v="922"/>
    <x v="922"/>
    <n v="100"/>
  </r>
  <r>
    <x v="12"/>
    <x v="2"/>
    <s v="Eclairs"/>
    <d v="2023-06-20T00:00:00"/>
    <x v="923"/>
    <x v="923"/>
    <n v="6"/>
  </r>
  <r>
    <x v="20"/>
    <x v="0"/>
    <s v="Fruit &amp; Nut Bars"/>
    <d v="2023-06-29T00:00:00"/>
    <x v="924"/>
    <x v="924"/>
    <n v="509"/>
  </r>
  <r>
    <x v="11"/>
    <x v="4"/>
    <s v="50% Dark Bites"/>
    <d v="2023-06-15T00:00:00"/>
    <x v="925"/>
    <x v="925"/>
    <n v="106"/>
  </r>
  <r>
    <x v="15"/>
    <x v="4"/>
    <s v="After Nines"/>
    <d v="2023-04-08T00:00:00"/>
    <x v="926"/>
    <x v="926"/>
    <n v="193"/>
  </r>
  <r>
    <x v="17"/>
    <x v="2"/>
    <s v="Raspberry Choco"/>
    <d v="2023-03-14T00:00:00"/>
    <x v="927"/>
    <x v="927"/>
    <n v="31"/>
  </r>
  <r>
    <x v="19"/>
    <x v="4"/>
    <s v="Fruit &amp; Nut Bars"/>
    <d v="2023-07-15T00:00:00"/>
    <x v="928"/>
    <x v="928"/>
    <n v="352"/>
  </r>
  <r>
    <x v="20"/>
    <x v="1"/>
    <s v="Eclairs"/>
    <d v="2023-04-19T00:00:00"/>
    <x v="929"/>
    <x v="929"/>
    <n v="80"/>
  </r>
  <r>
    <x v="11"/>
    <x v="4"/>
    <s v="99% Dark &amp; Pure"/>
    <d v="2023-03-28T00:00:00"/>
    <x v="930"/>
    <x v="930"/>
    <n v="317"/>
  </r>
  <r>
    <x v="6"/>
    <x v="5"/>
    <s v="Spicy Special Slims"/>
    <d v="2023-03-04T00:00:00"/>
    <x v="931"/>
    <x v="931"/>
    <n v="100"/>
  </r>
  <r>
    <x v="10"/>
    <x v="3"/>
    <s v="70% Dark Bites"/>
    <d v="2023-08-02T00:00:00"/>
    <x v="932"/>
    <x v="932"/>
    <n v="38"/>
  </r>
  <r>
    <x v="15"/>
    <x v="0"/>
    <s v="Spicy Special Slims"/>
    <d v="2023-08-25T00:00:00"/>
    <x v="933"/>
    <x v="933"/>
    <n v="45"/>
  </r>
  <r>
    <x v="11"/>
    <x v="4"/>
    <s v="Almond Choco"/>
    <d v="2023-02-25T00:00:00"/>
    <x v="934"/>
    <x v="934"/>
    <n v="163"/>
  </r>
  <r>
    <x v="20"/>
    <x v="1"/>
    <s v="Orange Choco"/>
    <d v="2023-06-07T00:00:00"/>
    <x v="935"/>
    <x v="935"/>
    <n v="134"/>
  </r>
  <r>
    <x v="3"/>
    <x v="1"/>
    <s v="Spicy Special Slims"/>
    <d v="2023-04-12T00:00:00"/>
    <x v="936"/>
    <x v="936"/>
    <n v="495"/>
  </r>
  <r>
    <x v="24"/>
    <x v="1"/>
    <s v="Spicy Special Slims"/>
    <d v="2023-07-06T00:00:00"/>
    <x v="937"/>
    <x v="937"/>
    <n v="103"/>
  </r>
  <r>
    <x v="20"/>
    <x v="0"/>
    <s v="Smooth Sliky Salty"/>
    <d v="2023-01-19T00:00:00"/>
    <x v="938"/>
    <x v="938"/>
    <n v="192"/>
  </r>
  <r>
    <x v="22"/>
    <x v="2"/>
    <s v="Fruit &amp; Nut Bars"/>
    <d v="2023-01-05T00:00:00"/>
    <x v="939"/>
    <x v="939"/>
    <n v="90"/>
  </r>
  <r>
    <x v="22"/>
    <x v="5"/>
    <s v="70% Dark Bites"/>
    <d v="2023-01-24T00:00:00"/>
    <x v="940"/>
    <x v="940"/>
    <n v="142"/>
  </r>
  <r>
    <x v="18"/>
    <x v="2"/>
    <s v="Drinking Coco"/>
    <d v="2023-04-06T00:00:00"/>
    <x v="941"/>
    <x v="941"/>
    <n v="285"/>
  </r>
  <r>
    <x v="5"/>
    <x v="2"/>
    <s v="Fruit &amp; Nut Bars"/>
    <d v="2023-06-15T00:00:00"/>
    <x v="942"/>
    <x v="942"/>
    <n v="22"/>
  </r>
  <r>
    <x v="2"/>
    <x v="5"/>
    <s v="Baker's Choco Chips"/>
    <d v="2023-01-28T00:00:00"/>
    <x v="943"/>
    <x v="943"/>
    <n v="47"/>
  </r>
  <r>
    <x v="20"/>
    <x v="1"/>
    <s v="Caramel Stuffed Bars"/>
    <d v="2023-03-16T00:00:00"/>
    <x v="944"/>
    <x v="944"/>
    <n v="123"/>
  </r>
  <r>
    <x v="7"/>
    <x v="2"/>
    <s v="Drinking Coco"/>
    <d v="2023-02-21T00:00:00"/>
    <x v="945"/>
    <x v="945"/>
    <n v="431"/>
  </r>
  <r>
    <x v="20"/>
    <x v="4"/>
    <s v="Manuka Honey Choco"/>
    <d v="2023-02-16T00:00:00"/>
    <x v="946"/>
    <x v="946"/>
    <n v="96"/>
  </r>
  <r>
    <x v="0"/>
    <x v="5"/>
    <s v="Spicy Special Slims"/>
    <d v="2023-01-13T00:00:00"/>
    <x v="947"/>
    <x v="947"/>
    <n v="28"/>
  </r>
  <r>
    <x v="20"/>
    <x v="2"/>
    <s v="Eclairs"/>
    <d v="2023-03-23T00:00:00"/>
    <x v="948"/>
    <x v="948"/>
    <n v="570"/>
  </r>
  <r>
    <x v="14"/>
    <x v="5"/>
    <s v="Spicy Special Slims"/>
    <d v="2023-06-16T00:00:00"/>
    <x v="949"/>
    <x v="949"/>
    <n v="122"/>
  </r>
  <r>
    <x v="4"/>
    <x v="1"/>
    <s v="Raspberry Choco"/>
    <d v="2023-04-14T00:00:00"/>
    <x v="950"/>
    <x v="950"/>
    <n v="44"/>
  </r>
  <r>
    <x v="20"/>
    <x v="0"/>
    <s v="Eclairs"/>
    <d v="2023-01-25T00:00:00"/>
    <x v="951"/>
    <x v="951"/>
    <n v="61"/>
  </r>
  <r>
    <x v="3"/>
    <x v="1"/>
    <s v="Almond Choco"/>
    <d v="2023-03-11T00:00:00"/>
    <x v="952"/>
    <x v="952"/>
    <n v="21"/>
  </r>
  <r>
    <x v="23"/>
    <x v="0"/>
    <s v="Almond Choco"/>
    <d v="2023-07-28T00:00:00"/>
    <x v="953"/>
    <x v="953"/>
    <n v="102"/>
  </r>
  <r>
    <x v="11"/>
    <x v="3"/>
    <s v="After Nines"/>
    <d v="2023-03-09T00:00:00"/>
    <x v="954"/>
    <x v="954"/>
    <n v="46"/>
  </r>
  <r>
    <x v="15"/>
    <x v="2"/>
    <s v="Orange Choco"/>
    <d v="2023-06-28T00:00:00"/>
    <x v="955"/>
    <x v="955"/>
    <n v="196"/>
  </r>
  <r>
    <x v="11"/>
    <x v="2"/>
    <s v="Milk Bars"/>
    <d v="2023-07-28T00:00:00"/>
    <x v="956"/>
    <x v="956"/>
    <n v="375"/>
  </r>
  <r>
    <x v="20"/>
    <x v="5"/>
    <s v="99% Dark &amp; Pure"/>
    <d v="2023-08-15T00:00:00"/>
    <x v="957"/>
    <x v="957"/>
    <n v="54"/>
  </r>
  <r>
    <x v="16"/>
    <x v="2"/>
    <s v="Manuka Honey Choco"/>
    <d v="2023-01-12T00:00:00"/>
    <x v="958"/>
    <x v="958"/>
    <n v="271"/>
  </r>
  <r>
    <x v="12"/>
    <x v="3"/>
    <s v="White Choc"/>
    <d v="2023-03-24T00:00:00"/>
    <x v="959"/>
    <x v="959"/>
    <n v="7"/>
  </r>
  <r>
    <x v="1"/>
    <x v="0"/>
    <s v="Milk Bars"/>
    <d v="2023-07-25T00:00:00"/>
    <x v="960"/>
    <x v="960"/>
    <n v="91"/>
  </r>
  <r>
    <x v="4"/>
    <x v="5"/>
    <s v="99% Dark &amp; Pure"/>
    <d v="2023-08-01T00:00:00"/>
    <x v="961"/>
    <x v="961"/>
    <n v="430"/>
  </r>
  <r>
    <x v="1"/>
    <x v="1"/>
    <s v="Organic Choco Syrup"/>
    <d v="2023-05-16T00:00:00"/>
    <x v="962"/>
    <x v="962"/>
    <n v="182"/>
  </r>
  <r>
    <x v="13"/>
    <x v="1"/>
    <s v="Smooth Sliky Salty"/>
    <d v="2023-08-10T00:00:00"/>
    <x v="963"/>
    <x v="963"/>
    <n v="137"/>
  </r>
  <r>
    <x v="3"/>
    <x v="1"/>
    <s v="Eclairs"/>
    <d v="2023-01-05T00:00:00"/>
    <x v="964"/>
    <x v="964"/>
    <n v="26"/>
  </r>
  <r>
    <x v="24"/>
    <x v="0"/>
    <s v="Smooth Sliky Salty"/>
    <d v="2023-07-11T00:00:00"/>
    <x v="965"/>
    <x v="965"/>
    <n v="121"/>
  </r>
  <r>
    <x v="18"/>
    <x v="4"/>
    <s v="After Nines"/>
    <d v="2023-04-25T00:00:00"/>
    <x v="966"/>
    <x v="966"/>
    <n v="32"/>
  </r>
  <r>
    <x v="2"/>
    <x v="3"/>
    <s v="Fruit &amp; Nut Bars"/>
    <d v="2023-04-04T00:00:00"/>
    <x v="967"/>
    <x v="967"/>
    <n v="118"/>
  </r>
  <r>
    <x v="8"/>
    <x v="4"/>
    <s v="Raspberry Choco"/>
    <d v="2023-04-12T00:00:00"/>
    <x v="968"/>
    <x v="968"/>
    <n v="107"/>
  </r>
  <r>
    <x v="18"/>
    <x v="3"/>
    <s v="85% Dark Bars"/>
    <d v="2023-08-02T00:00:00"/>
    <x v="969"/>
    <x v="969"/>
    <n v="119"/>
  </r>
  <r>
    <x v="2"/>
    <x v="3"/>
    <s v="Manuka Honey Choco"/>
    <d v="2023-06-28T00:00:00"/>
    <x v="970"/>
    <x v="970"/>
    <n v="268"/>
  </r>
  <r>
    <x v="24"/>
    <x v="2"/>
    <s v="Eclairs"/>
    <d v="2023-07-05T00:00:00"/>
    <x v="971"/>
    <x v="971"/>
    <n v="130"/>
  </r>
  <r>
    <x v="7"/>
    <x v="3"/>
    <s v="Choco Coated Almonds"/>
    <d v="2023-06-07T00:00:00"/>
    <x v="972"/>
    <x v="972"/>
    <n v="46"/>
  </r>
  <r>
    <x v="6"/>
    <x v="3"/>
    <s v="Smooth Sliky Salty"/>
    <d v="2023-01-18T00:00:00"/>
    <x v="973"/>
    <x v="973"/>
    <n v="26"/>
  </r>
  <r>
    <x v="6"/>
    <x v="2"/>
    <s v="Baker's Choco Chips"/>
    <d v="2023-01-04T00:00:00"/>
    <x v="974"/>
    <x v="974"/>
    <n v="227"/>
  </r>
  <r>
    <x v="17"/>
    <x v="2"/>
    <s v="99% Dark &amp; Pure"/>
    <d v="2023-01-31T00:00:00"/>
    <x v="975"/>
    <x v="975"/>
    <n v="19"/>
  </r>
  <r>
    <x v="20"/>
    <x v="1"/>
    <s v="Almond Choco"/>
    <d v="2023-03-14T00:00:00"/>
    <x v="976"/>
    <x v="976"/>
    <n v="149"/>
  </r>
  <r>
    <x v="21"/>
    <x v="2"/>
    <s v="70% Dark Bites"/>
    <d v="2023-04-29T00:00:00"/>
    <x v="977"/>
    <x v="977"/>
    <n v="509"/>
  </r>
  <r>
    <x v="4"/>
    <x v="1"/>
    <s v="Smooth Sliky Salty"/>
    <d v="2023-02-07T00:00:00"/>
    <x v="978"/>
    <x v="978"/>
    <n v="107"/>
  </r>
  <r>
    <x v="16"/>
    <x v="0"/>
    <s v="Organic Choco Syrup"/>
    <d v="2023-03-31T00:00:00"/>
    <x v="979"/>
    <x v="979"/>
    <n v="175"/>
  </r>
  <r>
    <x v="11"/>
    <x v="1"/>
    <s v="Caramel Stuffed Bars"/>
    <d v="2023-03-16T00:00:00"/>
    <x v="980"/>
    <x v="980"/>
    <n v="83"/>
  </r>
  <r>
    <x v="10"/>
    <x v="0"/>
    <s v="Eclairs"/>
    <d v="2023-01-25T00:00:00"/>
    <x v="981"/>
    <x v="981"/>
    <n v="200"/>
  </r>
  <r>
    <x v="1"/>
    <x v="1"/>
    <s v="Baker's Choco Chips"/>
    <d v="2023-06-20T00:00:00"/>
    <x v="982"/>
    <x v="982"/>
    <n v="479"/>
  </r>
  <r>
    <x v="2"/>
    <x v="0"/>
    <s v="After Nines"/>
    <d v="2023-03-29T00:00:00"/>
    <x v="983"/>
    <x v="983"/>
    <n v="171"/>
  </r>
  <r>
    <x v="14"/>
    <x v="2"/>
    <s v="Orange Choco"/>
    <d v="2023-07-12T00:00:00"/>
    <x v="984"/>
    <x v="984"/>
    <n v="132"/>
  </r>
  <r>
    <x v="0"/>
    <x v="5"/>
    <s v="Smooth Sliky Salty"/>
    <d v="2023-07-11T00:00:00"/>
    <x v="985"/>
    <x v="985"/>
    <n v="142"/>
  </r>
  <r>
    <x v="10"/>
    <x v="5"/>
    <s v="Smooth Sliky Salty"/>
    <d v="2023-01-19T00:00:00"/>
    <x v="986"/>
    <x v="986"/>
    <n v="186"/>
  </r>
  <r>
    <x v="19"/>
    <x v="4"/>
    <s v="85% Dark Bars"/>
    <d v="2023-04-05T00:00:00"/>
    <x v="987"/>
    <x v="987"/>
    <n v="87"/>
  </r>
  <r>
    <x v="0"/>
    <x v="5"/>
    <s v="Milk Bars"/>
    <d v="2023-02-21T00:00:00"/>
    <x v="988"/>
    <x v="988"/>
    <n v="12"/>
  </r>
  <r>
    <x v="7"/>
    <x v="3"/>
    <s v="Caramel Stuffed Bars"/>
    <d v="2023-05-20T00:00:00"/>
    <x v="989"/>
    <x v="989"/>
    <n v="15"/>
  </r>
  <r>
    <x v="9"/>
    <x v="2"/>
    <s v="Milk Bars"/>
    <d v="2023-07-29T00:00:00"/>
    <x v="990"/>
    <x v="990"/>
    <n v="106"/>
  </r>
  <r>
    <x v="8"/>
    <x v="4"/>
    <s v="Fruit &amp; Nut Bars"/>
    <d v="2023-01-28T00:00:00"/>
    <x v="991"/>
    <x v="991"/>
    <n v="45"/>
  </r>
  <r>
    <x v="11"/>
    <x v="0"/>
    <s v="Caramel Stuffed Bars"/>
    <d v="2023-07-19T00:00:00"/>
    <x v="992"/>
    <x v="992"/>
    <n v="112"/>
  </r>
  <r>
    <x v="9"/>
    <x v="3"/>
    <s v="Manuka Honey Choco"/>
    <d v="2023-04-13T00:00:00"/>
    <x v="993"/>
    <x v="993"/>
    <n v="12"/>
  </r>
  <r>
    <x v="13"/>
    <x v="1"/>
    <s v="Peanut Butter Cubes"/>
    <d v="2023-02-11T00:00:00"/>
    <x v="994"/>
    <x v="994"/>
    <n v="22"/>
  </r>
  <r>
    <x v="13"/>
    <x v="3"/>
    <s v="Milk Bars"/>
    <d v="2023-03-02T00:00:00"/>
    <x v="995"/>
    <x v="995"/>
    <n v="111"/>
  </r>
  <r>
    <x v="24"/>
    <x v="2"/>
    <s v="White Choc"/>
    <d v="2023-03-02T00:00:00"/>
    <x v="996"/>
    <x v="996"/>
    <n v="206"/>
  </r>
  <r>
    <x v="1"/>
    <x v="4"/>
    <s v="99% Dark &amp; Pure"/>
    <d v="2023-07-28T00:00:00"/>
    <x v="997"/>
    <x v="997"/>
    <n v="6"/>
  </r>
  <r>
    <x v="20"/>
    <x v="1"/>
    <s v="After Nines"/>
    <d v="2023-01-07T00:00:00"/>
    <x v="998"/>
    <x v="998"/>
    <n v="531"/>
  </r>
  <r>
    <x v="6"/>
    <x v="0"/>
    <s v="White Choc"/>
    <d v="2023-04-12T00:00:00"/>
    <x v="999"/>
    <x v="999"/>
    <n v="173"/>
  </r>
  <r>
    <x v="1"/>
    <x v="5"/>
    <s v="Almond Choco"/>
    <d v="2023-06-27T00:00:00"/>
    <x v="1000"/>
    <x v="1000"/>
    <n v="70"/>
  </r>
  <r>
    <x v="0"/>
    <x v="2"/>
    <s v="50% Dark Bites"/>
    <d v="2023-01-14T00:00:00"/>
    <x v="1001"/>
    <x v="1001"/>
    <n v="422"/>
  </r>
  <r>
    <x v="10"/>
    <x v="0"/>
    <s v="Baker's Choco Chips"/>
    <d v="2023-02-07T00:00:00"/>
    <x v="1002"/>
    <x v="1002"/>
    <n v="373"/>
  </r>
  <r>
    <x v="0"/>
    <x v="2"/>
    <s v="Orange Choco"/>
    <d v="2023-03-23T00:00:00"/>
    <x v="1003"/>
    <x v="1003"/>
    <n v="26"/>
  </r>
  <r>
    <x v="11"/>
    <x v="1"/>
    <s v="Peanut Butter Cubes"/>
    <d v="2023-01-10T00:00:00"/>
    <x v="1004"/>
    <x v="1004"/>
    <n v="145"/>
  </r>
  <r>
    <x v="4"/>
    <x v="0"/>
    <s v="Choco Coated Almonds"/>
    <d v="2023-03-17T00:00:00"/>
    <x v="1005"/>
    <x v="1005"/>
    <n v="44"/>
  </r>
  <r>
    <x v="2"/>
    <x v="4"/>
    <s v="Spicy Special Slims"/>
    <d v="2023-01-21T00:00:00"/>
    <x v="1006"/>
    <x v="1006"/>
    <n v="57"/>
  </r>
  <r>
    <x v="8"/>
    <x v="2"/>
    <s v="White Choc"/>
    <d v="2023-07-04T00:00:00"/>
    <x v="1007"/>
    <x v="1007"/>
    <n v="386"/>
  </r>
  <r>
    <x v="16"/>
    <x v="5"/>
    <s v="Peanut Butter Cubes"/>
    <d v="2023-07-04T00:00:00"/>
    <x v="1008"/>
    <x v="1008"/>
    <n v="191"/>
  </r>
  <r>
    <x v="23"/>
    <x v="4"/>
    <s v="Manuka Honey Choco"/>
    <d v="2023-08-10T00:00:00"/>
    <x v="1009"/>
    <x v="1009"/>
    <n v="207"/>
  </r>
  <r>
    <x v="17"/>
    <x v="2"/>
    <s v="50% Dark Bites"/>
    <d v="2023-04-01T00:00:00"/>
    <x v="1010"/>
    <x v="1010"/>
    <n v="12"/>
  </r>
  <r>
    <x v="2"/>
    <x v="1"/>
    <s v="Raspberry Choco"/>
    <d v="2023-02-22T00:00:00"/>
    <x v="1011"/>
    <x v="1011"/>
    <n v="174"/>
  </r>
  <r>
    <x v="21"/>
    <x v="0"/>
    <s v="White Choc"/>
    <d v="2023-01-03T00:00:00"/>
    <x v="1012"/>
    <x v="1012"/>
    <n v="194"/>
  </r>
  <r>
    <x v="10"/>
    <x v="1"/>
    <s v="Drinking Coco"/>
    <d v="2023-05-31T00:00:00"/>
    <x v="1013"/>
    <x v="1013"/>
    <n v="251"/>
  </r>
  <r>
    <x v="23"/>
    <x v="0"/>
    <s v="99% Dark &amp; Pure"/>
    <d v="2023-01-03T00:00:00"/>
    <x v="1014"/>
    <x v="1014"/>
    <n v="273"/>
  </r>
  <r>
    <x v="15"/>
    <x v="3"/>
    <s v="Caramel Stuffed Bars"/>
    <d v="2023-01-27T00:00:00"/>
    <x v="1015"/>
    <x v="1015"/>
    <n v="489"/>
  </r>
  <r>
    <x v="8"/>
    <x v="0"/>
    <s v="50% Dark Bites"/>
    <d v="2023-01-28T00:00:00"/>
    <x v="1016"/>
    <x v="1016"/>
    <n v="67"/>
  </r>
  <r>
    <x v="14"/>
    <x v="2"/>
    <s v="Organic Choco Syrup"/>
    <d v="2023-06-28T00:00:00"/>
    <x v="1017"/>
    <x v="1017"/>
    <n v="301"/>
  </r>
  <r>
    <x v="15"/>
    <x v="0"/>
    <s v="Choco Coated Almonds"/>
    <d v="2023-03-02T00:00:00"/>
    <x v="1018"/>
    <x v="1018"/>
    <n v="43"/>
  </r>
  <r>
    <x v="18"/>
    <x v="2"/>
    <s v="After Nines"/>
    <d v="2023-05-27T00:00:00"/>
    <x v="1019"/>
    <x v="1019"/>
    <n v="28"/>
  </r>
  <r>
    <x v="17"/>
    <x v="4"/>
    <s v="Almond Choco"/>
    <d v="2023-06-30T00:00:00"/>
    <x v="1020"/>
    <x v="1020"/>
    <n v="82"/>
  </r>
  <r>
    <x v="8"/>
    <x v="5"/>
    <s v="Peanut Butter Cubes"/>
    <d v="2023-06-07T00:00:00"/>
    <x v="1021"/>
    <x v="1021"/>
    <n v="85"/>
  </r>
  <r>
    <x v="16"/>
    <x v="4"/>
    <s v="70% Dark Bites"/>
    <d v="2023-05-12T00:00:00"/>
    <x v="1022"/>
    <x v="1022"/>
    <n v="107"/>
  </r>
  <r>
    <x v="8"/>
    <x v="3"/>
    <s v="Raspberry Choco"/>
    <d v="2023-07-29T00:00:00"/>
    <x v="1023"/>
    <x v="1023"/>
    <n v="68"/>
  </r>
  <r>
    <x v="17"/>
    <x v="0"/>
    <s v="White Choc"/>
    <d v="2023-08-03T00:00:00"/>
    <x v="1024"/>
    <x v="1024"/>
    <n v="274"/>
  </r>
  <r>
    <x v="8"/>
    <x v="1"/>
    <s v="Baker's Choco Chips"/>
    <d v="2023-08-18T00:00:00"/>
    <x v="1025"/>
    <x v="1025"/>
    <n v="148"/>
  </r>
  <r>
    <x v="1"/>
    <x v="3"/>
    <s v="Smooth Sliky Salty"/>
    <d v="2023-06-14T00:00:00"/>
    <x v="1026"/>
    <x v="1026"/>
    <n v="41"/>
  </r>
  <r>
    <x v="12"/>
    <x v="0"/>
    <s v="White Choc"/>
    <d v="2023-06-30T00:00:00"/>
    <x v="1027"/>
    <x v="1027"/>
    <n v="80"/>
  </r>
  <r>
    <x v="21"/>
    <x v="3"/>
    <s v="Mint Chip Choco"/>
    <d v="2023-06-13T00:00:00"/>
    <x v="1028"/>
    <x v="1028"/>
    <n v="199"/>
  </r>
  <r>
    <x v="24"/>
    <x v="0"/>
    <s v="Orange Choco"/>
    <d v="2023-04-27T00:00:00"/>
    <x v="1029"/>
    <x v="1029"/>
    <n v="53"/>
  </r>
  <r>
    <x v="3"/>
    <x v="2"/>
    <s v="White Choc"/>
    <d v="2023-07-27T00:00:00"/>
    <x v="1030"/>
    <x v="1030"/>
    <n v="33"/>
  </r>
  <r>
    <x v="9"/>
    <x v="5"/>
    <s v="85% Dark Bars"/>
    <d v="2023-04-20T00:00:00"/>
    <x v="1031"/>
    <x v="1031"/>
    <n v="430"/>
  </r>
  <r>
    <x v="7"/>
    <x v="1"/>
    <s v="Spicy Special Slims"/>
    <d v="2023-01-04T00:00:00"/>
    <x v="1032"/>
    <x v="1032"/>
    <n v="144"/>
  </r>
  <r>
    <x v="24"/>
    <x v="2"/>
    <s v="Mint Chip Choco"/>
    <d v="2023-02-21T00:00:00"/>
    <x v="1033"/>
    <x v="1033"/>
    <n v="98"/>
  </r>
  <r>
    <x v="10"/>
    <x v="2"/>
    <s v="White Choc"/>
    <d v="2023-01-05T00:00:00"/>
    <x v="1034"/>
    <x v="1034"/>
    <n v="52"/>
  </r>
  <r>
    <x v="12"/>
    <x v="1"/>
    <s v="Drinking Coco"/>
    <d v="2023-07-15T00:00:00"/>
    <x v="1035"/>
    <x v="1035"/>
    <n v="51"/>
  </r>
  <r>
    <x v="6"/>
    <x v="2"/>
    <s v="Choco Coated Almonds"/>
    <d v="2023-05-25T00:00:00"/>
    <x v="1036"/>
    <x v="1036"/>
    <n v="61"/>
  </r>
  <r>
    <x v="10"/>
    <x v="5"/>
    <s v="Eclairs"/>
    <d v="2023-04-20T00:00:00"/>
    <x v="1037"/>
    <x v="1037"/>
    <n v="372"/>
  </r>
  <r>
    <x v="2"/>
    <x v="4"/>
    <s v="99% Dark &amp; Pure"/>
    <d v="2023-06-02T00:00:00"/>
    <x v="1038"/>
    <x v="1038"/>
    <n v="240"/>
  </r>
  <r>
    <x v="11"/>
    <x v="0"/>
    <s v="Smooth Sliky Salty"/>
    <d v="2023-05-13T00:00:00"/>
    <x v="1039"/>
    <x v="1039"/>
    <n v="91"/>
  </r>
  <r>
    <x v="12"/>
    <x v="3"/>
    <s v="Baker's Choco Chips"/>
    <d v="2023-08-03T00:00:00"/>
    <x v="1040"/>
    <x v="1040"/>
    <n v="142"/>
  </r>
  <r>
    <x v="12"/>
    <x v="2"/>
    <s v="Milk Bars"/>
    <d v="2023-05-25T00:00:00"/>
    <x v="1041"/>
    <x v="1041"/>
    <n v="400"/>
  </r>
  <r>
    <x v="1"/>
    <x v="0"/>
    <s v="Raspberry Choco"/>
    <d v="2023-03-16T00:00:00"/>
    <x v="1042"/>
    <x v="1042"/>
    <n v="83"/>
  </r>
  <r>
    <x v="3"/>
    <x v="2"/>
    <s v="Orange Choco"/>
    <d v="2023-07-04T00:00:00"/>
    <x v="1043"/>
    <x v="1043"/>
    <n v="126"/>
  </r>
  <r>
    <x v="0"/>
    <x v="1"/>
    <s v="50% Dark Bites"/>
    <d v="2023-07-05T00:00:00"/>
    <x v="1044"/>
    <x v="1044"/>
    <n v="129"/>
  </r>
  <r>
    <x v="22"/>
    <x v="4"/>
    <s v="After Nines"/>
    <d v="2023-03-15T00:00:00"/>
    <x v="1045"/>
    <x v="1045"/>
    <n v="440"/>
  </r>
  <r>
    <x v="8"/>
    <x v="0"/>
    <s v="Raspberry Choco"/>
    <d v="2023-08-22T00:00:00"/>
    <x v="1046"/>
    <x v="1046"/>
    <n v="70"/>
  </r>
  <r>
    <x v="24"/>
    <x v="2"/>
    <s v="70% Dark Bites"/>
    <d v="2023-01-12T00:00:00"/>
    <x v="1047"/>
    <x v="1047"/>
    <n v="119"/>
  </r>
  <r>
    <x v="11"/>
    <x v="0"/>
    <s v="Baker's Choco Chips"/>
    <d v="2023-06-10T00:00:00"/>
    <x v="1048"/>
    <x v="1048"/>
    <n v="161"/>
  </r>
  <r>
    <x v="16"/>
    <x v="2"/>
    <s v="Peanut Butter Cubes"/>
    <d v="2023-03-25T00:00:00"/>
    <x v="1049"/>
    <x v="1049"/>
    <n v="299"/>
  </r>
  <r>
    <x v="7"/>
    <x v="1"/>
    <s v="Almond Choco"/>
    <d v="2023-07-27T00:00:00"/>
    <x v="1050"/>
    <x v="1050"/>
    <n v="100"/>
  </r>
  <r>
    <x v="15"/>
    <x v="0"/>
    <s v="Caramel Stuffed Bars"/>
    <d v="2023-04-15T00:00:00"/>
    <x v="1051"/>
    <x v="1051"/>
    <n v="456"/>
  </r>
  <r>
    <x v="13"/>
    <x v="1"/>
    <s v="Orange Choco"/>
    <d v="2023-06-27T00:00:00"/>
    <x v="1052"/>
    <x v="1052"/>
    <n v="18"/>
  </r>
  <r>
    <x v="0"/>
    <x v="0"/>
    <s v="70% Dark Bites"/>
    <d v="2023-04-14T00:00:00"/>
    <x v="1053"/>
    <x v="1053"/>
    <n v="280"/>
  </r>
  <r>
    <x v="15"/>
    <x v="2"/>
    <s v="Manuka Honey Choco"/>
    <d v="2023-03-15T00:00:00"/>
    <x v="1054"/>
    <x v="1054"/>
    <n v="95"/>
  </r>
  <r>
    <x v="22"/>
    <x v="4"/>
    <s v="Eclairs"/>
    <d v="2023-03-18T00:00:00"/>
    <x v="1055"/>
    <x v="1055"/>
    <n v="213"/>
  </r>
  <r>
    <x v="6"/>
    <x v="1"/>
    <s v="Eclairs"/>
    <d v="2023-04-29T00:00:00"/>
    <x v="1056"/>
    <x v="1056"/>
    <n v="58"/>
  </r>
  <r>
    <x v="9"/>
    <x v="3"/>
    <s v="White Choc"/>
    <d v="2023-02-25T00:00:00"/>
    <x v="1057"/>
    <x v="1057"/>
    <n v="265"/>
  </r>
  <r>
    <x v="15"/>
    <x v="4"/>
    <s v="Milk Bars"/>
    <d v="2023-03-02T00:00:00"/>
    <x v="1058"/>
    <x v="1058"/>
    <n v="54"/>
  </r>
  <r>
    <x v="1"/>
    <x v="2"/>
    <s v="Milk Bars"/>
    <d v="2023-06-20T00:00:00"/>
    <x v="1059"/>
    <x v="1059"/>
    <n v="91"/>
  </r>
  <r>
    <x v="12"/>
    <x v="5"/>
    <s v="White Choc"/>
    <d v="2023-07-15T00:00:00"/>
    <x v="1060"/>
    <x v="1060"/>
    <n v="185"/>
  </r>
  <r>
    <x v="23"/>
    <x v="2"/>
    <s v="50% Dark Bites"/>
    <d v="2023-05-12T00:00:00"/>
    <x v="1061"/>
    <x v="1061"/>
    <n v="256"/>
  </r>
  <r>
    <x v="9"/>
    <x v="3"/>
    <s v="Organic Choco Syrup"/>
    <d v="2023-07-01T00:00:00"/>
    <x v="1062"/>
    <x v="1062"/>
    <n v="276"/>
  </r>
  <r>
    <x v="15"/>
    <x v="4"/>
    <s v="85% Dark Bars"/>
    <d v="2023-08-08T00:00:00"/>
    <x v="1063"/>
    <x v="1063"/>
    <n v="52"/>
  </r>
  <r>
    <x v="22"/>
    <x v="2"/>
    <s v="50% Dark Bites"/>
    <d v="2023-07-25T00:00:00"/>
    <x v="1064"/>
    <x v="1064"/>
    <n v="6"/>
  </r>
  <r>
    <x v="18"/>
    <x v="0"/>
    <s v="Drinking Coco"/>
    <d v="2023-05-18T00:00:00"/>
    <x v="1065"/>
    <x v="1065"/>
    <n v="59"/>
  </r>
  <r>
    <x v="21"/>
    <x v="1"/>
    <s v="Peanut Butter Cubes"/>
    <d v="2023-07-15T00:00:00"/>
    <x v="1066"/>
    <x v="1066"/>
    <n v="284"/>
  </r>
  <r>
    <x v="14"/>
    <x v="1"/>
    <s v="70% Dark Bites"/>
    <d v="2023-07-05T00:00:00"/>
    <x v="1067"/>
    <x v="1067"/>
    <n v="48"/>
  </r>
  <r>
    <x v="9"/>
    <x v="4"/>
    <s v="Manuka Honey Choco"/>
    <d v="2023-07-04T00:00:00"/>
    <x v="1068"/>
    <x v="1068"/>
    <n v="94"/>
  </r>
  <r>
    <x v="23"/>
    <x v="0"/>
    <s v="70% Dark Bites"/>
    <d v="2023-06-20T00:00:00"/>
    <x v="1069"/>
    <x v="1069"/>
    <n v="232"/>
  </r>
  <r>
    <x v="5"/>
    <x v="2"/>
    <s v="Almond Choco"/>
    <d v="2023-01-25T00:00:00"/>
    <x v="1070"/>
    <x v="1070"/>
    <n v="425"/>
  </r>
  <r>
    <x v="16"/>
    <x v="3"/>
    <s v="Spicy Special Slims"/>
    <d v="2023-07-01T00:00:00"/>
    <x v="1071"/>
    <x v="1071"/>
    <n v="40"/>
  </r>
  <r>
    <x v="2"/>
    <x v="4"/>
    <s v="50% Dark Bites"/>
    <d v="2023-04-13T00:00:00"/>
    <x v="1072"/>
    <x v="1072"/>
    <n v="58"/>
  </r>
  <r>
    <x v="12"/>
    <x v="0"/>
    <s v="Smooth Sliky Salty"/>
    <d v="2023-05-04T00:00:00"/>
    <x v="1073"/>
    <x v="1073"/>
    <n v="75"/>
  </r>
  <r>
    <x v="12"/>
    <x v="2"/>
    <s v="Baker's Choco Chips"/>
    <d v="2023-08-04T00:00:00"/>
    <x v="1074"/>
    <x v="1074"/>
    <n v="108"/>
  </r>
  <r>
    <x v="12"/>
    <x v="1"/>
    <s v="70% Dark Bites"/>
    <d v="2023-06-01T00:00:00"/>
    <x v="1075"/>
    <x v="1075"/>
    <n v="159"/>
  </r>
  <r>
    <x v="0"/>
    <x v="0"/>
    <s v="Choco Coated Almonds"/>
    <d v="2023-04-22T00:00:00"/>
    <x v="1076"/>
    <x v="1076"/>
    <n v="185"/>
  </r>
  <r>
    <x v="16"/>
    <x v="4"/>
    <s v="50% Dark Bites"/>
    <d v="2023-08-03T00:00:00"/>
    <x v="1077"/>
    <x v="1077"/>
    <n v="27"/>
  </r>
  <r>
    <x v="24"/>
    <x v="4"/>
    <s v="Orange Choco"/>
    <d v="2023-06-10T00:00:00"/>
    <x v="1078"/>
    <x v="1078"/>
    <n v="73"/>
  </r>
  <r>
    <x v="5"/>
    <x v="0"/>
    <s v="Manuka Honey Choco"/>
    <d v="2023-06-27T00:00:00"/>
    <x v="1079"/>
    <x v="1079"/>
    <n v="49"/>
  </r>
  <r>
    <x v="11"/>
    <x v="2"/>
    <s v="Smooth Sliky Salty"/>
    <d v="2023-01-03T00:00:00"/>
    <x v="1080"/>
    <x v="1080"/>
    <n v="163"/>
  </r>
  <r>
    <x v="11"/>
    <x v="1"/>
    <s v="After Nines"/>
    <d v="2023-07-11T00:00:00"/>
    <x v="1081"/>
    <x v="1081"/>
    <n v="190"/>
  </r>
  <r>
    <x v="24"/>
    <x v="3"/>
    <s v="Milk Bars"/>
    <d v="2023-08-17T00:00:00"/>
    <x v="1082"/>
    <x v="1082"/>
    <n v="120"/>
  </r>
  <r>
    <x v="7"/>
    <x v="4"/>
    <s v="Fruit &amp; Nut Bars"/>
    <d v="2023-01-18T00:00:00"/>
    <x v="1083"/>
    <x v="1083"/>
    <n v="63"/>
  </r>
  <r>
    <x v="24"/>
    <x v="1"/>
    <s v="Organic Choco Syrup"/>
    <d v="2023-03-08T00:00:00"/>
    <x v="1084"/>
    <x v="1084"/>
    <n v="102"/>
  </r>
  <r>
    <x v="9"/>
    <x v="2"/>
    <s v="Orange Choco"/>
    <d v="2023-03-07T00:00:00"/>
    <x v="1085"/>
    <x v="1085"/>
    <n v="282"/>
  </r>
  <r>
    <x v="15"/>
    <x v="1"/>
    <s v="70% Dark Bites"/>
    <d v="2023-05-09T00:00:00"/>
    <x v="1086"/>
    <x v="1086"/>
    <n v="163"/>
  </r>
  <r>
    <x v="8"/>
    <x v="3"/>
    <s v="85% Dark Bars"/>
    <d v="2023-05-23T00:00:00"/>
    <x v="1087"/>
    <x v="1087"/>
    <n v="170"/>
  </r>
  <r>
    <x v="22"/>
    <x v="0"/>
    <s v="Caramel Stuffed Bars"/>
    <d v="2023-04-15T00:00:00"/>
    <x v="1088"/>
    <x v="1088"/>
    <n v="152"/>
  </r>
  <r>
    <x v="2"/>
    <x v="2"/>
    <s v="Drinking Coco"/>
    <d v="2023-07-27T00:00:00"/>
    <x v="1089"/>
    <x v="1089"/>
    <n v="153"/>
  </r>
  <r>
    <x v="11"/>
    <x v="5"/>
    <s v="Choco Coated Almonds"/>
    <d v="2023-08-22T00:00:00"/>
    <x v="1090"/>
    <x v="1090"/>
    <n v="435"/>
  </r>
  <r>
    <x v="24"/>
    <x v="4"/>
    <s v="70% Dark Bites"/>
    <d v="2023-05-11T00:00:00"/>
    <x v="1091"/>
    <x v="1091"/>
    <n v="127"/>
  </r>
  <r>
    <x v="22"/>
    <x v="1"/>
    <s v="Organic Choco Syrup"/>
    <d v="2023-01-26T00:00:00"/>
    <x v="1092"/>
    <x v="1092"/>
    <n v="37"/>
  </r>
  <r>
    <x v="8"/>
    <x v="4"/>
    <s v="50% Dark Bites"/>
    <d v="2023-04-14T00:00:00"/>
    <x v="1093"/>
    <x v="1093"/>
    <n v="128"/>
  </r>
  <r>
    <x v="17"/>
    <x v="3"/>
    <s v="Mint Chip Choco"/>
    <d v="2023-04-05T00:00:00"/>
    <x v="1094"/>
    <x v="1094"/>
    <n v="419"/>
  </r>
  <r>
    <x v="11"/>
    <x v="3"/>
    <s v="Smooth Sliky Salty"/>
    <d v="2023-06-14T00:00:00"/>
    <x v="1095"/>
    <x v="1095"/>
    <n v="58"/>
  </r>
  <r>
    <x v="6"/>
    <x v="5"/>
    <s v="Almond Choco"/>
    <d v="2023-04-13T00:00:00"/>
    <x v="1096"/>
    <x v="1096"/>
    <n v="123"/>
  </r>
  <r>
    <x v="12"/>
    <x v="2"/>
    <s v="White Choc"/>
    <d v="2023-06-27T00:00:00"/>
    <x v="1097"/>
    <x v="1097"/>
    <n v="178"/>
  </r>
  <r>
    <x v="23"/>
    <x v="2"/>
    <s v="Eclairs"/>
    <d v="2023-01-26T00:00:00"/>
    <x v="1098"/>
    <x v="1098"/>
    <n v="3"/>
  </r>
  <r>
    <x v="8"/>
    <x v="0"/>
    <s v="White Choc"/>
    <d v="2023-07-05T00:00:00"/>
    <x v="1099"/>
    <x v="1099"/>
    <n v="77"/>
  </r>
  <r>
    <x v="12"/>
    <x v="5"/>
    <s v="Baker's Choco Chips"/>
    <d v="2023-01-11T00:00:00"/>
    <x v="1100"/>
    <x v="1100"/>
    <n v="90"/>
  </r>
  <r>
    <x v="20"/>
    <x v="4"/>
    <s v="White Choc"/>
    <d v="2023-03-07T00:00:00"/>
    <x v="1101"/>
    <x v="1101"/>
    <n v="22"/>
  </r>
  <r>
    <x v="16"/>
    <x v="5"/>
    <s v="50% Dark Bites"/>
    <d v="2023-03-04T00:00:00"/>
    <x v="1102"/>
    <x v="1102"/>
    <n v="99"/>
  </r>
  <r>
    <x v="10"/>
    <x v="5"/>
    <s v="Organic Choco Syrup"/>
    <d v="2023-07-15T00:00:00"/>
    <x v="1103"/>
    <x v="1103"/>
    <n v="309"/>
  </r>
  <r>
    <x v="16"/>
    <x v="0"/>
    <s v="Peanut Butter Cubes"/>
    <d v="2023-05-11T00:00:00"/>
    <x v="1104"/>
    <x v="1104"/>
    <n v="92"/>
  </r>
  <r>
    <x v="10"/>
    <x v="4"/>
    <s v="Milk Bars"/>
    <d v="2023-01-27T00:00:00"/>
    <x v="1105"/>
    <x v="1105"/>
    <n v="7"/>
  </r>
  <r>
    <x v="10"/>
    <x v="1"/>
    <s v="Orange Choco"/>
    <d v="2023-06-27T00:00:00"/>
    <x v="1106"/>
    <x v="1106"/>
    <n v="153"/>
  </r>
  <r>
    <x v="24"/>
    <x v="1"/>
    <s v="Smooth Sliky Salty"/>
    <d v="2023-08-03T00:00:00"/>
    <x v="1107"/>
    <x v="1107"/>
    <n v="20"/>
  </r>
  <r>
    <x v="18"/>
    <x v="3"/>
    <s v="Mint Chip Choco"/>
    <d v="2023-08-19T00:00:00"/>
    <x v="1108"/>
    <x v="1108"/>
    <n v="245"/>
  </r>
  <r>
    <x v="18"/>
    <x v="2"/>
    <s v="Fruit &amp; Nut Bars"/>
    <d v="2023-06-15T00:00:00"/>
    <x v="1109"/>
    <x v="1109"/>
    <n v="111"/>
  </r>
  <r>
    <x v="17"/>
    <x v="0"/>
    <s v="Peanut Butter Cubes"/>
    <d v="2023-02-07T00:00:00"/>
    <x v="1110"/>
    <x v="1110"/>
    <n v="154"/>
  </r>
  <r>
    <x v="10"/>
    <x v="2"/>
    <s v="Almond Choco"/>
    <d v="2023-07-08T00:00:00"/>
    <x v="1111"/>
    <x v="1111"/>
    <n v="138"/>
  </r>
  <r>
    <x v="17"/>
    <x v="1"/>
    <s v="Milk Bars"/>
    <d v="2023-04-21T00:00:00"/>
    <x v="1112"/>
    <x v="1112"/>
    <n v="93"/>
  </r>
  <r>
    <x v="24"/>
    <x v="0"/>
    <s v="Mint Chip Choco"/>
    <d v="2023-04-08T00:00:00"/>
    <x v="1113"/>
    <x v="1113"/>
    <n v="226"/>
  </r>
  <r>
    <x v="15"/>
    <x v="2"/>
    <s v="50% Dark Bites"/>
    <d v="2023-08-19T00:00:00"/>
    <x v="1114"/>
    <x v="1114"/>
    <n v="51"/>
  </r>
  <r>
    <x v="3"/>
    <x v="1"/>
    <s v="Fruit &amp; Nut Bars"/>
    <d v="2023-05-04T00:00:00"/>
    <x v="1115"/>
    <x v="1115"/>
    <n v="54"/>
  </r>
  <r>
    <x v="9"/>
    <x v="4"/>
    <s v="85% Dark Bars"/>
    <d v="2023-05-11T00:00:00"/>
    <x v="1116"/>
    <x v="1116"/>
    <n v="112"/>
  </r>
  <r>
    <x v="9"/>
    <x v="4"/>
    <s v="Eclairs"/>
    <d v="2023-03-22T00:00:00"/>
    <x v="1117"/>
    <x v="1117"/>
    <n v="53"/>
  </r>
  <r>
    <x v="17"/>
    <x v="5"/>
    <s v="Spicy Special Slims"/>
    <d v="2023-08-10T00:00:00"/>
    <x v="1118"/>
    <x v="1118"/>
    <n v="234"/>
  </r>
  <r>
    <x v="17"/>
    <x v="4"/>
    <s v="Fruit &amp; Nut Bars"/>
    <d v="2023-05-04T00:00:00"/>
    <x v="1119"/>
    <x v="1119"/>
    <n v="321"/>
  </r>
  <r>
    <x v="20"/>
    <x v="4"/>
    <s v="99% Dark &amp; Pure"/>
    <d v="2023-08-18T00:00:00"/>
    <x v="1120"/>
    <x v="1120"/>
    <n v="258"/>
  </r>
  <r>
    <x v="23"/>
    <x v="5"/>
    <s v="Raspberry Choco"/>
    <d v="2023-08-03T00:00:00"/>
    <x v="1121"/>
    <x v="1121"/>
    <n v="248"/>
  </r>
  <r>
    <x v="11"/>
    <x v="3"/>
    <s v="Milk Bars"/>
    <d v="2023-01-14T00:00:00"/>
    <x v="1122"/>
    <x v="1122"/>
    <n v="328"/>
  </r>
  <r>
    <x v="22"/>
    <x v="2"/>
    <s v="Choco Coated Almonds"/>
    <d v="2023-04-08T00:00:00"/>
    <x v="1123"/>
    <x v="1123"/>
    <n v="69"/>
  </r>
  <r>
    <x v="20"/>
    <x v="0"/>
    <s v="Orange Choco"/>
    <d v="2023-08-01T00:00:00"/>
    <x v="1124"/>
    <x v="1124"/>
    <n v="3"/>
  </r>
  <r>
    <x v="17"/>
    <x v="5"/>
    <s v="Eclairs"/>
    <d v="2023-03-15T00:00:00"/>
    <x v="1125"/>
    <x v="1125"/>
    <n v="45"/>
  </r>
  <r>
    <x v="10"/>
    <x v="1"/>
    <s v="Mint Chip Choco"/>
    <d v="2023-07-15T00:00:00"/>
    <x v="1126"/>
    <x v="1126"/>
    <n v="192"/>
  </r>
  <r>
    <x v="8"/>
    <x v="3"/>
    <s v="Almond Choco"/>
    <d v="2023-01-13T00:00:00"/>
    <x v="1127"/>
    <x v="1127"/>
    <n v="131"/>
  </r>
  <r>
    <x v="9"/>
    <x v="2"/>
    <s v="85% Dark Bars"/>
    <d v="2023-08-26T00:00:00"/>
    <x v="1128"/>
    <x v="1128"/>
    <n v="52"/>
  </r>
  <r>
    <x v="24"/>
    <x v="5"/>
    <s v="Eclairs"/>
    <d v="2023-01-10T00:00:00"/>
    <x v="1129"/>
    <x v="1129"/>
    <n v="172"/>
  </r>
  <r>
    <x v="2"/>
    <x v="2"/>
    <s v="White Choc"/>
    <d v="2023-05-11T00:00:00"/>
    <x v="1130"/>
    <x v="1130"/>
    <n v="83"/>
  </r>
  <r>
    <x v="12"/>
    <x v="3"/>
    <s v="85% Dark Bars"/>
    <d v="2023-08-30T00:00:00"/>
    <x v="1131"/>
    <x v="1131"/>
    <n v="23"/>
  </r>
  <r>
    <x v="16"/>
    <x v="4"/>
    <s v="Caramel Stuffed Bars"/>
    <d v="2023-07-21T00:00:00"/>
    <x v="1132"/>
    <x v="1132"/>
    <n v="124"/>
  </r>
  <r>
    <x v="9"/>
    <x v="2"/>
    <s v="Almond Choco"/>
    <d v="2023-08-01T00:00:00"/>
    <x v="1133"/>
    <x v="1133"/>
    <n v="137"/>
  </r>
  <r>
    <x v="6"/>
    <x v="5"/>
    <s v="85% Dark Bars"/>
    <d v="2023-02-17T00:00:00"/>
    <x v="1134"/>
    <x v="1134"/>
    <n v="268"/>
  </r>
  <r>
    <x v="6"/>
    <x v="2"/>
    <s v="Drinking Coco"/>
    <d v="2023-07-27T00:00:00"/>
    <x v="1135"/>
    <x v="1135"/>
    <n v="158"/>
  </r>
  <r>
    <x v="23"/>
    <x v="4"/>
    <s v="Orange Choco"/>
    <d v="2023-02-23T00:00:00"/>
    <x v="1136"/>
    <x v="1136"/>
    <n v="112"/>
  </r>
  <r>
    <x v="7"/>
    <x v="2"/>
    <s v="50% Dark Bites"/>
    <d v="2023-03-22T00:00:00"/>
    <x v="1137"/>
    <x v="1137"/>
    <n v="42"/>
  </r>
  <r>
    <x v="17"/>
    <x v="1"/>
    <s v="99% Dark &amp; Pure"/>
    <d v="2023-06-23T00:00:00"/>
    <x v="1138"/>
    <x v="1138"/>
    <n v="325"/>
  </r>
  <r>
    <x v="14"/>
    <x v="0"/>
    <s v="White Choc"/>
    <d v="2023-02-01T00:00:00"/>
    <x v="1139"/>
    <x v="1139"/>
    <n v="73"/>
  </r>
  <r>
    <x v="20"/>
    <x v="2"/>
    <s v="After Nines"/>
    <d v="2023-03-02T00:00:00"/>
    <x v="1140"/>
    <x v="1140"/>
    <n v="279"/>
  </r>
  <r>
    <x v="2"/>
    <x v="0"/>
    <s v="Fruit &amp; Nut Bars"/>
    <d v="2023-04-06T00:00:00"/>
    <x v="1141"/>
    <x v="1141"/>
    <n v="90"/>
  </r>
  <r>
    <x v="5"/>
    <x v="2"/>
    <s v="Raspberry Choco"/>
    <d v="2023-03-17T00:00:00"/>
    <x v="1142"/>
    <x v="1142"/>
    <n v="76"/>
  </r>
  <r>
    <x v="14"/>
    <x v="0"/>
    <s v="Fruit &amp; Nut Bars"/>
    <d v="2023-06-24T00:00:00"/>
    <x v="1143"/>
    <x v="1143"/>
    <n v="136"/>
  </r>
  <r>
    <x v="8"/>
    <x v="5"/>
    <s v="50% Dark Bites"/>
    <d v="2023-07-19T00:00:00"/>
    <x v="1144"/>
    <x v="1144"/>
    <n v="301"/>
  </r>
  <r>
    <x v="14"/>
    <x v="4"/>
    <s v="Spicy Special Slims"/>
    <d v="2023-07-11T00:00:00"/>
    <x v="1145"/>
    <x v="1145"/>
    <n v="271"/>
  </r>
  <r>
    <x v="6"/>
    <x v="1"/>
    <s v="Almond Choco"/>
    <d v="2023-01-13T00:00:00"/>
    <x v="1146"/>
    <x v="1146"/>
    <n v="222"/>
  </r>
  <r>
    <x v="4"/>
    <x v="3"/>
    <s v="Smooth Sliky Salty"/>
    <d v="2023-07-07T00:00:00"/>
    <x v="1147"/>
    <x v="1147"/>
    <n v="64"/>
  </r>
  <r>
    <x v="3"/>
    <x v="1"/>
    <s v="85% Dark Bars"/>
    <d v="2023-05-25T00:00:00"/>
    <x v="1148"/>
    <x v="1148"/>
    <n v="446"/>
  </r>
  <r>
    <x v="11"/>
    <x v="1"/>
    <s v="Fruit &amp; Nut Bars"/>
    <d v="2023-04-13T00:00:00"/>
    <x v="1149"/>
    <x v="1149"/>
    <n v="160"/>
  </r>
  <r>
    <x v="19"/>
    <x v="3"/>
    <s v="50% Dark Bites"/>
    <d v="2023-03-02T00:00:00"/>
    <x v="1150"/>
    <x v="1150"/>
    <n v="208"/>
  </r>
  <r>
    <x v="5"/>
    <x v="5"/>
    <s v="Raspberry Choco"/>
    <d v="2023-06-23T00:00:00"/>
    <x v="1151"/>
    <x v="1151"/>
    <n v="129"/>
  </r>
  <r>
    <x v="20"/>
    <x v="4"/>
    <s v="Drinking Coco"/>
    <d v="2023-07-26T00:00:00"/>
    <x v="1152"/>
    <x v="1152"/>
    <n v="170"/>
  </r>
  <r>
    <x v="1"/>
    <x v="5"/>
    <s v="White Choc"/>
    <d v="2023-03-22T00:00:00"/>
    <x v="1153"/>
    <x v="1153"/>
    <n v="3"/>
  </r>
  <r>
    <x v="7"/>
    <x v="4"/>
    <s v="Baker's Choco Chips"/>
    <d v="2023-06-09T00:00:00"/>
    <x v="1154"/>
    <x v="1154"/>
    <n v="64"/>
  </r>
  <r>
    <x v="1"/>
    <x v="2"/>
    <s v="Caramel Stuffed Bars"/>
    <d v="2023-05-17T00:00:00"/>
    <x v="1155"/>
    <x v="1155"/>
    <n v="62"/>
  </r>
  <r>
    <x v="24"/>
    <x v="3"/>
    <s v="Peanut Butter Cubes"/>
    <d v="2023-03-04T00:00:00"/>
    <x v="1156"/>
    <x v="1156"/>
    <n v="260"/>
  </r>
  <r>
    <x v="20"/>
    <x v="5"/>
    <s v="Milk Bars"/>
    <d v="2023-07-07T00:00:00"/>
    <x v="1157"/>
    <x v="1157"/>
    <n v="27"/>
  </r>
  <r>
    <x v="17"/>
    <x v="5"/>
    <s v="Choco Coated Almonds"/>
    <d v="2023-01-13T00:00:00"/>
    <x v="1158"/>
    <x v="1158"/>
    <n v="124"/>
  </r>
  <r>
    <x v="14"/>
    <x v="2"/>
    <s v="Almond Choco"/>
    <d v="2023-07-13T00:00:00"/>
    <x v="1159"/>
    <x v="1159"/>
    <n v="78"/>
  </r>
  <r>
    <x v="22"/>
    <x v="2"/>
    <s v="85% Dark Bars"/>
    <d v="2023-06-16T00:00:00"/>
    <x v="1160"/>
    <x v="1160"/>
    <n v="329"/>
  </r>
  <r>
    <x v="2"/>
    <x v="0"/>
    <s v="50% Dark Bites"/>
    <d v="2023-07-18T00:00:00"/>
    <x v="1161"/>
    <x v="1161"/>
    <n v="73"/>
  </r>
  <r>
    <x v="24"/>
    <x v="0"/>
    <s v="Manuka Honey Choco"/>
    <d v="2023-05-30T00:00:00"/>
    <x v="1162"/>
    <x v="1162"/>
    <n v="411"/>
  </r>
  <r>
    <x v="2"/>
    <x v="0"/>
    <s v="70% Dark Bites"/>
    <d v="2023-06-21T00:00:00"/>
    <x v="1163"/>
    <x v="1163"/>
    <n v="83"/>
  </r>
  <r>
    <x v="0"/>
    <x v="2"/>
    <s v="Peanut Butter Cubes"/>
    <d v="2023-06-24T00:00:00"/>
    <x v="1164"/>
    <x v="1164"/>
    <n v="40"/>
  </r>
  <r>
    <x v="11"/>
    <x v="1"/>
    <s v="Eclairs"/>
    <d v="2023-01-13T00:00:00"/>
    <x v="1165"/>
    <x v="1165"/>
    <n v="94"/>
  </r>
  <r>
    <x v="14"/>
    <x v="5"/>
    <s v="Fruit &amp; Nut Bars"/>
    <d v="2023-04-04T00:00:00"/>
    <x v="1166"/>
    <x v="1166"/>
    <n v="210"/>
  </r>
  <r>
    <x v="16"/>
    <x v="0"/>
    <s v="Smooth Sliky Salty"/>
    <d v="2023-06-08T00:00:00"/>
    <x v="1167"/>
    <x v="1167"/>
    <n v="599"/>
  </r>
  <r>
    <x v="10"/>
    <x v="5"/>
    <s v="Spicy Special Slims"/>
    <d v="2023-08-02T00:00:00"/>
    <x v="1168"/>
    <x v="1168"/>
    <n v="51"/>
  </r>
  <r>
    <x v="20"/>
    <x v="4"/>
    <s v="Organic Choco Syrup"/>
    <d v="2023-07-21T00:00:00"/>
    <x v="1169"/>
    <x v="1169"/>
    <n v="155"/>
  </r>
  <r>
    <x v="14"/>
    <x v="1"/>
    <s v="Spicy Special Slims"/>
    <d v="2023-06-20T00:00:00"/>
    <x v="1170"/>
    <x v="1170"/>
    <n v="143"/>
  </r>
  <r>
    <x v="13"/>
    <x v="1"/>
    <s v="After Nines"/>
    <d v="2023-06-22T00:00:00"/>
    <x v="1171"/>
    <x v="1171"/>
    <n v="117"/>
  </r>
  <r>
    <x v="21"/>
    <x v="2"/>
    <s v="Caramel Stuffed Bars"/>
    <d v="2023-05-02T00:00:00"/>
    <x v="1172"/>
    <x v="1172"/>
    <n v="15"/>
  </r>
  <r>
    <x v="14"/>
    <x v="2"/>
    <s v="99% Dark &amp; Pure"/>
    <d v="2023-01-07T00:00:00"/>
    <x v="1173"/>
    <x v="1173"/>
    <n v="87"/>
  </r>
  <r>
    <x v="9"/>
    <x v="0"/>
    <s v="50% Dark Bites"/>
    <d v="2023-02-21T00:00:00"/>
    <x v="1174"/>
    <x v="1174"/>
    <n v="95"/>
  </r>
  <r>
    <x v="24"/>
    <x v="5"/>
    <s v="Baker's Choco Chips"/>
    <d v="2023-03-21T00:00:00"/>
    <x v="1175"/>
    <x v="1175"/>
    <n v="373"/>
  </r>
  <r>
    <x v="1"/>
    <x v="0"/>
    <s v="Drinking Coco"/>
    <d v="2023-04-04T00:00:00"/>
    <x v="1176"/>
    <x v="1176"/>
    <n v="131"/>
  </r>
  <r>
    <x v="5"/>
    <x v="5"/>
    <s v="Fruit &amp; Nut Bars"/>
    <d v="2023-03-24T00:00:00"/>
    <x v="1177"/>
    <x v="1177"/>
    <n v="216"/>
  </r>
  <r>
    <x v="5"/>
    <x v="3"/>
    <s v="Spicy Special Slims"/>
    <d v="2023-06-28T00:00:00"/>
    <x v="1178"/>
    <x v="1178"/>
    <n v="194"/>
  </r>
  <r>
    <x v="5"/>
    <x v="2"/>
    <s v="Drinking Coco"/>
    <d v="2023-01-14T00:00:00"/>
    <x v="1179"/>
    <x v="1179"/>
    <n v="192"/>
  </r>
  <r>
    <x v="10"/>
    <x v="3"/>
    <s v="Fruit &amp; Nut Bars"/>
    <d v="2023-02-07T00:00:00"/>
    <x v="1180"/>
    <x v="1180"/>
    <n v="147"/>
  </r>
  <r>
    <x v="17"/>
    <x v="3"/>
    <s v="Drinking Coco"/>
    <d v="2023-01-11T00:00:00"/>
    <x v="1181"/>
    <x v="1181"/>
    <n v="196"/>
  </r>
  <r>
    <x v="0"/>
    <x v="1"/>
    <s v="99% Dark &amp; Pure"/>
    <d v="2023-02-25T00:00:00"/>
    <x v="1182"/>
    <x v="1182"/>
    <n v="232"/>
  </r>
  <r>
    <x v="23"/>
    <x v="2"/>
    <s v="Mint Chip Choco"/>
    <d v="2023-08-01T00:00:00"/>
    <x v="1183"/>
    <x v="1183"/>
    <n v="27"/>
  </r>
  <r>
    <x v="13"/>
    <x v="2"/>
    <s v="Mint Chip Choco"/>
    <d v="2023-05-05T00:00:00"/>
    <x v="1184"/>
    <x v="1184"/>
    <n v="277"/>
  </r>
  <r>
    <x v="22"/>
    <x v="3"/>
    <s v="Raspberry Choco"/>
    <d v="2023-05-18T00:00:00"/>
    <x v="1185"/>
    <x v="1185"/>
    <n v="411"/>
  </r>
  <r>
    <x v="23"/>
    <x v="3"/>
    <s v="Choco Coated Almonds"/>
    <d v="2023-01-04T00:00:00"/>
    <x v="1186"/>
    <x v="1186"/>
    <n v="350"/>
  </r>
  <r>
    <x v="13"/>
    <x v="3"/>
    <s v="50% Dark Bites"/>
    <d v="2023-05-09T00:00:00"/>
    <x v="1187"/>
    <x v="1187"/>
    <n v="220"/>
  </r>
  <r>
    <x v="7"/>
    <x v="1"/>
    <s v="Smooth Sliky Salty"/>
    <d v="2023-05-06T00:00:00"/>
    <x v="1188"/>
    <x v="1188"/>
    <n v="88"/>
  </r>
  <r>
    <x v="15"/>
    <x v="0"/>
    <s v="White Choc"/>
    <d v="2023-01-13T00:00:00"/>
    <x v="1189"/>
    <x v="1189"/>
    <n v="142"/>
  </r>
  <r>
    <x v="13"/>
    <x v="2"/>
    <s v="Almond Choco"/>
    <d v="2023-06-24T00:00:00"/>
    <x v="1190"/>
    <x v="1190"/>
    <n v="79"/>
  </r>
  <r>
    <x v="1"/>
    <x v="4"/>
    <s v="Caramel Stuffed Bars"/>
    <d v="2023-02-14T00:00:00"/>
    <x v="1191"/>
    <x v="1191"/>
    <n v="21"/>
  </r>
  <r>
    <x v="21"/>
    <x v="2"/>
    <s v="99% Dark &amp; Pure"/>
    <d v="2023-01-18T00:00:00"/>
    <x v="1192"/>
    <x v="1192"/>
    <n v="97"/>
  </r>
  <r>
    <x v="16"/>
    <x v="1"/>
    <s v="Milk Bars"/>
    <d v="2023-05-02T00:00:00"/>
    <x v="1193"/>
    <x v="1193"/>
    <n v="92"/>
  </r>
  <r>
    <x v="24"/>
    <x v="2"/>
    <s v="Smooth Sliky Salty"/>
    <d v="2023-05-16T00:00:00"/>
    <x v="1194"/>
    <x v="1194"/>
    <n v="54"/>
  </r>
  <r>
    <x v="9"/>
    <x v="4"/>
    <s v="Almond Choco"/>
    <d v="2023-01-28T00:00:00"/>
    <x v="1195"/>
    <x v="1195"/>
    <n v="370"/>
  </r>
  <r>
    <x v="16"/>
    <x v="5"/>
    <s v="99% Dark &amp; Pure"/>
    <d v="2023-06-24T00:00:00"/>
    <x v="1196"/>
    <x v="1196"/>
    <n v="409"/>
  </r>
  <r>
    <x v="4"/>
    <x v="0"/>
    <s v="After Nines"/>
    <d v="2023-07-18T00:00:00"/>
    <x v="1197"/>
    <x v="1197"/>
    <n v="108"/>
  </r>
  <r>
    <x v="5"/>
    <x v="0"/>
    <s v="Eclairs"/>
    <d v="2023-04-13T00:00:00"/>
    <x v="1198"/>
    <x v="1198"/>
    <n v="169"/>
  </r>
  <r>
    <x v="23"/>
    <x v="4"/>
    <s v="Caramel Stuffed Bars"/>
    <d v="2023-04-15T00:00:00"/>
    <x v="1199"/>
    <x v="1199"/>
    <n v="80"/>
  </r>
  <r>
    <x v="3"/>
    <x v="1"/>
    <s v="Peanut Butter Cubes"/>
    <d v="2023-01-04T00:00:00"/>
    <x v="1200"/>
    <x v="1200"/>
    <n v="184"/>
  </r>
  <r>
    <x v="15"/>
    <x v="2"/>
    <s v="Eclairs"/>
    <d v="2023-07-04T00:00:00"/>
    <x v="1201"/>
    <x v="1201"/>
    <n v="34"/>
  </r>
  <r>
    <x v="12"/>
    <x v="4"/>
    <s v="Smooth Sliky Salty"/>
    <d v="2023-03-24T00:00:00"/>
    <x v="1202"/>
    <x v="1202"/>
    <n v="354"/>
  </r>
  <r>
    <x v="21"/>
    <x v="2"/>
    <s v="Manuka Honey Choco"/>
    <d v="2023-03-17T00:00:00"/>
    <x v="1203"/>
    <x v="1203"/>
    <n v="181"/>
  </r>
  <r>
    <x v="4"/>
    <x v="2"/>
    <s v="Almond Choco"/>
    <d v="2023-02-15T00:00:00"/>
    <x v="1204"/>
    <x v="1204"/>
    <n v="242"/>
  </r>
  <r>
    <x v="3"/>
    <x v="4"/>
    <s v="Orange Choco"/>
    <d v="2023-06-29T00:00:00"/>
    <x v="1205"/>
    <x v="1205"/>
    <n v="149"/>
  </r>
  <r>
    <x v="2"/>
    <x v="4"/>
    <s v="Fruit &amp; Nut Bars"/>
    <d v="2023-05-24T00:00:00"/>
    <x v="1206"/>
    <x v="1206"/>
    <n v="115"/>
  </r>
  <r>
    <x v="9"/>
    <x v="0"/>
    <s v="Milk Bars"/>
    <d v="2023-01-10T00:00:00"/>
    <x v="1207"/>
    <x v="1207"/>
    <n v="282"/>
  </r>
  <r>
    <x v="14"/>
    <x v="4"/>
    <s v="Raspberry Choco"/>
    <d v="2023-03-15T00:00:00"/>
    <x v="1208"/>
    <x v="1208"/>
    <n v="153"/>
  </r>
  <r>
    <x v="11"/>
    <x v="5"/>
    <s v="Milk Bars"/>
    <d v="2023-02-08T00:00:00"/>
    <x v="1209"/>
    <x v="1209"/>
    <n v="312"/>
  </r>
  <r>
    <x v="6"/>
    <x v="1"/>
    <s v="Caramel Stuffed Bars"/>
    <d v="2023-02-25T00:00:00"/>
    <x v="1210"/>
    <x v="1210"/>
    <n v="110"/>
  </r>
  <r>
    <x v="5"/>
    <x v="4"/>
    <s v="Eclairs"/>
    <d v="2023-05-03T00:00:00"/>
    <x v="1211"/>
    <x v="1211"/>
    <n v="45"/>
  </r>
  <r>
    <x v="13"/>
    <x v="4"/>
    <s v="Fruit &amp; Nut Bars"/>
    <d v="2023-06-14T00:00:00"/>
    <x v="1212"/>
    <x v="1212"/>
    <n v="23"/>
  </r>
  <r>
    <x v="5"/>
    <x v="1"/>
    <s v="50% Dark Bites"/>
    <d v="2023-08-09T00:00:00"/>
    <x v="1213"/>
    <x v="1213"/>
    <n v="79"/>
  </r>
  <r>
    <x v="18"/>
    <x v="3"/>
    <s v="Manuka Honey Choco"/>
    <d v="2023-07-11T00:00:00"/>
    <x v="1214"/>
    <x v="1214"/>
    <n v="254"/>
  </r>
  <r>
    <x v="16"/>
    <x v="0"/>
    <s v="Manuka Honey Choco"/>
    <d v="2023-01-14T00:00:00"/>
    <x v="1215"/>
    <x v="1215"/>
    <n v="113"/>
  </r>
  <r>
    <x v="1"/>
    <x v="5"/>
    <s v="Manuka Honey Choco"/>
    <d v="2023-02-24T00:00:00"/>
    <x v="1216"/>
    <x v="1216"/>
    <n v="48"/>
  </r>
  <r>
    <x v="18"/>
    <x v="3"/>
    <s v="Almond Choco"/>
    <d v="2023-03-15T00:00:00"/>
    <x v="1217"/>
    <x v="1217"/>
    <n v="146"/>
  </r>
  <r>
    <x v="4"/>
    <x v="3"/>
    <s v="Baker's Choco Chips"/>
    <d v="2023-04-25T00:00:00"/>
    <x v="1218"/>
    <x v="1218"/>
    <n v="51"/>
  </r>
  <r>
    <x v="17"/>
    <x v="2"/>
    <s v="Organic Choco Syrup"/>
    <d v="2023-05-10T00:00:00"/>
    <x v="1219"/>
    <x v="1219"/>
    <n v="39"/>
  </r>
  <r>
    <x v="11"/>
    <x v="2"/>
    <s v="Spicy Special Slims"/>
    <d v="2023-06-23T00:00:00"/>
    <x v="1220"/>
    <x v="1220"/>
    <n v="302"/>
  </r>
  <r>
    <x v="12"/>
    <x v="5"/>
    <s v="Smooth Sliky Salty"/>
    <d v="2023-02-28T00:00:00"/>
    <x v="1221"/>
    <x v="1221"/>
    <n v="352"/>
  </r>
  <r>
    <x v="6"/>
    <x v="4"/>
    <s v="Organic Choco Syrup"/>
    <d v="2023-05-25T00:00:00"/>
    <x v="1222"/>
    <x v="1222"/>
    <n v="145"/>
  </r>
  <r>
    <x v="13"/>
    <x v="3"/>
    <s v="Baker's Choco Chips"/>
    <d v="2023-02-22T00:00:00"/>
    <x v="1223"/>
    <x v="1223"/>
    <n v="232"/>
  </r>
  <r>
    <x v="1"/>
    <x v="0"/>
    <s v="85% Dark Bars"/>
    <d v="2023-07-11T00:00:00"/>
    <x v="1224"/>
    <x v="1224"/>
    <n v="128"/>
  </r>
  <r>
    <x v="11"/>
    <x v="5"/>
    <s v="Spicy Special Slims"/>
    <d v="2023-01-03T00:00:00"/>
    <x v="1225"/>
    <x v="1225"/>
    <n v="344"/>
  </r>
  <r>
    <x v="7"/>
    <x v="3"/>
    <s v="70% Dark Bites"/>
    <d v="2023-08-24T00:00:00"/>
    <x v="1226"/>
    <x v="1226"/>
    <n v="280"/>
  </r>
  <r>
    <x v="12"/>
    <x v="4"/>
    <s v="50% Dark Bites"/>
    <d v="2023-07-28T00:00:00"/>
    <x v="1227"/>
    <x v="1227"/>
    <n v="340"/>
  </r>
  <r>
    <x v="6"/>
    <x v="4"/>
    <s v="Mint Chip Choco"/>
    <d v="2023-05-25T00:00:00"/>
    <x v="1228"/>
    <x v="1228"/>
    <n v="151"/>
  </r>
  <r>
    <x v="10"/>
    <x v="3"/>
    <s v="Eclairs"/>
    <d v="2023-05-06T00:00:00"/>
    <x v="1229"/>
    <x v="1229"/>
    <n v="171"/>
  </r>
  <r>
    <x v="8"/>
    <x v="1"/>
    <s v="Drinking Coco"/>
    <d v="2023-01-28T00:00:00"/>
    <x v="1230"/>
    <x v="1230"/>
    <n v="148"/>
  </r>
  <r>
    <x v="11"/>
    <x v="0"/>
    <s v="Orange Choco"/>
    <d v="2023-06-06T00:00:00"/>
    <x v="1231"/>
    <x v="1231"/>
    <n v="13"/>
  </r>
  <r>
    <x v="6"/>
    <x v="3"/>
    <s v="Baker's Choco Chips"/>
    <d v="2023-07-12T00:00:00"/>
    <x v="1232"/>
    <x v="1232"/>
    <n v="26"/>
  </r>
  <r>
    <x v="24"/>
    <x v="5"/>
    <s v="Spicy Special Slims"/>
    <d v="2023-08-05T00:00:00"/>
    <x v="1233"/>
    <x v="1233"/>
    <n v="193"/>
  </r>
  <r>
    <x v="6"/>
    <x v="4"/>
    <s v="Orange Choco"/>
    <d v="2023-01-28T00:00:00"/>
    <x v="1234"/>
    <x v="1234"/>
    <n v="157"/>
  </r>
  <r>
    <x v="16"/>
    <x v="1"/>
    <s v="Spicy Special Slims"/>
    <d v="2023-08-31T00:00:00"/>
    <x v="1235"/>
    <x v="1235"/>
    <n v="147"/>
  </r>
  <r>
    <x v="9"/>
    <x v="4"/>
    <s v="50% Dark Bites"/>
    <d v="2023-04-19T00:00:00"/>
    <x v="1236"/>
    <x v="1236"/>
    <n v="14"/>
  </r>
  <r>
    <x v="9"/>
    <x v="0"/>
    <s v="Mint Chip Choco"/>
    <d v="2023-06-29T00:00:00"/>
    <x v="1237"/>
    <x v="1237"/>
    <n v="2"/>
  </r>
  <r>
    <x v="12"/>
    <x v="1"/>
    <s v="Choco Coated Almonds"/>
    <d v="2023-02-24T00:00:00"/>
    <x v="1238"/>
    <x v="1238"/>
    <n v="287"/>
  </r>
  <r>
    <x v="22"/>
    <x v="0"/>
    <s v="Smooth Sliky Salty"/>
    <d v="2023-03-04T00:00:00"/>
    <x v="1239"/>
    <x v="1239"/>
    <n v="87"/>
  </r>
  <r>
    <x v="2"/>
    <x v="1"/>
    <s v="Eclairs"/>
    <d v="2023-06-21T00:00:00"/>
    <x v="1240"/>
    <x v="1240"/>
    <n v="73"/>
  </r>
  <r>
    <x v="7"/>
    <x v="2"/>
    <s v="Organic Choco Syrup"/>
    <d v="2023-01-26T00:00:00"/>
    <x v="1241"/>
    <x v="1241"/>
    <n v="114"/>
  </r>
  <r>
    <x v="4"/>
    <x v="3"/>
    <s v="White Choc"/>
    <d v="2023-06-10T00:00:00"/>
    <x v="1242"/>
    <x v="1242"/>
    <n v="38"/>
  </r>
  <r>
    <x v="19"/>
    <x v="0"/>
    <s v="Drinking Coco"/>
    <d v="2023-05-23T00:00:00"/>
    <x v="1243"/>
    <x v="1243"/>
    <n v="70"/>
  </r>
  <r>
    <x v="20"/>
    <x v="1"/>
    <s v="Milk Bars"/>
    <d v="2023-04-15T00:00:00"/>
    <x v="1244"/>
    <x v="1244"/>
    <n v="105"/>
  </r>
  <r>
    <x v="10"/>
    <x v="3"/>
    <s v="Caramel Stuffed Bars"/>
    <d v="2023-01-31T00:00:00"/>
    <x v="1245"/>
    <x v="1245"/>
    <n v="219"/>
  </r>
  <r>
    <x v="19"/>
    <x v="3"/>
    <s v="Organic Choco Syrup"/>
    <d v="2023-03-04T00:00:00"/>
    <x v="1246"/>
    <x v="1246"/>
    <n v="39"/>
  </r>
  <r>
    <x v="8"/>
    <x v="3"/>
    <s v="After Nines"/>
    <d v="2023-04-19T00:00:00"/>
    <x v="1247"/>
    <x v="1247"/>
    <n v="81"/>
  </r>
  <r>
    <x v="12"/>
    <x v="0"/>
    <s v="Almond Choco"/>
    <d v="2023-05-16T00:00:00"/>
    <x v="1248"/>
    <x v="1248"/>
    <n v="101"/>
  </r>
  <r>
    <x v="4"/>
    <x v="2"/>
    <s v="Raspberry Choco"/>
    <d v="2023-02-17T00:00:00"/>
    <x v="1249"/>
    <x v="1249"/>
    <n v="126"/>
  </r>
  <r>
    <x v="17"/>
    <x v="4"/>
    <s v="Raspberry Choco"/>
    <d v="2023-01-18T00:00:00"/>
    <x v="1250"/>
    <x v="1250"/>
    <n v="264"/>
  </r>
  <r>
    <x v="13"/>
    <x v="5"/>
    <s v="Orange Choco"/>
    <d v="2023-02-09T00:00:00"/>
    <x v="1251"/>
    <x v="1251"/>
    <n v="88"/>
  </r>
  <r>
    <x v="9"/>
    <x v="5"/>
    <s v="Orange Choco"/>
    <d v="2023-03-23T00:00:00"/>
    <x v="1252"/>
    <x v="1252"/>
    <n v="179"/>
  </r>
  <r>
    <x v="22"/>
    <x v="3"/>
    <s v="Caramel Stuffed Bars"/>
    <d v="2023-02-01T00:00:00"/>
    <x v="1253"/>
    <x v="1253"/>
    <n v="150"/>
  </r>
  <r>
    <x v="9"/>
    <x v="1"/>
    <s v="Drinking Coco"/>
    <d v="2023-03-07T00:00:00"/>
    <x v="1254"/>
    <x v="1254"/>
    <n v="146"/>
  </r>
  <r>
    <x v="24"/>
    <x v="0"/>
    <s v="White Choc"/>
    <d v="2023-01-03T00:00:00"/>
    <x v="1255"/>
    <x v="1255"/>
    <n v="237"/>
  </r>
  <r>
    <x v="24"/>
    <x v="4"/>
    <s v="White Choc"/>
    <d v="2023-02-11T00:00:00"/>
    <x v="1256"/>
    <x v="1256"/>
    <n v="349"/>
  </r>
  <r>
    <x v="17"/>
    <x v="3"/>
    <s v="Orange Choco"/>
    <d v="2023-03-16T00:00:00"/>
    <x v="1257"/>
    <x v="1257"/>
    <n v="144"/>
  </r>
  <r>
    <x v="23"/>
    <x v="1"/>
    <s v="White Choc"/>
    <d v="2023-08-15T00:00:00"/>
    <x v="1258"/>
    <x v="1258"/>
    <n v="337"/>
  </r>
  <r>
    <x v="2"/>
    <x v="1"/>
    <s v="Manuka Honey Choco"/>
    <d v="2023-05-12T00:00:00"/>
    <x v="1259"/>
    <x v="1259"/>
    <n v="76"/>
  </r>
  <r>
    <x v="1"/>
    <x v="1"/>
    <s v="Spicy Special Slims"/>
    <d v="2023-04-11T00:00:00"/>
    <x v="1260"/>
    <x v="1260"/>
    <n v="4"/>
  </r>
  <r>
    <x v="3"/>
    <x v="3"/>
    <s v="Mint Chip Choco"/>
    <d v="2023-06-30T00:00:00"/>
    <x v="1261"/>
    <x v="1261"/>
    <n v="297"/>
  </r>
  <r>
    <x v="23"/>
    <x v="3"/>
    <s v="White Choc"/>
    <d v="2023-06-15T00:00:00"/>
    <x v="1262"/>
    <x v="1262"/>
    <n v="62"/>
  </r>
  <r>
    <x v="7"/>
    <x v="5"/>
    <s v="Caramel Stuffed Bars"/>
    <d v="2023-08-01T00:00:00"/>
    <x v="1263"/>
    <x v="1263"/>
    <n v="100"/>
  </r>
  <r>
    <x v="16"/>
    <x v="4"/>
    <s v="Milk Bars"/>
    <d v="2023-06-15T00:00:00"/>
    <x v="1264"/>
    <x v="1264"/>
    <n v="58"/>
  </r>
  <r>
    <x v="6"/>
    <x v="1"/>
    <s v="After Nines"/>
    <d v="2023-06-16T00:00:00"/>
    <x v="1265"/>
    <x v="1265"/>
    <n v="49"/>
  </r>
  <r>
    <x v="4"/>
    <x v="3"/>
    <s v="Raspberry Choco"/>
    <d v="2023-05-13T00:00:00"/>
    <x v="1266"/>
    <x v="1266"/>
    <n v="288"/>
  </r>
  <r>
    <x v="17"/>
    <x v="4"/>
    <s v="Drinking Coco"/>
    <d v="2023-05-10T00:00:00"/>
    <x v="1267"/>
    <x v="1267"/>
    <n v="139"/>
  </r>
  <r>
    <x v="4"/>
    <x v="1"/>
    <s v="Eclairs"/>
    <d v="2023-08-25T00:00:00"/>
    <x v="1268"/>
    <x v="1268"/>
    <n v="337"/>
  </r>
  <r>
    <x v="24"/>
    <x v="3"/>
    <s v="Organic Choco Syrup"/>
    <d v="2023-07-15T00:00:00"/>
    <x v="1269"/>
    <x v="1269"/>
    <n v="86"/>
  </r>
  <r>
    <x v="2"/>
    <x v="0"/>
    <s v="Baker's Choco Chips"/>
    <d v="2023-05-16T00:00:00"/>
    <x v="1270"/>
    <x v="1270"/>
    <n v="400"/>
  </r>
  <r>
    <x v="3"/>
    <x v="2"/>
    <s v="50% Dark Bites"/>
    <d v="2023-06-14T00:00:00"/>
    <x v="1271"/>
    <x v="1271"/>
    <n v="186"/>
  </r>
  <r>
    <x v="12"/>
    <x v="2"/>
    <s v="Smooth Sliky Salty"/>
    <d v="2023-01-25T00:00:00"/>
    <x v="1272"/>
    <x v="1272"/>
    <n v="506"/>
  </r>
  <r>
    <x v="24"/>
    <x v="4"/>
    <s v="Organic Choco Syrup"/>
    <d v="2023-07-28T00:00:00"/>
    <x v="1273"/>
    <x v="1273"/>
    <n v="13"/>
  </r>
  <r>
    <x v="6"/>
    <x v="5"/>
    <s v="Mint Chip Choco"/>
    <d v="2023-01-28T00:00:00"/>
    <x v="1274"/>
    <x v="1274"/>
    <n v="179"/>
  </r>
  <r>
    <x v="16"/>
    <x v="0"/>
    <s v="Orange Choco"/>
    <d v="2023-06-29T00:00:00"/>
    <x v="1275"/>
    <x v="1275"/>
    <n v="186"/>
  </r>
  <r>
    <x v="10"/>
    <x v="2"/>
    <s v="70% Dark Bites"/>
    <d v="2023-06-24T00:00:00"/>
    <x v="1276"/>
    <x v="1276"/>
    <n v="311"/>
  </r>
  <r>
    <x v="5"/>
    <x v="5"/>
    <s v="Mint Chip Choco"/>
    <d v="2023-07-01T00:00:00"/>
    <x v="1277"/>
    <x v="1277"/>
    <n v="445"/>
  </r>
  <r>
    <x v="13"/>
    <x v="4"/>
    <s v="Peanut Butter Cubes"/>
    <d v="2023-02-25T00:00:00"/>
    <x v="1278"/>
    <x v="1278"/>
    <n v="135"/>
  </r>
  <r>
    <x v="14"/>
    <x v="5"/>
    <s v="Smooth Sliky Salty"/>
    <d v="2023-08-01T00:00:00"/>
    <x v="1279"/>
    <x v="1279"/>
    <n v="12"/>
  </r>
  <r>
    <x v="4"/>
    <x v="2"/>
    <s v="Milk Bars"/>
    <d v="2023-06-21T00:00:00"/>
    <x v="1280"/>
    <x v="1280"/>
    <n v="276"/>
  </r>
  <r>
    <x v="21"/>
    <x v="3"/>
    <s v="Spicy Special Slims"/>
    <d v="2023-01-25T00:00:00"/>
    <x v="1281"/>
    <x v="1281"/>
    <n v="26"/>
  </r>
  <r>
    <x v="2"/>
    <x v="0"/>
    <s v="Milk Bars"/>
    <d v="2023-05-17T00:00:00"/>
    <x v="1282"/>
    <x v="1282"/>
    <n v="231"/>
  </r>
  <r>
    <x v="19"/>
    <x v="2"/>
    <s v="85% Dark Bars"/>
    <d v="2023-08-23T00:00:00"/>
    <x v="1283"/>
    <x v="1283"/>
    <n v="240"/>
  </r>
  <r>
    <x v="21"/>
    <x v="2"/>
    <s v="Smooth Sliky Salty"/>
    <d v="2023-03-03T00:00:00"/>
    <x v="1284"/>
    <x v="1284"/>
    <n v="125"/>
  </r>
  <r>
    <x v="13"/>
    <x v="1"/>
    <s v="Caramel Stuffed Bars"/>
    <d v="2023-05-30T00:00:00"/>
    <x v="1285"/>
    <x v="1285"/>
    <n v="562"/>
  </r>
  <r>
    <x v="10"/>
    <x v="4"/>
    <s v="Drinking Coco"/>
    <d v="2023-06-29T00:00:00"/>
    <x v="1286"/>
    <x v="1286"/>
    <n v="231"/>
  </r>
  <r>
    <x v="19"/>
    <x v="5"/>
    <s v="Organic Choco Syrup"/>
    <d v="2023-01-04T00:00:00"/>
    <x v="1287"/>
    <x v="1287"/>
    <n v="214"/>
  </r>
  <r>
    <x v="0"/>
    <x v="2"/>
    <s v="Drinking Coco"/>
    <d v="2023-01-14T00:00:00"/>
    <x v="1288"/>
    <x v="1288"/>
    <n v="68"/>
  </r>
  <r>
    <x v="10"/>
    <x v="4"/>
    <s v="Mint Chip Choco"/>
    <d v="2023-02-15T00:00:00"/>
    <x v="1289"/>
    <x v="1289"/>
    <n v="58"/>
  </r>
  <r>
    <x v="14"/>
    <x v="3"/>
    <s v="Spicy Special Slims"/>
    <d v="2023-01-10T00:00:00"/>
    <x v="1290"/>
    <x v="1290"/>
    <n v="513"/>
  </r>
  <r>
    <x v="22"/>
    <x v="4"/>
    <s v="White Choc"/>
    <d v="2023-05-04T00:00:00"/>
    <x v="1291"/>
    <x v="1291"/>
    <n v="226"/>
  </r>
  <r>
    <x v="19"/>
    <x v="4"/>
    <s v="Spicy Special Slims"/>
    <d v="2023-05-23T00:00:00"/>
    <x v="1292"/>
    <x v="1292"/>
    <n v="5"/>
  </r>
  <r>
    <x v="8"/>
    <x v="3"/>
    <s v="Fruit &amp; Nut Bars"/>
    <d v="2023-04-26T00:00:00"/>
    <x v="1293"/>
    <x v="1293"/>
    <n v="159"/>
  </r>
  <r>
    <x v="4"/>
    <x v="5"/>
    <s v="Organic Choco Syrup"/>
    <d v="2023-07-05T00:00:00"/>
    <x v="1294"/>
    <x v="1294"/>
    <n v="71"/>
  </r>
  <r>
    <x v="22"/>
    <x v="0"/>
    <s v="Organic Choco Syrup"/>
    <d v="2023-07-21T00:00:00"/>
    <x v="1295"/>
    <x v="1295"/>
    <n v="179"/>
  </r>
  <r>
    <x v="23"/>
    <x v="4"/>
    <s v="Mint Chip Choco"/>
    <d v="2023-02-21T00:00:00"/>
    <x v="1296"/>
    <x v="1296"/>
    <n v="261"/>
  </r>
  <r>
    <x v="20"/>
    <x v="4"/>
    <s v="Orange Choco"/>
    <d v="2023-02-03T00:00:00"/>
    <x v="1297"/>
    <x v="1297"/>
    <n v="133"/>
  </r>
  <r>
    <x v="2"/>
    <x v="2"/>
    <s v="Caramel Stuffed Bars"/>
    <d v="2023-07-08T00:00:00"/>
    <x v="1298"/>
    <x v="1298"/>
    <n v="147"/>
  </r>
  <r>
    <x v="9"/>
    <x v="1"/>
    <s v="50% Dark Bites"/>
    <d v="2023-05-31T00:00:00"/>
    <x v="1299"/>
    <x v="1299"/>
    <n v="147"/>
  </r>
  <r>
    <x v="1"/>
    <x v="3"/>
    <s v="Mint Chip Choco"/>
    <d v="2023-06-27T00:00:00"/>
    <x v="1300"/>
    <x v="1300"/>
    <n v="103"/>
  </r>
  <r>
    <x v="1"/>
    <x v="1"/>
    <s v="50% Dark Bites"/>
    <d v="2023-05-13T00:00:00"/>
    <x v="1301"/>
    <x v="1301"/>
    <n v="123"/>
  </r>
  <r>
    <x v="1"/>
    <x v="4"/>
    <s v="Manuka Honey Choco"/>
    <d v="2023-05-31T00:00:00"/>
    <x v="1302"/>
    <x v="1302"/>
    <n v="110"/>
  </r>
  <r>
    <x v="18"/>
    <x v="4"/>
    <s v="Orange Choco"/>
    <d v="2023-02-28T00:00:00"/>
    <x v="1303"/>
    <x v="1303"/>
    <n v="38"/>
  </r>
  <r>
    <x v="8"/>
    <x v="3"/>
    <s v="Eclairs"/>
    <d v="2023-03-28T00:00:00"/>
    <x v="1304"/>
    <x v="1304"/>
    <n v="32"/>
  </r>
  <r>
    <x v="2"/>
    <x v="4"/>
    <s v="After Nines"/>
    <d v="2023-01-14T00:00:00"/>
    <x v="1305"/>
    <x v="1305"/>
    <n v="243"/>
  </r>
  <r>
    <x v="8"/>
    <x v="3"/>
    <s v="Mint Chip Choco"/>
    <d v="2023-02-21T00:00:00"/>
    <x v="1306"/>
    <x v="1306"/>
    <n v="147"/>
  </r>
  <r>
    <x v="17"/>
    <x v="5"/>
    <s v="85% Dark Bars"/>
    <d v="2023-08-01T00:00:00"/>
    <x v="1307"/>
    <x v="1307"/>
    <n v="89"/>
  </r>
  <r>
    <x v="12"/>
    <x v="3"/>
    <s v="Smooth Sliky Salty"/>
    <d v="2023-05-19T00:00:00"/>
    <x v="1308"/>
    <x v="1308"/>
    <n v="58"/>
  </r>
  <r>
    <x v="15"/>
    <x v="4"/>
    <s v="White Choc"/>
    <d v="2023-07-13T00:00:00"/>
    <x v="1309"/>
    <x v="1309"/>
    <n v="59"/>
  </r>
  <r>
    <x v="19"/>
    <x v="2"/>
    <s v="Peanut Butter Cubes"/>
    <d v="2023-04-20T00:00:00"/>
    <x v="1310"/>
    <x v="1310"/>
    <n v="150"/>
  </r>
  <r>
    <x v="17"/>
    <x v="1"/>
    <s v="85% Dark Bars"/>
    <d v="2023-06-30T00:00:00"/>
    <x v="1311"/>
    <x v="1311"/>
    <n v="21"/>
  </r>
  <r>
    <x v="14"/>
    <x v="0"/>
    <s v="50% Dark Bites"/>
    <d v="2023-03-08T00:00:00"/>
    <x v="1312"/>
    <x v="1312"/>
    <n v="142"/>
  </r>
  <r>
    <x v="5"/>
    <x v="4"/>
    <s v="Fruit &amp; Nut Bars"/>
    <d v="2023-03-09T00:00:00"/>
    <x v="1313"/>
    <x v="1313"/>
    <n v="99"/>
  </r>
  <r>
    <x v="4"/>
    <x v="5"/>
    <s v="Raspberry Choco"/>
    <d v="2023-06-16T00:00:00"/>
    <x v="1314"/>
    <x v="1314"/>
    <n v="217"/>
  </r>
  <r>
    <x v="2"/>
    <x v="0"/>
    <s v="Drinking Coco"/>
    <d v="2023-06-30T00:00:00"/>
    <x v="1315"/>
    <x v="1315"/>
    <n v="43"/>
  </r>
  <r>
    <x v="20"/>
    <x v="1"/>
    <s v="Mint Chip Choco"/>
    <d v="2023-07-28T00:00:00"/>
    <x v="1316"/>
    <x v="1316"/>
    <n v="129"/>
  </r>
  <r>
    <x v="10"/>
    <x v="5"/>
    <s v="Peanut Butter Cubes"/>
    <d v="2023-08-12T00:00:00"/>
    <x v="1317"/>
    <x v="1317"/>
    <n v="170"/>
  </r>
  <r>
    <x v="8"/>
    <x v="0"/>
    <s v="Mint Chip Choco"/>
    <d v="2023-07-07T00:00:00"/>
    <x v="1318"/>
    <x v="1318"/>
    <n v="332"/>
  </r>
  <r>
    <x v="8"/>
    <x v="4"/>
    <s v="85% Dark Bars"/>
    <d v="2023-08-25T00:00:00"/>
    <x v="1319"/>
    <x v="1319"/>
    <n v="45"/>
  </r>
  <r>
    <x v="15"/>
    <x v="5"/>
    <s v="Eclairs"/>
    <d v="2023-01-17T00:00:00"/>
    <x v="1320"/>
    <x v="1320"/>
    <n v="255"/>
  </r>
  <r>
    <x v="3"/>
    <x v="2"/>
    <s v="70% Dark Bites"/>
    <d v="2023-03-04T00:00:00"/>
    <x v="1321"/>
    <x v="1321"/>
    <n v="396"/>
  </r>
  <r>
    <x v="11"/>
    <x v="3"/>
    <s v="Fruit &amp; Nut Bars"/>
    <d v="2023-08-25T00:00:00"/>
    <x v="1322"/>
    <x v="1322"/>
    <n v="4"/>
  </r>
  <r>
    <x v="24"/>
    <x v="0"/>
    <s v="Peanut Butter Cubes"/>
    <d v="2023-04-15T00:00:00"/>
    <x v="1323"/>
    <x v="1323"/>
    <n v="272"/>
  </r>
  <r>
    <x v="16"/>
    <x v="4"/>
    <s v="Organic Choco Syrup"/>
    <d v="2023-03-11T00:00:00"/>
    <x v="1324"/>
    <x v="1324"/>
    <n v="24"/>
  </r>
  <r>
    <x v="21"/>
    <x v="4"/>
    <s v="Raspberry Choco"/>
    <d v="2023-05-20T00:00:00"/>
    <x v="1325"/>
    <x v="1325"/>
    <n v="18"/>
  </r>
  <r>
    <x v="6"/>
    <x v="3"/>
    <s v="Manuka Honey Choco"/>
    <d v="2023-06-14T00:00:00"/>
    <x v="1326"/>
    <x v="1326"/>
    <n v="44"/>
  </r>
  <r>
    <x v="0"/>
    <x v="3"/>
    <s v="After Nines"/>
    <d v="2023-04-14T00:00:00"/>
    <x v="1327"/>
    <x v="1327"/>
    <n v="71"/>
  </r>
  <r>
    <x v="0"/>
    <x v="4"/>
    <s v="Smooth Sliky Salty"/>
    <d v="2023-07-07T00:00:00"/>
    <x v="1328"/>
    <x v="1328"/>
    <n v="151"/>
  </r>
  <r>
    <x v="22"/>
    <x v="1"/>
    <s v="Mint Chip Choco"/>
    <d v="2023-08-24T00:00:00"/>
    <x v="1329"/>
    <x v="1329"/>
    <n v="75"/>
  </r>
  <r>
    <x v="0"/>
    <x v="1"/>
    <s v="Eclairs"/>
    <d v="2023-02-24T00:00:00"/>
    <x v="1330"/>
    <x v="1330"/>
    <n v="134"/>
  </r>
  <r>
    <x v="10"/>
    <x v="5"/>
    <s v="Raspberry Choco"/>
    <d v="2023-05-09T00:00:00"/>
    <x v="1331"/>
    <x v="1331"/>
    <n v="213"/>
  </r>
  <r>
    <x v="16"/>
    <x v="2"/>
    <s v="70% Dark Bites"/>
    <d v="2023-02-08T00:00:00"/>
    <x v="1332"/>
    <x v="1332"/>
    <n v="227"/>
  </r>
  <r>
    <x v="13"/>
    <x v="0"/>
    <s v="70% Dark Bites"/>
    <d v="2023-03-24T00:00:00"/>
    <x v="1333"/>
    <x v="1333"/>
    <n v="305"/>
  </r>
  <r>
    <x v="7"/>
    <x v="4"/>
    <s v="Drinking Coco"/>
    <d v="2023-06-20T00:00:00"/>
    <x v="1334"/>
    <x v="1334"/>
    <n v="79"/>
  </r>
  <r>
    <x v="9"/>
    <x v="5"/>
    <s v="Manuka Honey Choco"/>
    <d v="2023-03-07T00:00:00"/>
    <x v="1335"/>
    <x v="1335"/>
    <n v="122"/>
  </r>
  <r>
    <x v="16"/>
    <x v="2"/>
    <s v="Fruit &amp; Nut Bars"/>
    <d v="2023-06-20T00:00:00"/>
    <x v="1336"/>
    <x v="1336"/>
    <n v="83"/>
  </r>
  <r>
    <x v="4"/>
    <x v="3"/>
    <s v="Organic Choco Syrup"/>
    <d v="2023-02-17T00:00:00"/>
    <x v="1337"/>
    <x v="1337"/>
    <n v="261"/>
  </r>
  <r>
    <x v="22"/>
    <x v="0"/>
    <s v="99% Dark &amp; Pure"/>
    <d v="2023-01-26T00:00:00"/>
    <x v="1338"/>
    <x v="1338"/>
    <n v="45"/>
  </r>
  <r>
    <x v="22"/>
    <x v="2"/>
    <s v="Mint Chip Choco"/>
    <d v="2023-05-02T00:00:00"/>
    <x v="1339"/>
    <x v="1339"/>
    <n v="148"/>
  </r>
  <r>
    <x v="14"/>
    <x v="5"/>
    <s v="99% Dark &amp; Pure"/>
    <d v="2023-07-07T00:00:00"/>
    <x v="1340"/>
    <x v="1340"/>
    <n v="7"/>
  </r>
  <r>
    <x v="7"/>
    <x v="2"/>
    <s v="Baker's Choco Chips"/>
    <d v="2023-08-22T00:00:00"/>
    <x v="1341"/>
    <x v="1341"/>
    <n v="50"/>
  </r>
  <r>
    <x v="10"/>
    <x v="2"/>
    <s v="After Nines"/>
    <d v="2023-08-11T00:00:00"/>
    <x v="1342"/>
    <x v="1342"/>
    <n v="65"/>
  </r>
  <r>
    <x v="11"/>
    <x v="0"/>
    <s v="99% Dark &amp; Pure"/>
    <d v="2023-01-13T00:00:00"/>
    <x v="1343"/>
    <x v="1343"/>
    <n v="209"/>
  </r>
  <r>
    <x v="5"/>
    <x v="2"/>
    <s v="50% Dark Bites"/>
    <d v="2023-03-02T00:00:00"/>
    <x v="1344"/>
    <x v="1344"/>
    <n v="111"/>
  </r>
  <r>
    <x v="11"/>
    <x v="2"/>
    <s v="Choco Coated Almonds"/>
    <d v="2023-07-27T00:00:00"/>
    <x v="1345"/>
    <x v="1345"/>
    <n v="41"/>
  </r>
  <r>
    <x v="20"/>
    <x v="3"/>
    <s v="Drinking Coco"/>
    <d v="2023-03-10T00:00:00"/>
    <x v="1346"/>
    <x v="1346"/>
    <n v="110"/>
  </r>
  <r>
    <x v="12"/>
    <x v="4"/>
    <s v="85% Dark Bars"/>
    <d v="2023-08-23T00:00:00"/>
    <x v="1347"/>
    <x v="1347"/>
    <n v="360"/>
  </r>
  <r>
    <x v="13"/>
    <x v="4"/>
    <s v="Eclairs"/>
    <d v="2023-04-25T00:00:00"/>
    <x v="1348"/>
    <x v="1348"/>
    <n v="167"/>
  </r>
  <r>
    <x v="17"/>
    <x v="0"/>
    <s v="Milk Bars"/>
    <d v="2023-03-07T00:00:00"/>
    <x v="1349"/>
    <x v="1349"/>
    <n v="436"/>
  </r>
  <r>
    <x v="18"/>
    <x v="0"/>
    <s v="Organic Choco Syrup"/>
    <d v="2023-07-12T00:00:00"/>
    <x v="1350"/>
    <x v="1350"/>
    <n v="56"/>
  </r>
  <r>
    <x v="22"/>
    <x v="4"/>
    <s v="Orange Choco"/>
    <d v="2023-05-16T00:00:00"/>
    <x v="1351"/>
    <x v="1351"/>
    <n v="132"/>
  </r>
  <r>
    <x v="5"/>
    <x v="1"/>
    <s v="Smooth Sliky Salty"/>
    <d v="2023-03-02T00:00:00"/>
    <x v="1352"/>
    <x v="1352"/>
    <n v="70"/>
  </r>
  <r>
    <x v="11"/>
    <x v="3"/>
    <s v="85% Dark Bars"/>
    <d v="2023-05-30T00:00:00"/>
    <x v="1353"/>
    <x v="1353"/>
    <n v="163"/>
  </r>
  <r>
    <x v="11"/>
    <x v="0"/>
    <s v="Manuka Honey Choco"/>
    <d v="2023-06-10T00:00:00"/>
    <x v="1354"/>
    <x v="1354"/>
    <n v="177"/>
  </r>
  <r>
    <x v="6"/>
    <x v="4"/>
    <s v="99% Dark &amp; Pure"/>
    <d v="2023-07-25T00:00:00"/>
    <x v="1355"/>
    <x v="1355"/>
    <n v="339"/>
  </r>
  <r>
    <x v="12"/>
    <x v="3"/>
    <s v="Mint Chip Choco"/>
    <d v="2023-06-09T00:00:00"/>
    <x v="1356"/>
    <x v="1356"/>
    <n v="102"/>
  </r>
  <r>
    <x v="17"/>
    <x v="4"/>
    <s v="Milk Bars"/>
    <d v="2023-05-12T00:00:00"/>
    <x v="1357"/>
    <x v="1357"/>
    <n v="58"/>
  </r>
  <r>
    <x v="5"/>
    <x v="4"/>
    <s v="Drinking Coco"/>
    <d v="2023-05-09T00:00:00"/>
    <x v="1358"/>
    <x v="1358"/>
    <n v="5"/>
  </r>
  <r>
    <x v="6"/>
    <x v="5"/>
    <s v="Manuka Honey Choco"/>
    <d v="2023-08-09T00:00:00"/>
    <x v="1359"/>
    <x v="1359"/>
    <n v="179"/>
  </r>
  <r>
    <x v="1"/>
    <x v="1"/>
    <s v="Choco Coated Almonds"/>
    <d v="2023-04-13T00:00:00"/>
    <x v="1360"/>
    <x v="1360"/>
    <n v="125"/>
  </r>
  <r>
    <x v="19"/>
    <x v="4"/>
    <s v="Caramel Stuffed Bars"/>
    <d v="2023-05-02T00:00:00"/>
    <x v="1361"/>
    <x v="1361"/>
    <n v="48"/>
  </r>
  <r>
    <x v="23"/>
    <x v="4"/>
    <s v="99% Dark &amp; Pure"/>
    <d v="2023-08-09T00:00:00"/>
    <x v="1362"/>
    <x v="1362"/>
    <n v="315"/>
  </r>
  <r>
    <x v="21"/>
    <x v="2"/>
    <s v="Raspberry Choco"/>
    <d v="2023-08-23T00:00:00"/>
    <x v="1363"/>
    <x v="1363"/>
    <n v="174"/>
  </r>
  <r>
    <x v="5"/>
    <x v="1"/>
    <s v="Spicy Special Slims"/>
    <d v="2023-05-13T00:00:00"/>
    <x v="1364"/>
    <x v="1364"/>
    <n v="179"/>
  </r>
  <r>
    <x v="10"/>
    <x v="4"/>
    <s v="Manuka Honey Choco"/>
    <d v="2023-02-01T00:00:00"/>
    <x v="1365"/>
    <x v="1365"/>
    <n v="73"/>
  </r>
  <r>
    <x v="21"/>
    <x v="4"/>
    <s v="50% Dark Bites"/>
    <d v="2023-06-23T00:00:00"/>
    <x v="1366"/>
    <x v="1366"/>
    <n v="324"/>
  </r>
  <r>
    <x v="22"/>
    <x v="0"/>
    <s v="Choco Coated Almonds"/>
    <d v="2023-05-24T00:00:00"/>
    <x v="1367"/>
    <x v="1367"/>
    <n v="144"/>
  </r>
  <r>
    <x v="3"/>
    <x v="5"/>
    <s v="Mint Chip Choco"/>
    <d v="2023-04-01T00:00:00"/>
    <x v="1368"/>
    <x v="1368"/>
    <n v="217"/>
  </r>
  <r>
    <x v="21"/>
    <x v="5"/>
    <s v="70% Dark Bites"/>
    <d v="2023-07-27T00:00:00"/>
    <x v="1369"/>
    <x v="1369"/>
    <n v="151"/>
  </r>
  <r>
    <x v="24"/>
    <x v="1"/>
    <s v="Peanut Butter Cubes"/>
    <d v="2023-01-27T00:00:00"/>
    <x v="1370"/>
    <x v="1370"/>
    <n v="210"/>
  </r>
  <r>
    <x v="3"/>
    <x v="1"/>
    <s v="Choco Coated Almonds"/>
    <d v="2023-08-12T00:00:00"/>
    <x v="1371"/>
    <x v="1371"/>
    <n v="143"/>
  </r>
  <r>
    <x v="2"/>
    <x v="5"/>
    <s v="Almond Choco"/>
    <d v="2023-02-01T00:00:00"/>
    <x v="1372"/>
    <x v="1372"/>
    <n v="49"/>
  </r>
  <r>
    <x v="7"/>
    <x v="1"/>
    <s v="After Nines"/>
    <d v="2023-03-02T00:00:00"/>
    <x v="1373"/>
    <x v="1373"/>
    <n v="203"/>
  </r>
  <r>
    <x v="20"/>
    <x v="2"/>
    <s v="99% Dark &amp; Pure"/>
    <d v="2023-06-30T00:00:00"/>
    <x v="1374"/>
    <x v="1374"/>
    <n v="32"/>
  </r>
  <r>
    <x v="23"/>
    <x v="2"/>
    <s v="Spicy Special Slims"/>
    <d v="2023-01-17T00:00:00"/>
    <x v="1375"/>
    <x v="1375"/>
    <n v="92"/>
  </r>
  <r>
    <x v="6"/>
    <x v="4"/>
    <s v="Milk Bars"/>
    <d v="2023-07-07T00:00:00"/>
    <x v="1376"/>
    <x v="1376"/>
    <n v="124"/>
  </r>
  <r>
    <x v="9"/>
    <x v="3"/>
    <s v="Mint Chip Choco"/>
    <d v="2023-01-31T00:00:00"/>
    <x v="1377"/>
    <x v="1377"/>
    <n v="109"/>
  </r>
  <r>
    <x v="12"/>
    <x v="0"/>
    <s v="99% Dark &amp; Pure"/>
    <d v="2023-08-10T00:00:00"/>
    <x v="1378"/>
    <x v="1378"/>
    <n v="131"/>
  </r>
  <r>
    <x v="12"/>
    <x v="4"/>
    <s v="Peanut Butter Cubes"/>
    <d v="2023-08-18T00:00:00"/>
    <x v="1379"/>
    <x v="1379"/>
    <n v="329"/>
  </r>
  <r>
    <x v="6"/>
    <x v="3"/>
    <s v="White Choc"/>
    <d v="2023-06-15T00:00:00"/>
    <x v="1380"/>
    <x v="1380"/>
    <n v="325"/>
  </r>
  <r>
    <x v="11"/>
    <x v="4"/>
    <s v="Baker's Choco Chips"/>
    <d v="2023-01-26T00:00:00"/>
    <x v="1381"/>
    <x v="1381"/>
    <n v="10"/>
  </r>
  <r>
    <x v="20"/>
    <x v="4"/>
    <s v="Spicy Special Slims"/>
    <d v="2023-04-29T00:00:00"/>
    <x v="1382"/>
    <x v="1382"/>
    <n v="69"/>
  </r>
  <r>
    <x v="9"/>
    <x v="5"/>
    <s v="White Choc"/>
    <d v="2023-03-03T00:00:00"/>
    <x v="1383"/>
    <x v="1383"/>
    <n v="74"/>
  </r>
  <r>
    <x v="16"/>
    <x v="2"/>
    <s v="Almond Choco"/>
    <d v="2023-02-22T00:00:00"/>
    <x v="1384"/>
    <x v="1384"/>
    <n v="375"/>
  </r>
  <r>
    <x v="4"/>
    <x v="4"/>
    <s v="Smooth Sliky Salty"/>
    <d v="2023-03-04T00:00:00"/>
    <x v="1385"/>
    <x v="1385"/>
    <n v="169"/>
  </r>
  <r>
    <x v="17"/>
    <x v="1"/>
    <s v="Smooth Sliky Salty"/>
    <d v="2023-07-07T00:00:00"/>
    <x v="1386"/>
    <x v="1386"/>
    <n v="10"/>
  </r>
  <r>
    <x v="21"/>
    <x v="3"/>
    <s v="Caramel Stuffed Bars"/>
    <d v="2023-06-17T00:00:00"/>
    <x v="1387"/>
    <x v="1387"/>
    <n v="364"/>
  </r>
  <r>
    <x v="3"/>
    <x v="5"/>
    <s v="Caramel Stuffed Bars"/>
    <d v="2023-08-02T00:00:00"/>
    <x v="1388"/>
    <x v="1388"/>
    <n v="124"/>
  </r>
  <r>
    <x v="4"/>
    <x v="4"/>
    <s v="Baker's Choco Chips"/>
    <d v="2023-08-12T00:00:00"/>
    <x v="1389"/>
    <x v="1389"/>
    <n v="123"/>
  </r>
  <r>
    <x v="22"/>
    <x v="3"/>
    <s v="Peanut Butter Cubes"/>
    <d v="2023-01-28T00:00:00"/>
    <x v="1390"/>
    <x v="1390"/>
    <n v="340"/>
  </r>
  <r>
    <x v="20"/>
    <x v="2"/>
    <s v="Orange Choco"/>
    <d v="2023-04-29T00:00:00"/>
    <x v="1391"/>
    <x v="1391"/>
    <n v="462"/>
  </r>
  <r>
    <x v="11"/>
    <x v="2"/>
    <s v="Manuka Honey Choco"/>
    <d v="2023-04-05T00:00:00"/>
    <x v="1392"/>
    <x v="1392"/>
    <n v="238"/>
  </r>
  <r>
    <x v="16"/>
    <x v="5"/>
    <s v="Manuka Honey Choco"/>
    <d v="2023-01-18T00:00:00"/>
    <x v="1393"/>
    <x v="1393"/>
    <n v="146"/>
  </r>
  <r>
    <x v="0"/>
    <x v="0"/>
    <s v="Baker's Choco Chips"/>
    <d v="2023-05-16T00:00:00"/>
    <x v="1394"/>
    <x v="1394"/>
    <n v="104"/>
  </r>
  <r>
    <x v="20"/>
    <x v="2"/>
    <s v="White Choc"/>
    <d v="2023-08-24T00:00:00"/>
    <x v="1395"/>
    <x v="1395"/>
    <n v="177"/>
  </r>
  <r>
    <x v="14"/>
    <x v="1"/>
    <s v="85% Dark Bars"/>
    <d v="2023-01-18T00:00:00"/>
    <x v="1396"/>
    <x v="1396"/>
    <n v="399"/>
  </r>
  <r>
    <x v="16"/>
    <x v="4"/>
    <s v="Eclairs"/>
    <d v="2023-08-22T00:00:00"/>
    <x v="1397"/>
    <x v="1397"/>
    <n v="10"/>
  </r>
  <r>
    <x v="5"/>
    <x v="0"/>
    <s v="99% Dark &amp; Pure"/>
    <d v="2023-03-07T00:00:00"/>
    <x v="1398"/>
    <x v="1398"/>
    <n v="85"/>
  </r>
  <r>
    <x v="12"/>
    <x v="0"/>
    <s v="Choco Coated Almonds"/>
    <d v="2023-03-04T00:00:00"/>
    <x v="1399"/>
    <x v="1399"/>
    <n v="66"/>
  </r>
  <r>
    <x v="23"/>
    <x v="5"/>
    <s v="Manuka Honey Choco"/>
    <d v="2023-04-22T00:00:00"/>
    <x v="1400"/>
    <x v="1400"/>
    <n v="113"/>
  </r>
  <r>
    <x v="16"/>
    <x v="2"/>
    <s v="Milk Bars"/>
    <d v="2023-06-09T00:00:00"/>
    <x v="1401"/>
    <x v="1401"/>
    <n v="91"/>
  </r>
  <r>
    <x v="3"/>
    <x v="5"/>
    <s v="Fruit &amp; Nut Bars"/>
    <d v="2023-07-25T00:00:00"/>
    <x v="1402"/>
    <x v="1402"/>
    <n v="207"/>
  </r>
  <r>
    <x v="3"/>
    <x v="1"/>
    <s v="Smooth Sliky Salty"/>
    <d v="2023-08-03T00:00:00"/>
    <x v="1403"/>
    <x v="1403"/>
    <n v="95"/>
  </r>
  <r>
    <x v="7"/>
    <x v="2"/>
    <s v="Manuka Honey Choco"/>
    <d v="2023-08-03T00:00:00"/>
    <x v="1404"/>
    <x v="1404"/>
    <n v="132"/>
  </r>
  <r>
    <x v="0"/>
    <x v="0"/>
    <s v="Milk Bars"/>
    <d v="2023-05-03T00:00:00"/>
    <x v="1405"/>
    <x v="1405"/>
    <n v="232"/>
  </r>
  <r>
    <x v="15"/>
    <x v="5"/>
    <s v="After Nines"/>
    <d v="2023-01-19T00:00:00"/>
    <x v="1406"/>
    <x v="1406"/>
    <n v="301"/>
  </r>
  <r>
    <x v="13"/>
    <x v="4"/>
    <s v="50% Dark Bites"/>
    <d v="2023-02-11T00:00:00"/>
    <x v="1407"/>
    <x v="1407"/>
    <n v="330"/>
  </r>
  <r>
    <x v="1"/>
    <x v="1"/>
    <s v="Almond Choco"/>
    <d v="2023-06-14T00:00:00"/>
    <x v="1408"/>
    <x v="1408"/>
    <n v="402"/>
  </r>
  <r>
    <x v="20"/>
    <x v="4"/>
    <s v="50% Dark Bites"/>
    <d v="2023-03-23T00:00:00"/>
    <x v="1409"/>
    <x v="1409"/>
    <n v="227"/>
  </r>
  <r>
    <x v="22"/>
    <x v="5"/>
    <s v="85% Dark Bars"/>
    <d v="2023-02-17T00:00:00"/>
    <x v="1410"/>
    <x v="1410"/>
    <n v="108"/>
  </r>
  <r>
    <x v="17"/>
    <x v="5"/>
    <s v="Smooth Sliky Salty"/>
    <d v="2023-03-17T00:00:00"/>
    <x v="1411"/>
    <x v="1411"/>
    <n v="488"/>
  </r>
  <r>
    <x v="9"/>
    <x v="2"/>
    <s v="Spicy Special Slims"/>
    <d v="2023-06-29T00:00:00"/>
    <x v="1412"/>
    <x v="1412"/>
    <n v="287"/>
  </r>
  <r>
    <x v="24"/>
    <x v="5"/>
    <s v="Choco Coated Almonds"/>
    <d v="2023-08-24T00:00:00"/>
    <x v="1413"/>
    <x v="1413"/>
    <n v="268"/>
  </r>
  <r>
    <x v="2"/>
    <x v="5"/>
    <s v="Spicy Special Slims"/>
    <d v="2023-07-04T00:00:00"/>
    <x v="1414"/>
    <x v="1414"/>
    <n v="301"/>
  </r>
  <r>
    <x v="13"/>
    <x v="3"/>
    <s v="Almond Choco"/>
    <d v="2023-03-28T00:00:00"/>
    <x v="1415"/>
    <x v="1415"/>
    <n v="72"/>
  </r>
  <r>
    <x v="14"/>
    <x v="1"/>
    <s v="Smooth Sliky Salty"/>
    <d v="2023-04-19T00:00:00"/>
    <x v="1416"/>
    <x v="1416"/>
    <n v="139"/>
  </r>
  <r>
    <x v="24"/>
    <x v="3"/>
    <s v="Mint Chip Choco"/>
    <d v="2023-01-18T00:00:00"/>
    <x v="1417"/>
    <x v="1417"/>
    <n v="232"/>
  </r>
  <r>
    <x v="1"/>
    <x v="3"/>
    <s v="Fruit &amp; Nut Bars"/>
    <d v="2023-01-17T00:00:00"/>
    <x v="1418"/>
    <x v="1418"/>
    <n v="85"/>
  </r>
  <r>
    <x v="19"/>
    <x v="3"/>
    <s v="Mint Chip Choco"/>
    <d v="2023-02-15T00:00:00"/>
    <x v="1419"/>
    <x v="1419"/>
    <n v="209"/>
  </r>
  <r>
    <x v="19"/>
    <x v="0"/>
    <s v="Milk Bars"/>
    <d v="2023-02-11T00:00:00"/>
    <x v="1420"/>
    <x v="1420"/>
    <n v="314"/>
  </r>
  <r>
    <x v="21"/>
    <x v="4"/>
    <s v="Manuka Honey Choco"/>
    <d v="2023-03-21T00:00:00"/>
    <x v="1421"/>
    <x v="1421"/>
    <n v="184"/>
  </r>
  <r>
    <x v="5"/>
    <x v="3"/>
    <s v="Almond Choco"/>
    <d v="2023-01-05T00:00:00"/>
    <x v="1422"/>
    <x v="1422"/>
    <n v="125"/>
  </r>
  <r>
    <x v="6"/>
    <x v="1"/>
    <s v="Raspberry Choco"/>
    <d v="2023-05-30T00:00:00"/>
    <x v="1423"/>
    <x v="1423"/>
    <n v="157"/>
  </r>
  <r>
    <x v="0"/>
    <x v="4"/>
    <s v="99% Dark &amp; Pure"/>
    <d v="2023-01-04T00:00:00"/>
    <x v="1424"/>
    <x v="1424"/>
    <n v="222"/>
  </r>
  <r>
    <x v="12"/>
    <x v="2"/>
    <s v="Fruit &amp; Nut Bars"/>
    <d v="2023-04-22T00:00:00"/>
    <x v="1425"/>
    <x v="1425"/>
    <n v="269"/>
  </r>
  <r>
    <x v="2"/>
    <x v="5"/>
    <s v="Milk Bars"/>
    <d v="2023-02-10T00:00:00"/>
    <x v="1426"/>
    <x v="1426"/>
    <n v="120"/>
  </r>
  <r>
    <x v="23"/>
    <x v="1"/>
    <s v="Spicy Special Slims"/>
    <d v="2023-08-12T00:00:00"/>
    <x v="1427"/>
    <x v="1427"/>
    <n v="217"/>
  </r>
  <r>
    <x v="5"/>
    <x v="4"/>
    <s v="Organic Choco Syrup"/>
    <d v="2023-08-10T00:00:00"/>
    <x v="1428"/>
    <x v="1428"/>
    <n v="315"/>
  </r>
  <r>
    <x v="20"/>
    <x v="2"/>
    <s v="Raspberry Choco"/>
    <d v="2023-06-07T00:00:00"/>
    <x v="1429"/>
    <x v="1429"/>
    <n v="61"/>
  </r>
  <r>
    <x v="0"/>
    <x v="1"/>
    <s v="Baker's Choco Chips"/>
    <d v="2023-06-06T00:00:00"/>
    <x v="1430"/>
    <x v="1430"/>
    <n v="73"/>
  </r>
  <r>
    <x v="10"/>
    <x v="3"/>
    <s v="Baker's Choco Chips"/>
    <d v="2023-04-05T00:00:00"/>
    <x v="1431"/>
    <x v="1431"/>
    <n v="204"/>
  </r>
  <r>
    <x v="18"/>
    <x v="4"/>
    <s v="50% Dark Bites"/>
    <d v="2023-04-18T00:00:00"/>
    <x v="1432"/>
    <x v="1432"/>
    <n v="125"/>
  </r>
  <r>
    <x v="19"/>
    <x v="1"/>
    <s v="50% Dark Bites"/>
    <d v="2023-01-31T00:00:00"/>
    <x v="1433"/>
    <x v="1433"/>
    <n v="15"/>
  </r>
  <r>
    <x v="22"/>
    <x v="4"/>
    <s v="Baker's Choco Chips"/>
    <d v="2023-08-22T00:00:00"/>
    <x v="1434"/>
    <x v="1434"/>
    <n v="151"/>
  </r>
  <r>
    <x v="0"/>
    <x v="2"/>
    <s v="99% Dark &amp; Pure"/>
    <d v="2023-02-25T00:00:00"/>
    <x v="1435"/>
    <x v="1435"/>
    <n v="204"/>
  </r>
  <r>
    <x v="3"/>
    <x v="2"/>
    <s v="Mint Chip Choco"/>
    <d v="2023-02-22T00:00:00"/>
    <x v="1436"/>
    <x v="1436"/>
    <n v="106"/>
  </r>
  <r>
    <x v="4"/>
    <x v="3"/>
    <s v="Milk Bars"/>
    <d v="2023-01-12T00:00:00"/>
    <x v="1437"/>
    <x v="1437"/>
    <n v="201"/>
  </r>
  <r>
    <x v="6"/>
    <x v="0"/>
    <s v="Almond Choco"/>
    <d v="2023-05-25T00:00:00"/>
    <x v="1438"/>
    <x v="1438"/>
    <n v="129"/>
  </r>
  <r>
    <x v="20"/>
    <x v="1"/>
    <s v="Smooth Sliky Salty"/>
    <d v="2023-02-01T00:00:00"/>
    <x v="1439"/>
    <x v="1439"/>
    <n v="8"/>
  </r>
  <r>
    <x v="7"/>
    <x v="0"/>
    <s v="Eclairs"/>
    <d v="2023-04-27T00:00:00"/>
    <x v="1440"/>
    <x v="1440"/>
    <n v="67"/>
  </r>
  <r>
    <x v="2"/>
    <x v="4"/>
    <s v="Smooth Sliky Salty"/>
    <d v="2023-07-22T00:00:00"/>
    <x v="1441"/>
    <x v="1441"/>
    <n v="129"/>
  </r>
  <r>
    <x v="14"/>
    <x v="3"/>
    <s v="Mint Chip Choco"/>
    <d v="2023-01-26T00:00:00"/>
    <x v="1442"/>
    <x v="1442"/>
    <n v="284"/>
  </r>
  <r>
    <x v="14"/>
    <x v="4"/>
    <s v="Mint Chip Choco"/>
    <d v="2023-08-24T00:00:00"/>
    <x v="1443"/>
    <x v="1443"/>
    <n v="293"/>
  </r>
  <r>
    <x v="22"/>
    <x v="3"/>
    <s v="Fruit &amp; Nut Bars"/>
    <d v="2023-01-18T00:00:00"/>
    <x v="1444"/>
    <x v="1444"/>
    <n v="21"/>
  </r>
  <r>
    <x v="10"/>
    <x v="1"/>
    <s v="85% Dark Bars"/>
    <d v="2023-03-30T00:00:00"/>
    <x v="1445"/>
    <x v="1445"/>
    <n v="82"/>
  </r>
  <r>
    <x v="24"/>
    <x v="2"/>
    <s v="Caramel Stuffed Bars"/>
    <d v="2023-01-17T00:00:00"/>
    <x v="1446"/>
    <x v="1446"/>
    <n v="163"/>
  </r>
  <r>
    <x v="20"/>
    <x v="4"/>
    <s v="Fruit &amp; Nut Bars"/>
    <d v="2023-02-17T00:00:00"/>
    <x v="1447"/>
    <x v="1447"/>
    <n v="154"/>
  </r>
  <r>
    <x v="20"/>
    <x v="5"/>
    <s v="Peanut Butter Cubes"/>
    <d v="2023-04-08T00:00:00"/>
    <x v="1448"/>
    <x v="1448"/>
    <n v="47"/>
  </r>
  <r>
    <x v="2"/>
    <x v="5"/>
    <s v="Drinking Coco"/>
    <d v="2023-07-06T00:00:00"/>
    <x v="1449"/>
    <x v="1449"/>
    <n v="86"/>
  </r>
  <r>
    <x v="15"/>
    <x v="1"/>
    <s v="Fruit &amp; Nut Bars"/>
    <d v="2023-04-04T00:00:00"/>
    <x v="1450"/>
    <x v="1450"/>
    <n v="231"/>
  </r>
  <r>
    <x v="3"/>
    <x v="3"/>
    <s v="Organic Choco Syrup"/>
    <d v="2023-03-02T00:00:00"/>
    <x v="1451"/>
    <x v="1451"/>
    <n v="226"/>
  </r>
  <r>
    <x v="2"/>
    <x v="3"/>
    <s v="Raspberry Choco"/>
    <d v="2023-08-09T00:00:00"/>
    <x v="1452"/>
    <x v="1452"/>
    <n v="181"/>
  </r>
  <r>
    <x v="17"/>
    <x v="2"/>
    <s v="Milk Bars"/>
    <d v="2023-06-09T00:00:00"/>
    <x v="1453"/>
    <x v="1453"/>
    <n v="282"/>
  </r>
  <r>
    <x v="24"/>
    <x v="0"/>
    <s v="Caramel Stuffed Bars"/>
    <d v="2023-06-02T00:00:00"/>
    <x v="1454"/>
    <x v="1454"/>
    <n v="313"/>
  </r>
  <r>
    <x v="1"/>
    <x v="4"/>
    <s v="Fruit &amp; Nut Bars"/>
    <d v="2023-07-05T00:00:00"/>
    <x v="1455"/>
    <x v="1455"/>
    <n v="238"/>
  </r>
  <r>
    <x v="19"/>
    <x v="5"/>
    <s v="Eclairs"/>
    <d v="2023-08-11T00:00:00"/>
    <x v="1456"/>
    <x v="1456"/>
    <n v="124"/>
  </r>
  <r>
    <x v="22"/>
    <x v="1"/>
    <s v="Choco Coated Almonds"/>
    <d v="2023-02-11T00:00:00"/>
    <x v="1457"/>
    <x v="1457"/>
    <n v="141"/>
  </r>
  <r>
    <x v="20"/>
    <x v="3"/>
    <s v="Spicy Special Slims"/>
    <d v="2023-08-11T00:00:00"/>
    <x v="1458"/>
    <x v="1458"/>
    <n v="69"/>
  </r>
  <r>
    <x v="13"/>
    <x v="2"/>
    <s v="Drinking Coco"/>
    <d v="2023-05-12T00:00:00"/>
    <x v="1459"/>
    <x v="1459"/>
    <n v="112"/>
  </r>
  <r>
    <x v="18"/>
    <x v="4"/>
    <s v="Milk Bars"/>
    <d v="2023-07-15T00:00:00"/>
    <x v="1460"/>
    <x v="1460"/>
    <n v="101"/>
  </r>
  <r>
    <x v="19"/>
    <x v="1"/>
    <s v="Organic Choco Syrup"/>
    <d v="2023-01-18T00:00:00"/>
    <x v="1461"/>
    <x v="1461"/>
    <n v="131"/>
  </r>
  <r>
    <x v="22"/>
    <x v="0"/>
    <s v="Fruit &amp; Nut Bars"/>
    <d v="2023-01-05T00:00:00"/>
    <x v="1462"/>
    <x v="1462"/>
    <n v="198"/>
  </r>
  <r>
    <x v="14"/>
    <x v="2"/>
    <s v="50% Dark Bites"/>
    <d v="2023-06-29T00:00:00"/>
    <x v="1463"/>
    <x v="1463"/>
    <n v="221"/>
  </r>
  <r>
    <x v="6"/>
    <x v="5"/>
    <s v="Raspberry Choco"/>
    <d v="2023-06-14T00:00:00"/>
    <x v="1464"/>
    <x v="1464"/>
    <n v="47"/>
  </r>
  <r>
    <x v="5"/>
    <x v="1"/>
    <s v="Mint Chip Choco"/>
    <d v="2023-08-08T00:00:00"/>
    <x v="1465"/>
    <x v="1465"/>
    <n v="71"/>
  </r>
  <r>
    <x v="17"/>
    <x v="1"/>
    <s v="Mint Chip Choco"/>
    <d v="2023-03-23T00:00:00"/>
    <x v="1466"/>
    <x v="1466"/>
    <n v="143"/>
  </r>
  <r>
    <x v="8"/>
    <x v="1"/>
    <s v="Caramel Stuffed Bars"/>
    <d v="2023-01-04T00:00:00"/>
    <x v="1467"/>
    <x v="1467"/>
    <n v="107"/>
  </r>
  <r>
    <x v="6"/>
    <x v="1"/>
    <s v="Milk Bars"/>
    <d v="2023-02-22T00:00:00"/>
    <x v="1468"/>
    <x v="1468"/>
    <n v="248"/>
  </r>
  <r>
    <x v="12"/>
    <x v="0"/>
    <s v="Spicy Special Slims"/>
    <d v="2023-02-17T00:00:00"/>
    <x v="1469"/>
    <x v="1469"/>
    <n v="268"/>
  </r>
  <r>
    <x v="8"/>
    <x v="4"/>
    <s v="Almond Choco"/>
    <d v="2023-02-03T00:00:00"/>
    <x v="1470"/>
    <x v="1470"/>
    <n v="85"/>
  </r>
  <r>
    <x v="1"/>
    <x v="5"/>
    <s v="Raspberry Choco"/>
    <d v="2023-03-17T00:00:00"/>
    <x v="1471"/>
    <x v="1471"/>
    <n v="137"/>
  </r>
  <r>
    <x v="18"/>
    <x v="2"/>
    <s v="Baker's Choco Chips"/>
    <d v="2023-01-25T00:00:00"/>
    <x v="1472"/>
    <x v="1472"/>
    <n v="156"/>
  </r>
  <r>
    <x v="6"/>
    <x v="2"/>
    <s v="Milk Bars"/>
    <d v="2023-07-27T00:00:00"/>
    <x v="1473"/>
    <x v="1473"/>
    <n v="56"/>
  </r>
  <r>
    <x v="15"/>
    <x v="2"/>
    <s v="Fruit &amp; Nut Bars"/>
    <d v="2023-01-28T00:00:00"/>
    <x v="1474"/>
    <x v="1474"/>
    <n v="54"/>
  </r>
  <r>
    <x v="22"/>
    <x v="2"/>
    <s v="Organic Choco Syrup"/>
    <d v="2023-07-05T00:00:00"/>
    <x v="1475"/>
    <x v="1475"/>
    <n v="49"/>
  </r>
  <r>
    <x v="1"/>
    <x v="1"/>
    <s v="White Choc"/>
    <d v="2023-03-15T00:00:00"/>
    <x v="1476"/>
    <x v="1476"/>
    <n v="46"/>
  </r>
  <r>
    <x v="5"/>
    <x v="5"/>
    <s v="After Nines"/>
    <d v="2023-08-04T00:00:00"/>
    <x v="1477"/>
    <x v="1477"/>
    <n v="191"/>
  </r>
  <r>
    <x v="3"/>
    <x v="4"/>
    <s v="Fruit &amp; Nut Bars"/>
    <d v="2023-06-27T00:00:00"/>
    <x v="1478"/>
    <x v="1478"/>
    <n v="380"/>
  </r>
  <r>
    <x v="3"/>
    <x v="5"/>
    <s v="After Nines"/>
    <d v="2023-07-13T00:00:00"/>
    <x v="1479"/>
    <x v="1479"/>
    <n v="183"/>
  </r>
  <r>
    <x v="8"/>
    <x v="3"/>
    <s v="Manuka Honey Choco"/>
    <d v="2023-02-24T00:00:00"/>
    <x v="1480"/>
    <x v="1480"/>
    <n v="238"/>
  </r>
  <r>
    <x v="10"/>
    <x v="3"/>
    <s v="85% Dark Bars"/>
    <d v="2023-06-28T00:00:00"/>
    <x v="1481"/>
    <x v="1481"/>
    <n v="60"/>
  </r>
  <r>
    <x v="4"/>
    <x v="2"/>
    <s v="85% Dark Bars"/>
    <d v="2023-06-30T00:00:00"/>
    <x v="1482"/>
    <x v="1482"/>
    <n v="27"/>
  </r>
  <r>
    <x v="14"/>
    <x v="5"/>
    <s v="Choco Coated Almonds"/>
    <d v="2023-08-18T00:00:00"/>
    <x v="1483"/>
    <x v="1483"/>
    <n v="7"/>
  </r>
  <r>
    <x v="16"/>
    <x v="1"/>
    <s v="70% Dark Bites"/>
    <d v="2023-01-24T00:00:00"/>
    <x v="1484"/>
    <x v="1484"/>
    <n v="296"/>
  </r>
  <r>
    <x v="12"/>
    <x v="4"/>
    <s v="White Choc"/>
    <d v="2023-03-11T00:00:00"/>
    <x v="1485"/>
    <x v="1485"/>
    <n v="129"/>
  </r>
  <r>
    <x v="24"/>
    <x v="3"/>
    <s v="After Nines"/>
    <d v="2023-06-23T00:00:00"/>
    <x v="1486"/>
    <x v="1486"/>
    <n v="356"/>
  </r>
  <r>
    <x v="15"/>
    <x v="1"/>
    <s v="Spicy Special Slims"/>
    <d v="2023-08-22T00:00:00"/>
    <x v="1487"/>
    <x v="1487"/>
    <n v="32"/>
  </r>
  <r>
    <x v="5"/>
    <x v="5"/>
    <s v="50% Dark Bites"/>
    <d v="2023-01-04T00:00:00"/>
    <x v="1488"/>
    <x v="1488"/>
    <n v="22"/>
  </r>
  <r>
    <x v="14"/>
    <x v="1"/>
    <s v="Milk Bars"/>
    <d v="2023-04-05T00:00:00"/>
    <x v="1489"/>
    <x v="1489"/>
    <n v="214"/>
  </r>
  <r>
    <x v="12"/>
    <x v="1"/>
    <s v="Milk Bars"/>
    <d v="2023-04-15T00:00:00"/>
    <x v="1490"/>
    <x v="1490"/>
    <n v="354"/>
  </r>
  <r>
    <x v="15"/>
    <x v="2"/>
    <s v="White Choc"/>
    <d v="2023-05-11T00:00:00"/>
    <x v="1491"/>
    <x v="1491"/>
    <n v="241"/>
  </r>
  <r>
    <x v="19"/>
    <x v="5"/>
    <s v="Manuka Honey Choco"/>
    <d v="2023-07-21T00:00:00"/>
    <x v="1492"/>
    <x v="1492"/>
    <n v="495"/>
  </r>
  <r>
    <x v="3"/>
    <x v="3"/>
    <s v="Orange Choco"/>
    <d v="2023-02-11T00:00:00"/>
    <x v="1493"/>
    <x v="1493"/>
    <n v="89"/>
  </r>
  <r>
    <x v="19"/>
    <x v="5"/>
    <s v="Smooth Sliky Salty"/>
    <d v="2023-07-08T00:00:00"/>
    <x v="1494"/>
    <x v="1494"/>
    <n v="75"/>
  </r>
  <r>
    <x v="5"/>
    <x v="0"/>
    <s v="Raspberry Choco"/>
    <d v="2023-08-11T00:00:00"/>
    <x v="1495"/>
    <x v="1495"/>
    <n v="334"/>
  </r>
  <r>
    <x v="15"/>
    <x v="3"/>
    <s v="After Nines"/>
    <d v="2023-08-04T00:00:00"/>
    <x v="1496"/>
    <x v="1496"/>
    <n v="8"/>
  </r>
  <r>
    <x v="19"/>
    <x v="3"/>
    <s v="Orange Choco"/>
    <d v="2023-06-14T00:00:00"/>
    <x v="1497"/>
    <x v="1497"/>
    <n v="93"/>
  </r>
  <r>
    <x v="17"/>
    <x v="0"/>
    <s v="Baker's Choco Chips"/>
    <d v="2023-01-17T00:00:00"/>
    <x v="1498"/>
    <x v="1498"/>
    <n v="296"/>
  </r>
  <r>
    <x v="0"/>
    <x v="5"/>
    <s v="Orange Choco"/>
    <d v="2023-06-23T00:00:00"/>
    <x v="1499"/>
    <x v="1499"/>
    <n v="548"/>
  </r>
  <r>
    <x v="0"/>
    <x v="0"/>
    <s v="Smooth Sliky Salty"/>
    <d v="2023-08-24T00:00:00"/>
    <x v="1500"/>
    <x v="1500"/>
    <n v="119"/>
  </r>
  <r>
    <x v="19"/>
    <x v="0"/>
    <s v="Caramel Stuffed Bars"/>
    <d v="2023-06-07T00:00:00"/>
    <x v="1501"/>
    <x v="1501"/>
    <n v="294"/>
  </r>
  <r>
    <x v="3"/>
    <x v="0"/>
    <s v="White Choc"/>
    <d v="2023-06-22T00:00:00"/>
    <x v="1502"/>
    <x v="1502"/>
    <n v="46"/>
  </r>
  <r>
    <x v="23"/>
    <x v="4"/>
    <s v="Fruit &amp; Nut Bars"/>
    <d v="2023-07-13T00:00:00"/>
    <x v="1503"/>
    <x v="1503"/>
    <n v="281"/>
  </r>
  <r>
    <x v="20"/>
    <x v="0"/>
    <s v="Choco Coated Almonds"/>
    <d v="2023-05-24T00:00:00"/>
    <x v="1504"/>
    <x v="1504"/>
    <n v="215"/>
  </r>
  <r>
    <x v="5"/>
    <x v="3"/>
    <s v="After Nines"/>
    <d v="2023-08-09T00:00:00"/>
    <x v="1505"/>
    <x v="1505"/>
    <n v="140"/>
  </r>
  <r>
    <x v="16"/>
    <x v="5"/>
    <s v="85% Dark Bars"/>
    <d v="2023-04-06T00:00:00"/>
    <x v="1506"/>
    <x v="1506"/>
    <n v="31"/>
  </r>
  <r>
    <x v="3"/>
    <x v="3"/>
    <s v="Manuka Honey Choco"/>
    <d v="2023-07-28T00:00:00"/>
    <x v="1507"/>
    <x v="1507"/>
    <n v="266"/>
  </r>
  <r>
    <x v="5"/>
    <x v="3"/>
    <s v="Raspberry Choco"/>
    <d v="2023-08-24T00:00:00"/>
    <x v="1508"/>
    <x v="1508"/>
    <n v="50"/>
  </r>
  <r>
    <x v="1"/>
    <x v="2"/>
    <s v="99% Dark &amp; Pure"/>
    <d v="2023-01-17T00:00:00"/>
    <x v="1509"/>
    <x v="1509"/>
    <n v="132"/>
  </r>
  <r>
    <x v="14"/>
    <x v="4"/>
    <s v="Drinking Coco"/>
    <d v="2023-02-07T00:00:00"/>
    <x v="1510"/>
    <x v="1510"/>
    <n v="142"/>
  </r>
  <r>
    <x v="6"/>
    <x v="2"/>
    <s v="Spicy Special Slims"/>
    <d v="2023-05-09T00:00:00"/>
    <x v="1511"/>
    <x v="1511"/>
    <n v="269"/>
  </r>
  <r>
    <x v="9"/>
    <x v="3"/>
    <s v="85% Dark Bars"/>
    <d v="2023-06-06T00:00:00"/>
    <x v="1512"/>
    <x v="1512"/>
    <n v="102"/>
  </r>
  <r>
    <x v="18"/>
    <x v="4"/>
    <s v="Choco Coated Almonds"/>
    <d v="2023-06-06T00:00:00"/>
    <x v="1513"/>
    <x v="1513"/>
    <n v="6"/>
  </r>
  <r>
    <x v="12"/>
    <x v="3"/>
    <s v="Organic Choco Syrup"/>
    <d v="2023-05-24T00:00:00"/>
    <x v="1514"/>
    <x v="1514"/>
    <n v="215"/>
  </r>
  <r>
    <x v="5"/>
    <x v="0"/>
    <s v="50% Dark Bites"/>
    <d v="2023-01-13T00:00:00"/>
    <x v="1515"/>
    <x v="1515"/>
    <n v="128"/>
  </r>
  <r>
    <x v="11"/>
    <x v="4"/>
    <s v="Raspberry Choco"/>
    <d v="2023-05-23T00:00:00"/>
    <x v="1516"/>
    <x v="1516"/>
    <n v="149"/>
  </r>
  <r>
    <x v="0"/>
    <x v="0"/>
    <s v="White Choc"/>
    <d v="2023-06-29T00:00:00"/>
    <x v="1517"/>
    <x v="1517"/>
    <n v="286"/>
  </r>
  <r>
    <x v="0"/>
    <x v="3"/>
    <s v="85% Dark Bars"/>
    <d v="2023-03-11T00:00:00"/>
    <x v="1518"/>
    <x v="1518"/>
    <n v="88"/>
  </r>
  <r>
    <x v="23"/>
    <x v="4"/>
    <s v="85% Dark Bars"/>
    <d v="2023-04-25T00:00:00"/>
    <x v="1519"/>
    <x v="1519"/>
    <n v="536"/>
  </r>
  <r>
    <x v="7"/>
    <x v="2"/>
    <s v="Smooth Sliky Salty"/>
    <d v="2023-05-30T00:00:00"/>
    <x v="1520"/>
    <x v="1520"/>
    <n v="255"/>
  </r>
  <r>
    <x v="14"/>
    <x v="1"/>
    <s v="Manuka Honey Choco"/>
    <d v="2023-05-23T00:00:00"/>
    <x v="1521"/>
    <x v="1521"/>
    <n v="169"/>
  </r>
  <r>
    <x v="9"/>
    <x v="4"/>
    <s v="Peanut Butter Cubes"/>
    <d v="2023-05-23T00:00:00"/>
    <x v="1522"/>
    <x v="1522"/>
    <n v="18"/>
  </r>
  <r>
    <x v="1"/>
    <x v="5"/>
    <s v="Peanut Butter Cubes"/>
    <d v="2023-06-24T00:00:00"/>
    <x v="1523"/>
    <x v="1523"/>
    <n v="300"/>
  </r>
  <r>
    <x v="20"/>
    <x v="3"/>
    <s v="Smooth Sliky Salty"/>
    <d v="2023-03-11T00:00:00"/>
    <x v="1524"/>
    <x v="1524"/>
    <n v="296"/>
  </r>
  <r>
    <x v="7"/>
    <x v="4"/>
    <s v="Smooth Sliky Salty"/>
    <d v="2023-07-27T00:00:00"/>
    <x v="1525"/>
    <x v="1525"/>
    <n v="232"/>
  </r>
  <r>
    <x v="7"/>
    <x v="4"/>
    <s v="White Choc"/>
    <d v="2023-08-16T00:00:00"/>
    <x v="1526"/>
    <x v="1526"/>
    <n v="133"/>
  </r>
  <r>
    <x v="13"/>
    <x v="5"/>
    <s v="Smooth Sliky Salty"/>
    <d v="2023-03-07T00:00:00"/>
    <x v="1527"/>
    <x v="1527"/>
    <n v="12"/>
  </r>
  <r>
    <x v="14"/>
    <x v="3"/>
    <s v="After Nines"/>
    <d v="2023-04-05T00:00:00"/>
    <x v="1528"/>
    <x v="1528"/>
    <n v="33"/>
  </r>
  <r>
    <x v="21"/>
    <x v="1"/>
    <s v="85% Dark Bars"/>
    <d v="2023-05-04T00:00:00"/>
    <x v="1529"/>
    <x v="1529"/>
    <n v="55"/>
  </r>
  <r>
    <x v="24"/>
    <x v="4"/>
    <s v="Choco Coated Almonds"/>
    <d v="2023-01-04T00:00:00"/>
    <x v="1530"/>
    <x v="1530"/>
    <n v="93"/>
  </r>
  <r>
    <x v="11"/>
    <x v="2"/>
    <s v="Baker's Choco Chips"/>
    <d v="2023-01-13T00:00:00"/>
    <x v="1531"/>
    <x v="1531"/>
    <n v="109"/>
  </r>
  <r>
    <x v="18"/>
    <x v="3"/>
    <s v="Fruit &amp; Nut Bars"/>
    <d v="2023-07-11T00:00:00"/>
    <x v="1532"/>
    <x v="1532"/>
    <n v="94"/>
  </r>
  <r>
    <x v="16"/>
    <x v="2"/>
    <s v="Mint Chip Choco"/>
    <d v="2023-05-17T00:00:00"/>
    <x v="1533"/>
    <x v="1533"/>
    <n v="158"/>
  </r>
  <r>
    <x v="21"/>
    <x v="3"/>
    <s v="Peanut Butter Cubes"/>
    <d v="2023-07-21T00:00:00"/>
    <x v="1534"/>
    <x v="1534"/>
    <n v="60"/>
  </r>
  <r>
    <x v="14"/>
    <x v="5"/>
    <s v="Organic Choco Syrup"/>
    <d v="2023-02-22T00:00:00"/>
    <x v="1535"/>
    <x v="1535"/>
    <n v="21"/>
  </r>
  <r>
    <x v="3"/>
    <x v="1"/>
    <s v="99% Dark &amp; Pure"/>
    <d v="2023-05-23T00:00:00"/>
    <x v="1536"/>
    <x v="1536"/>
    <n v="178"/>
  </r>
  <r>
    <x v="7"/>
    <x v="5"/>
    <s v="Drinking Coco"/>
    <d v="2023-07-12T00:00:00"/>
    <x v="1537"/>
    <x v="1537"/>
    <n v="200"/>
  </r>
  <r>
    <x v="3"/>
    <x v="0"/>
    <s v="Orange Choco"/>
    <d v="2023-06-15T00:00:00"/>
    <x v="1538"/>
    <x v="1538"/>
    <n v="193"/>
  </r>
  <r>
    <x v="8"/>
    <x v="3"/>
    <s v="50% Dark Bites"/>
    <d v="2023-06-23T00:00:00"/>
    <x v="1539"/>
    <x v="1539"/>
    <n v="304"/>
  </r>
  <r>
    <x v="14"/>
    <x v="2"/>
    <s v="Eclairs"/>
    <d v="2023-03-25T00:00:00"/>
    <x v="1540"/>
    <x v="1540"/>
    <n v="53"/>
  </r>
  <r>
    <x v="3"/>
    <x v="1"/>
    <s v="Caramel Stuffed Bars"/>
    <d v="2023-07-04T00:00:00"/>
    <x v="1541"/>
    <x v="1541"/>
    <n v="165"/>
  </r>
  <r>
    <x v="19"/>
    <x v="0"/>
    <s v="White Choc"/>
    <d v="2023-05-12T00:00:00"/>
    <x v="1542"/>
    <x v="1542"/>
    <n v="110"/>
  </r>
  <r>
    <x v="21"/>
    <x v="3"/>
    <s v="Raspberry Choco"/>
    <d v="2023-04-04T00:00:00"/>
    <x v="1543"/>
    <x v="1543"/>
    <n v="143"/>
  </r>
  <r>
    <x v="22"/>
    <x v="2"/>
    <s v="Orange Choco"/>
    <d v="2023-04-15T00:00:00"/>
    <x v="1544"/>
    <x v="1544"/>
    <n v="404"/>
  </r>
  <r>
    <x v="13"/>
    <x v="5"/>
    <s v="Eclairs"/>
    <d v="2023-03-08T00:00:00"/>
    <x v="1545"/>
    <x v="1545"/>
    <n v="95"/>
  </r>
  <r>
    <x v="10"/>
    <x v="1"/>
    <s v="White Choc"/>
    <d v="2023-01-17T00:00:00"/>
    <x v="1546"/>
    <x v="1546"/>
    <n v="231"/>
  </r>
  <r>
    <x v="18"/>
    <x v="1"/>
    <s v="Mint Chip Choco"/>
    <d v="2023-08-22T00:00:00"/>
    <x v="1547"/>
    <x v="1547"/>
    <n v="52"/>
  </r>
  <r>
    <x v="19"/>
    <x v="0"/>
    <s v="99% Dark &amp; Pure"/>
    <d v="2023-07-25T00:00:00"/>
    <x v="1548"/>
    <x v="1548"/>
    <n v="67"/>
  </r>
  <r>
    <x v="11"/>
    <x v="0"/>
    <s v="50% Dark Bites"/>
    <d v="2023-06-14T00:00:00"/>
    <x v="1549"/>
    <x v="1549"/>
    <n v="133"/>
  </r>
  <r>
    <x v="24"/>
    <x v="1"/>
    <s v="Choco Coated Almonds"/>
    <d v="2023-04-05T00:00:00"/>
    <x v="1550"/>
    <x v="1550"/>
    <n v="85"/>
  </r>
  <r>
    <x v="22"/>
    <x v="0"/>
    <s v="Raspberry Choco"/>
    <d v="2023-08-26T00:00:00"/>
    <x v="1551"/>
    <x v="1551"/>
    <n v="344"/>
  </r>
  <r>
    <x v="18"/>
    <x v="2"/>
    <s v="50% Dark Bites"/>
    <d v="2023-08-03T00:00:00"/>
    <x v="1552"/>
    <x v="1552"/>
    <n v="123"/>
  </r>
  <r>
    <x v="2"/>
    <x v="5"/>
    <s v="White Choc"/>
    <d v="2023-07-11T00:00:00"/>
    <x v="1553"/>
    <x v="1553"/>
    <n v="4"/>
  </r>
  <r>
    <x v="18"/>
    <x v="3"/>
    <s v="Eclairs"/>
    <d v="2023-03-11T00:00:00"/>
    <x v="1554"/>
    <x v="1554"/>
    <n v="21"/>
  </r>
  <r>
    <x v="6"/>
    <x v="0"/>
    <s v="Peanut Butter Cubes"/>
    <d v="2023-01-10T00:00:00"/>
    <x v="1555"/>
    <x v="1555"/>
    <n v="31"/>
  </r>
  <r>
    <x v="13"/>
    <x v="0"/>
    <s v="Baker's Choco Chips"/>
    <d v="2023-04-04T00:00:00"/>
    <x v="1556"/>
    <x v="1556"/>
    <n v="378"/>
  </r>
  <r>
    <x v="10"/>
    <x v="2"/>
    <s v="50% Dark Bites"/>
    <d v="2023-01-17T00:00:00"/>
    <x v="1557"/>
    <x v="1557"/>
    <n v="772"/>
  </r>
  <r>
    <x v="11"/>
    <x v="3"/>
    <s v="Organic Choco Syrup"/>
    <d v="2023-07-08T00:00:00"/>
    <x v="1558"/>
    <x v="1558"/>
    <n v="54"/>
  </r>
  <r>
    <x v="3"/>
    <x v="0"/>
    <s v="Organic Choco Syrup"/>
    <d v="2023-04-12T00:00:00"/>
    <x v="1559"/>
    <x v="1559"/>
    <n v="354"/>
  </r>
  <r>
    <x v="7"/>
    <x v="5"/>
    <s v="Fruit &amp; Nut Bars"/>
    <d v="2023-08-24T00:00:00"/>
    <x v="1560"/>
    <x v="1560"/>
    <n v="192"/>
  </r>
  <r>
    <x v="24"/>
    <x v="0"/>
    <s v="Choco Coated Almonds"/>
    <d v="2023-06-07T00:00:00"/>
    <x v="1561"/>
    <x v="1561"/>
    <n v="239"/>
  </r>
  <r>
    <x v="5"/>
    <x v="5"/>
    <s v="Almond Choco"/>
    <d v="2023-07-28T00:00:00"/>
    <x v="1562"/>
    <x v="1562"/>
    <n v="30"/>
  </r>
  <r>
    <x v="15"/>
    <x v="4"/>
    <s v="99% Dark &amp; Pure"/>
    <d v="2023-02-21T00:00:00"/>
    <x v="1563"/>
    <x v="1563"/>
    <n v="111"/>
  </r>
  <r>
    <x v="17"/>
    <x v="5"/>
    <s v="Mint Chip Choco"/>
    <d v="2023-04-08T00:00:00"/>
    <x v="1564"/>
    <x v="1564"/>
    <n v="297"/>
  </r>
  <r>
    <x v="6"/>
    <x v="0"/>
    <s v="Manuka Honey Choco"/>
    <d v="2023-06-28T00:00:00"/>
    <x v="1565"/>
    <x v="1565"/>
    <n v="103"/>
  </r>
  <r>
    <x v="1"/>
    <x v="0"/>
    <s v="Baker's Choco Chips"/>
    <d v="2023-03-24T00:00:00"/>
    <x v="1566"/>
    <x v="1566"/>
    <n v="20"/>
  </r>
  <r>
    <x v="8"/>
    <x v="2"/>
    <s v="Caramel Stuffed Bars"/>
    <d v="2023-07-29T00:00:00"/>
    <x v="1567"/>
    <x v="1567"/>
    <n v="60"/>
  </r>
  <r>
    <x v="17"/>
    <x v="4"/>
    <s v="Eclairs"/>
    <d v="2023-05-25T00:00:00"/>
    <x v="1568"/>
    <x v="1568"/>
    <n v="90"/>
  </r>
  <r>
    <x v="2"/>
    <x v="2"/>
    <s v="Raspberry Choco"/>
    <d v="2023-03-30T00:00:00"/>
    <x v="1569"/>
    <x v="1569"/>
    <n v="330"/>
  </r>
  <r>
    <x v="17"/>
    <x v="4"/>
    <s v="Organic Choco Syrup"/>
    <d v="2023-07-18T00:00:00"/>
    <x v="1570"/>
    <x v="1570"/>
    <n v="134"/>
  </r>
  <r>
    <x v="12"/>
    <x v="5"/>
    <s v="Orange Choco"/>
    <d v="2023-05-10T00:00:00"/>
    <x v="1571"/>
    <x v="1571"/>
    <n v="104"/>
  </r>
  <r>
    <x v="9"/>
    <x v="2"/>
    <s v="Choco Coated Almonds"/>
    <d v="2023-03-18T00:00:00"/>
    <x v="1572"/>
    <x v="1572"/>
    <n v="94"/>
  </r>
  <r>
    <x v="24"/>
    <x v="1"/>
    <s v="Caramel Stuffed Bars"/>
    <d v="2023-06-15T00:00:00"/>
    <x v="1573"/>
    <x v="1573"/>
    <n v="55"/>
  </r>
  <r>
    <x v="1"/>
    <x v="5"/>
    <s v="50% Dark Bites"/>
    <d v="2023-05-12T00:00:00"/>
    <x v="1574"/>
    <x v="1574"/>
    <n v="57"/>
  </r>
  <r>
    <x v="20"/>
    <x v="3"/>
    <s v="Baker's Choco Chips"/>
    <d v="2023-06-23T00:00:00"/>
    <x v="1575"/>
    <x v="1575"/>
    <n v="105"/>
  </r>
  <r>
    <x v="12"/>
    <x v="1"/>
    <s v="Spicy Special Slims"/>
    <d v="2023-04-21T00:00:00"/>
    <x v="1576"/>
    <x v="1576"/>
    <n v="186"/>
  </r>
  <r>
    <x v="2"/>
    <x v="2"/>
    <s v="Almond Choco"/>
    <d v="2023-08-17T00:00:00"/>
    <x v="1577"/>
    <x v="1577"/>
    <n v="127"/>
  </r>
  <r>
    <x v="7"/>
    <x v="3"/>
    <s v="Eclairs"/>
    <d v="2023-02-07T00:00:00"/>
    <x v="1578"/>
    <x v="1578"/>
    <n v="54"/>
  </r>
  <r>
    <x v="20"/>
    <x v="5"/>
    <s v="Smooth Sliky Salty"/>
    <d v="2023-03-17T00:00:00"/>
    <x v="1579"/>
    <x v="1579"/>
    <n v="115"/>
  </r>
  <r>
    <x v="3"/>
    <x v="1"/>
    <s v="Baker's Choco Chips"/>
    <d v="2023-08-01T00:00:00"/>
    <x v="1580"/>
    <x v="1580"/>
    <n v="85"/>
  </r>
  <r>
    <x v="0"/>
    <x v="2"/>
    <s v="Milk Bars"/>
    <d v="2023-03-18T00:00:00"/>
    <x v="1581"/>
    <x v="1581"/>
    <n v="31"/>
  </r>
  <r>
    <x v="2"/>
    <x v="5"/>
    <s v="Fruit &amp; Nut Bars"/>
    <d v="2023-06-14T00:00:00"/>
    <x v="1582"/>
    <x v="1582"/>
    <n v="103"/>
  </r>
  <r>
    <x v="12"/>
    <x v="0"/>
    <s v="Eclairs"/>
    <d v="2023-04-22T00:00:00"/>
    <x v="1583"/>
    <x v="1583"/>
    <n v="169"/>
  </r>
  <r>
    <x v="11"/>
    <x v="3"/>
    <s v="Eclairs"/>
    <d v="2023-01-18T00:00:00"/>
    <x v="1584"/>
    <x v="1584"/>
    <n v="31"/>
  </r>
  <r>
    <x v="15"/>
    <x v="2"/>
    <s v="99% Dark &amp; Pure"/>
    <d v="2023-08-26T00:00:00"/>
    <x v="1585"/>
    <x v="1585"/>
    <n v="123"/>
  </r>
  <r>
    <x v="5"/>
    <x v="3"/>
    <s v="Fruit &amp; Nut Bars"/>
    <d v="2023-06-10T00:00:00"/>
    <x v="1586"/>
    <x v="1586"/>
    <n v="434"/>
  </r>
  <r>
    <x v="14"/>
    <x v="5"/>
    <s v="70% Dark Bites"/>
    <d v="2023-01-31T00:00:00"/>
    <x v="1587"/>
    <x v="1587"/>
    <n v="7"/>
  </r>
  <r>
    <x v="20"/>
    <x v="3"/>
    <s v="Manuka Honey Choco"/>
    <d v="2023-04-08T00:00:00"/>
    <x v="1588"/>
    <x v="1588"/>
    <n v="108"/>
  </r>
  <r>
    <x v="23"/>
    <x v="2"/>
    <s v="Baker's Choco Chips"/>
    <d v="2023-06-07T00:00:00"/>
    <x v="1589"/>
    <x v="1589"/>
    <n v="71"/>
  </r>
  <r>
    <x v="8"/>
    <x v="2"/>
    <s v="85% Dark Bars"/>
    <d v="2023-02-10T00:00:00"/>
    <x v="1590"/>
    <x v="1590"/>
    <n v="43"/>
  </r>
  <r>
    <x v="12"/>
    <x v="2"/>
    <s v="50% Dark Bites"/>
    <d v="2023-05-16T00:00:00"/>
    <x v="1591"/>
    <x v="1591"/>
    <n v="453"/>
  </r>
  <r>
    <x v="5"/>
    <x v="1"/>
    <s v="Baker's Choco Chips"/>
    <d v="2023-03-18T00:00:00"/>
    <x v="1592"/>
    <x v="1592"/>
    <n v="540"/>
  </r>
  <r>
    <x v="1"/>
    <x v="2"/>
    <s v="50% Dark Bites"/>
    <d v="2023-07-13T00:00:00"/>
    <x v="1593"/>
    <x v="1593"/>
    <n v="131"/>
  </r>
  <r>
    <x v="4"/>
    <x v="4"/>
    <s v="Manuka Honey Choco"/>
    <d v="2023-07-25T00:00:00"/>
    <x v="1594"/>
    <x v="1594"/>
    <n v="83"/>
  </r>
  <r>
    <x v="1"/>
    <x v="5"/>
    <s v="Choco Coated Almonds"/>
    <d v="2023-08-19T00:00:00"/>
    <x v="1595"/>
    <x v="1595"/>
    <n v="312"/>
  </r>
  <r>
    <x v="10"/>
    <x v="5"/>
    <s v="70% Dark Bites"/>
    <d v="2023-06-24T00:00:00"/>
    <x v="1596"/>
    <x v="1596"/>
    <n v="646"/>
  </r>
  <r>
    <x v="20"/>
    <x v="5"/>
    <s v="Fruit &amp; Nut Bars"/>
    <d v="2023-06-20T00:00:00"/>
    <x v="1597"/>
    <x v="1597"/>
    <n v="162"/>
  </r>
  <r>
    <x v="21"/>
    <x v="1"/>
    <s v="99% Dark &amp; Pure"/>
    <d v="2023-08-02T00:00:00"/>
    <x v="1598"/>
    <x v="1598"/>
    <n v="216"/>
  </r>
  <r>
    <x v="22"/>
    <x v="3"/>
    <s v="70% Dark Bites"/>
    <d v="2023-02-22T00:00:00"/>
    <x v="1599"/>
    <x v="1599"/>
    <n v="94"/>
  </r>
  <r>
    <x v="9"/>
    <x v="3"/>
    <s v="Orange Choco"/>
    <d v="2023-02-01T00:00:00"/>
    <x v="1600"/>
    <x v="1600"/>
    <n v="25"/>
  </r>
  <r>
    <x v="3"/>
    <x v="5"/>
    <s v="70% Dark Bites"/>
    <d v="2023-02-14T00:00:00"/>
    <x v="1601"/>
    <x v="1601"/>
    <n v="300"/>
  </r>
  <r>
    <x v="20"/>
    <x v="2"/>
    <s v="Milk Bars"/>
    <d v="2023-02-24T00:00:00"/>
    <x v="1602"/>
    <x v="1602"/>
    <n v="120"/>
  </r>
  <r>
    <x v="17"/>
    <x v="1"/>
    <s v="Orange Choco"/>
    <d v="2023-03-18T00:00:00"/>
    <x v="1603"/>
    <x v="1603"/>
    <n v="140"/>
  </r>
  <r>
    <x v="15"/>
    <x v="0"/>
    <s v="Eclairs"/>
    <d v="2023-08-30T00:00:00"/>
    <x v="1604"/>
    <x v="1604"/>
    <n v="253"/>
  </r>
  <r>
    <x v="2"/>
    <x v="4"/>
    <s v="Peanut Butter Cubes"/>
    <d v="2023-05-09T00:00:00"/>
    <x v="1605"/>
    <x v="1605"/>
    <n v="76"/>
  </r>
  <r>
    <x v="18"/>
    <x v="4"/>
    <s v="Smooth Sliky Salty"/>
    <d v="2023-01-18T00:00:00"/>
    <x v="1606"/>
    <x v="1606"/>
    <n v="96"/>
  </r>
  <r>
    <x v="14"/>
    <x v="1"/>
    <s v="White Choc"/>
    <d v="2023-07-04T00:00:00"/>
    <x v="1607"/>
    <x v="1607"/>
    <n v="335"/>
  </r>
  <r>
    <x v="4"/>
    <x v="3"/>
    <s v="Spicy Special Slims"/>
    <d v="2023-06-03T00:00:00"/>
    <x v="1608"/>
    <x v="1608"/>
    <n v="13"/>
  </r>
  <r>
    <x v="12"/>
    <x v="3"/>
    <s v="Peanut Butter Cubes"/>
    <d v="2023-02-23T00:00:00"/>
    <x v="1609"/>
    <x v="1609"/>
    <n v="29"/>
  </r>
  <r>
    <x v="23"/>
    <x v="3"/>
    <s v="99% Dark &amp; Pure"/>
    <d v="2023-05-09T00:00:00"/>
    <x v="1610"/>
    <x v="1610"/>
    <n v="213"/>
  </r>
  <r>
    <x v="20"/>
    <x v="1"/>
    <s v="70% Dark Bites"/>
    <d v="2023-06-06T00:00:00"/>
    <x v="1611"/>
    <x v="1611"/>
    <n v="101"/>
  </r>
  <r>
    <x v="20"/>
    <x v="1"/>
    <s v="Drinking Coco"/>
    <d v="2023-07-04T00:00:00"/>
    <x v="1612"/>
    <x v="1612"/>
    <n v="255"/>
  </r>
  <r>
    <x v="6"/>
    <x v="3"/>
    <s v="Drinking Coco"/>
    <d v="2023-06-06T00:00:00"/>
    <x v="1613"/>
    <x v="1613"/>
    <n v="106"/>
  </r>
  <r>
    <x v="23"/>
    <x v="2"/>
    <s v="Almond Choco"/>
    <d v="2023-05-13T00:00:00"/>
    <x v="1614"/>
    <x v="1614"/>
    <n v="91"/>
  </r>
  <r>
    <x v="18"/>
    <x v="3"/>
    <s v="Organic Choco Syrup"/>
    <d v="2023-01-31T00:00:00"/>
    <x v="1615"/>
    <x v="1615"/>
    <n v="281"/>
  </r>
  <r>
    <x v="24"/>
    <x v="3"/>
    <s v="Caramel Stuffed Bars"/>
    <d v="2023-06-30T00:00:00"/>
    <x v="1616"/>
    <x v="1616"/>
    <n v="43"/>
  </r>
  <r>
    <x v="8"/>
    <x v="5"/>
    <s v="Manuka Honey Choco"/>
    <d v="2023-08-25T00:00:00"/>
    <x v="1617"/>
    <x v="1617"/>
    <n v="251"/>
  </r>
  <r>
    <x v="2"/>
    <x v="3"/>
    <s v="Smooth Sliky Salty"/>
    <d v="2023-01-10T00:00:00"/>
    <x v="1618"/>
    <x v="1618"/>
    <n v="101"/>
  </r>
  <r>
    <x v="6"/>
    <x v="4"/>
    <s v="Manuka Honey Choco"/>
    <d v="2023-08-22T00:00:00"/>
    <x v="1619"/>
    <x v="1619"/>
    <n v="8"/>
  </r>
  <r>
    <x v="13"/>
    <x v="3"/>
    <s v="85% Dark Bars"/>
    <d v="2023-04-14T00:00:00"/>
    <x v="1620"/>
    <x v="1620"/>
    <n v="284"/>
  </r>
  <r>
    <x v="4"/>
    <x v="0"/>
    <s v="Smooth Sliky Salty"/>
    <d v="2023-05-31T00:00:00"/>
    <x v="1621"/>
    <x v="1621"/>
    <n v="338"/>
  </r>
  <r>
    <x v="4"/>
    <x v="0"/>
    <s v="Raspberry Choco"/>
    <d v="2023-04-08T00:00:00"/>
    <x v="1622"/>
    <x v="1622"/>
    <n v="322"/>
  </r>
  <r>
    <x v="13"/>
    <x v="4"/>
    <s v="Drinking Coco"/>
    <d v="2023-02-21T00:00:00"/>
    <x v="1623"/>
    <x v="1623"/>
    <n v="148"/>
  </r>
  <r>
    <x v="19"/>
    <x v="2"/>
    <s v="Manuka Honey Choco"/>
    <d v="2023-03-30T00:00:00"/>
    <x v="1624"/>
    <x v="1624"/>
    <n v="394"/>
  </r>
  <r>
    <x v="9"/>
    <x v="1"/>
    <s v="Raspberry Choco"/>
    <d v="2023-03-02T00:00:00"/>
    <x v="1625"/>
    <x v="1625"/>
    <n v="2"/>
  </r>
  <r>
    <x v="0"/>
    <x v="4"/>
    <s v="Orange Choco"/>
    <d v="2023-07-28T00:00:00"/>
    <x v="1626"/>
    <x v="1626"/>
    <n v="184"/>
  </r>
  <r>
    <x v="16"/>
    <x v="3"/>
    <s v="70% Dark Bites"/>
    <d v="2023-03-24T00:00:00"/>
    <x v="1627"/>
    <x v="1627"/>
    <n v="38"/>
  </r>
  <r>
    <x v="14"/>
    <x v="2"/>
    <s v="After Nines"/>
    <d v="2023-08-11T00:00:00"/>
    <x v="1628"/>
    <x v="1628"/>
    <n v="109"/>
  </r>
  <r>
    <x v="15"/>
    <x v="0"/>
    <s v="Almond Choco"/>
    <d v="2023-05-17T00:00:00"/>
    <x v="1629"/>
    <x v="1629"/>
    <n v="175"/>
  </r>
  <r>
    <x v="16"/>
    <x v="5"/>
    <s v="Choco Coated Almonds"/>
    <d v="2023-05-18T00:00:00"/>
    <x v="1630"/>
    <x v="1630"/>
    <n v="180"/>
  </r>
  <r>
    <x v="13"/>
    <x v="0"/>
    <s v="Peanut Butter Cubes"/>
    <d v="2023-08-17T00:00:00"/>
    <x v="1631"/>
    <x v="1631"/>
    <n v="173"/>
  </r>
  <r>
    <x v="24"/>
    <x v="3"/>
    <s v="Eclairs"/>
    <d v="2023-04-04T00:00:00"/>
    <x v="1632"/>
    <x v="1632"/>
    <n v="54"/>
  </r>
  <r>
    <x v="6"/>
    <x v="1"/>
    <s v="85% Dark Bars"/>
    <d v="2023-08-09T00:00:00"/>
    <x v="1633"/>
    <x v="1633"/>
    <n v="201"/>
  </r>
  <r>
    <x v="6"/>
    <x v="3"/>
    <s v="Organic Choco Syrup"/>
    <d v="2023-01-17T00:00:00"/>
    <x v="1634"/>
    <x v="1634"/>
    <n v="331"/>
  </r>
  <r>
    <x v="19"/>
    <x v="5"/>
    <s v="White Choc"/>
    <d v="2023-02-14T00:00:00"/>
    <x v="1635"/>
    <x v="1635"/>
    <n v="31"/>
  </r>
  <r>
    <x v="2"/>
    <x v="3"/>
    <s v="Orange Choco"/>
    <d v="2023-05-16T00:00:00"/>
    <x v="1636"/>
    <x v="1636"/>
    <n v="324"/>
  </r>
  <r>
    <x v="24"/>
    <x v="5"/>
    <s v="Smooth Sliky Salty"/>
    <d v="2023-03-16T00:00:00"/>
    <x v="1637"/>
    <x v="1637"/>
    <n v="129"/>
  </r>
  <r>
    <x v="15"/>
    <x v="5"/>
    <s v="70% Dark Bites"/>
    <d v="2023-01-31T00:00:00"/>
    <x v="1638"/>
    <x v="1638"/>
    <n v="290"/>
  </r>
  <r>
    <x v="8"/>
    <x v="5"/>
    <s v="Organic Choco Syrup"/>
    <d v="2023-03-10T00:00:00"/>
    <x v="1639"/>
    <x v="1639"/>
    <n v="219"/>
  </r>
  <r>
    <x v="4"/>
    <x v="0"/>
    <s v="Organic Choco Syrup"/>
    <d v="2023-06-30T00:00:00"/>
    <x v="1640"/>
    <x v="1640"/>
    <n v="170"/>
  </r>
  <r>
    <x v="1"/>
    <x v="3"/>
    <s v="Eclairs"/>
    <d v="2023-03-01T00:00:00"/>
    <x v="1641"/>
    <x v="1641"/>
    <n v="176"/>
  </r>
  <r>
    <x v="9"/>
    <x v="0"/>
    <s v="Drinking Coco"/>
    <d v="2023-05-27T00:00:00"/>
    <x v="1642"/>
    <x v="1642"/>
    <n v="107"/>
  </r>
  <r>
    <x v="4"/>
    <x v="0"/>
    <s v="Milk Bars"/>
    <d v="2023-07-11T00:00:00"/>
    <x v="1643"/>
    <x v="1643"/>
    <n v="220"/>
  </r>
  <r>
    <x v="10"/>
    <x v="3"/>
    <s v="Mint Chip Choco"/>
    <d v="2023-03-02T00:00:00"/>
    <x v="1644"/>
    <x v="1644"/>
    <n v="59"/>
  </r>
  <r>
    <x v="0"/>
    <x v="4"/>
    <s v="Raspberry Choco"/>
    <d v="2023-03-04T00:00:00"/>
    <x v="1645"/>
    <x v="1645"/>
    <n v="141"/>
  </r>
  <r>
    <x v="20"/>
    <x v="0"/>
    <s v="85% Dark Bars"/>
    <d v="2023-06-23T00:00:00"/>
    <x v="1646"/>
    <x v="1646"/>
    <n v="235"/>
  </r>
  <r>
    <x v="20"/>
    <x v="4"/>
    <s v="Almond Choco"/>
    <d v="2023-01-27T00:00:00"/>
    <x v="1647"/>
    <x v="1647"/>
    <n v="234"/>
  </r>
  <r>
    <x v="11"/>
    <x v="5"/>
    <s v="Orange Choco"/>
    <d v="2023-01-14T00:00:00"/>
    <x v="1648"/>
    <x v="1648"/>
    <n v="456"/>
  </r>
  <r>
    <x v="17"/>
    <x v="1"/>
    <s v="Fruit &amp; Nut Bars"/>
    <d v="2023-07-29T00:00:00"/>
    <x v="1649"/>
    <x v="1649"/>
    <n v="23"/>
  </r>
  <r>
    <x v="6"/>
    <x v="5"/>
    <s v="Smooth Sliky Salty"/>
    <d v="2023-05-13T00:00:00"/>
    <x v="1650"/>
    <x v="1650"/>
    <n v="497"/>
  </r>
  <r>
    <x v="8"/>
    <x v="5"/>
    <s v="Baker's Choco Chips"/>
    <d v="2023-02-03T00:00:00"/>
    <x v="1651"/>
    <x v="1651"/>
    <n v="172"/>
  </r>
  <r>
    <x v="6"/>
    <x v="1"/>
    <s v="Smooth Sliky Salty"/>
    <d v="2023-05-27T00:00:00"/>
    <x v="1652"/>
    <x v="1652"/>
    <n v="28"/>
  </r>
  <r>
    <x v="3"/>
    <x v="2"/>
    <s v="Drinking Coco"/>
    <d v="2023-02-18T00:00:00"/>
    <x v="1653"/>
    <x v="1653"/>
    <n v="25"/>
  </r>
  <r>
    <x v="6"/>
    <x v="1"/>
    <s v="Spicy Special Slims"/>
    <d v="2023-01-28T00:00:00"/>
    <x v="1654"/>
    <x v="1654"/>
    <n v="34"/>
  </r>
  <r>
    <x v="1"/>
    <x v="0"/>
    <s v="Eclairs"/>
    <d v="2023-06-29T00:00:00"/>
    <x v="1655"/>
    <x v="1655"/>
    <n v="115"/>
  </r>
  <r>
    <x v="18"/>
    <x v="1"/>
    <s v="Caramel Stuffed Bars"/>
    <d v="2023-01-13T00:00:00"/>
    <x v="1656"/>
    <x v="1656"/>
    <n v="282"/>
  </r>
  <r>
    <x v="0"/>
    <x v="0"/>
    <s v="After Nines"/>
    <d v="2023-06-27T00:00:00"/>
    <x v="1657"/>
    <x v="1657"/>
    <n v="169"/>
  </r>
  <r>
    <x v="8"/>
    <x v="5"/>
    <s v="White Choc"/>
    <d v="2023-03-29T00:00:00"/>
    <x v="1658"/>
    <x v="1658"/>
    <n v="1"/>
  </r>
  <r>
    <x v="5"/>
    <x v="1"/>
    <s v="Organic Choco Syrup"/>
    <d v="2023-06-03T00:00:00"/>
    <x v="1659"/>
    <x v="1659"/>
    <n v="153"/>
  </r>
  <r>
    <x v="9"/>
    <x v="5"/>
    <s v="Smooth Sliky Salty"/>
    <d v="2023-03-21T00:00:00"/>
    <x v="1660"/>
    <x v="1660"/>
    <n v="103"/>
  </r>
  <r>
    <x v="9"/>
    <x v="1"/>
    <s v="Eclairs"/>
    <d v="2023-04-12T00:00:00"/>
    <x v="1661"/>
    <x v="1661"/>
    <n v="49"/>
  </r>
  <r>
    <x v="7"/>
    <x v="2"/>
    <s v="Raspberry Choco"/>
    <d v="2023-01-19T00:00:00"/>
    <x v="1662"/>
    <x v="1662"/>
    <n v="247"/>
  </r>
  <r>
    <x v="10"/>
    <x v="0"/>
    <s v="50% Dark Bites"/>
    <d v="2023-04-06T00:00:00"/>
    <x v="1663"/>
    <x v="1663"/>
    <n v="295"/>
  </r>
  <r>
    <x v="16"/>
    <x v="2"/>
    <s v="50% Dark Bites"/>
    <d v="2023-08-02T00:00:00"/>
    <x v="1664"/>
    <x v="1664"/>
    <n v="81"/>
  </r>
  <r>
    <x v="2"/>
    <x v="2"/>
    <s v="Eclairs"/>
    <d v="2023-04-12T00:00:00"/>
    <x v="1665"/>
    <x v="1665"/>
    <n v="146"/>
  </r>
  <r>
    <x v="4"/>
    <x v="1"/>
    <s v="Drinking Coco"/>
    <d v="2023-07-21T00:00:00"/>
    <x v="1666"/>
    <x v="1666"/>
    <n v="139"/>
  </r>
  <r>
    <x v="1"/>
    <x v="3"/>
    <s v="Baker's Choco Chips"/>
    <d v="2023-03-22T00:00:00"/>
    <x v="1667"/>
    <x v="1667"/>
    <n v="24"/>
  </r>
  <r>
    <x v="15"/>
    <x v="1"/>
    <s v="Peanut Butter Cubes"/>
    <d v="2023-05-09T00:00:00"/>
    <x v="1668"/>
    <x v="1668"/>
    <n v="5"/>
  </r>
  <r>
    <x v="19"/>
    <x v="2"/>
    <s v="Baker's Choco Chips"/>
    <d v="2023-08-09T00:00:00"/>
    <x v="1669"/>
    <x v="1669"/>
    <n v="118"/>
  </r>
  <r>
    <x v="22"/>
    <x v="5"/>
    <s v="Choco Coated Almonds"/>
    <d v="2023-07-20T00:00:00"/>
    <x v="1670"/>
    <x v="1670"/>
    <n v="283"/>
  </r>
  <r>
    <x v="6"/>
    <x v="1"/>
    <s v="70% Dark Bites"/>
    <d v="2023-04-14T00:00:00"/>
    <x v="1671"/>
    <x v="1671"/>
    <n v="439"/>
  </r>
  <r>
    <x v="0"/>
    <x v="5"/>
    <s v="White Choc"/>
    <d v="2023-01-25T00:00:00"/>
    <x v="1672"/>
    <x v="1672"/>
    <n v="132"/>
  </r>
  <r>
    <x v="19"/>
    <x v="2"/>
    <s v="Almond Choco"/>
    <d v="2023-04-25T00:00:00"/>
    <x v="1673"/>
    <x v="1673"/>
    <n v="174"/>
  </r>
  <r>
    <x v="23"/>
    <x v="5"/>
    <s v="After Nines"/>
    <d v="2023-01-17T00:00:00"/>
    <x v="1674"/>
    <x v="1674"/>
    <n v="239"/>
  </r>
  <r>
    <x v="10"/>
    <x v="4"/>
    <s v="Eclairs"/>
    <d v="2023-08-15T00:00:00"/>
    <x v="1675"/>
    <x v="1675"/>
    <n v="133"/>
  </r>
  <r>
    <x v="10"/>
    <x v="5"/>
    <s v="Fruit &amp; Nut Bars"/>
    <d v="2023-06-02T00:00:00"/>
    <x v="1676"/>
    <x v="1676"/>
    <n v="17"/>
  </r>
  <r>
    <x v="5"/>
    <x v="4"/>
    <s v="85% Dark Bars"/>
    <d v="2023-06-30T00:00:00"/>
    <x v="1677"/>
    <x v="1677"/>
    <n v="131"/>
  </r>
  <r>
    <x v="23"/>
    <x v="3"/>
    <s v="Raspberry Choco"/>
    <d v="2023-02-10T00:00:00"/>
    <x v="1678"/>
    <x v="1678"/>
    <n v="99"/>
  </r>
  <r>
    <x v="11"/>
    <x v="5"/>
    <s v="Caramel Stuffed Bars"/>
    <d v="2023-02-23T00:00:00"/>
    <x v="1679"/>
    <x v="1679"/>
    <n v="602"/>
  </r>
  <r>
    <x v="17"/>
    <x v="1"/>
    <s v="Organic Choco Syrup"/>
    <d v="2023-01-27T00:00:00"/>
    <x v="1680"/>
    <x v="1680"/>
    <n v="209"/>
  </r>
  <r>
    <x v="21"/>
    <x v="0"/>
    <s v="Mint Chip Choco"/>
    <d v="2023-05-26T00:00:00"/>
    <x v="1681"/>
    <x v="1681"/>
    <n v="307"/>
  </r>
  <r>
    <x v="6"/>
    <x v="4"/>
    <s v="70% Dark Bites"/>
    <d v="2023-04-14T00:00:00"/>
    <x v="1682"/>
    <x v="1682"/>
    <n v="22"/>
  </r>
  <r>
    <x v="22"/>
    <x v="2"/>
    <s v="99% Dark &amp; Pure"/>
    <d v="2023-08-01T00:00:00"/>
    <x v="1683"/>
    <x v="1683"/>
    <n v="159"/>
  </r>
  <r>
    <x v="9"/>
    <x v="2"/>
    <s v="Eclairs"/>
    <d v="2023-08-22T00:00:00"/>
    <x v="1684"/>
    <x v="1684"/>
    <n v="229"/>
  </r>
  <r>
    <x v="11"/>
    <x v="1"/>
    <s v="99% Dark &amp; Pure"/>
    <d v="2023-07-22T00:00:00"/>
    <x v="1685"/>
    <x v="1685"/>
    <n v="159"/>
  </r>
  <r>
    <x v="15"/>
    <x v="4"/>
    <s v="Fruit &amp; Nut Bars"/>
    <d v="2023-04-28T00:00:00"/>
    <x v="1686"/>
    <x v="1686"/>
    <n v="27"/>
  </r>
  <r>
    <x v="20"/>
    <x v="2"/>
    <s v="Almond Choco"/>
    <d v="2023-05-30T00:00:00"/>
    <x v="1687"/>
    <x v="1687"/>
    <n v="341"/>
  </r>
  <r>
    <x v="24"/>
    <x v="4"/>
    <s v="Milk Bars"/>
    <d v="2023-07-21T00:00:00"/>
    <x v="1688"/>
    <x v="1688"/>
    <n v="155"/>
  </r>
  <r>
    <x v="3"/>
    <x v="0"/>
    <s v="Caramel Stuffed Bars"/>
    <d v="2023-08-02T00:00:00"/>
    <x v="1689"/>
    <x v="1689"/>
    <n v="507"/>
  </r>
  <r>
    <x v="6"/>
    <x v="3"/>
    <s v="70% Dark Bites"/>
    <d v="2023-06-15T00:00:00"/>
    <x v="1690"/>
    <x v="1690"/>
    <n v="143"/>
  </r>
  <r>
    <x v="4"/>
    <x v="1"/>
    <s v="85% Dark Bars"/>
    <d v="2023-07-05T00:00:00"/>
    <x v="1691"/>
    <x v="1691"/>
    <n v="142"/>
  </r>
  <r>
    <x v="16"/>
    <x v="3"/>
    <s v="Smooth Sliky Salty"/>
    <d v="2023-04-12T00:00:00"/>
    <x v="1692"/>
    <x v="1692"/>
    <n v="513"/>
  </r>
  <r>
    <x v="2"/>
    <x v="2"/>
    <s v="70% Dark Bites"/>
    <d v="2023-08-18T00:00:00"/>
    <x v="1693"/>
    <x v="1693"/>
    <n v="104"/>
  </r>
  <r>
    <x v="3"/>
    <x v="0"/>
    <s v="50% Dark Bites"/>
    <d v="2023-01-12T00:00:00"/>
    <x v="1694"/>
    <x v="1694"/>
    <n v="298"/>
  </r>
  <r>
    <x v="5"/>
    <x v="5"/>
    <s v="White Choc"/>
    <d v="2023-08-11T00:00:00"/>
    <x v="1695"/>
    <x v="1695"/>
    <n v="15"/>
  </r>
  <r>
    <x v="0"/>
    <x v="2"/>
    <s v="Spicy Special Slims"/>
    <d v="2023-01-13T00:00:00"/>
    <x v="1696"/>
    <x v="1696"/>
    <n v="402"/>
  </r>
  <r>
    <x v="15"/>
    <x v="0"/>
    <s v="Baker's Choco Chips"/>
    <d v="2023-04-29T00:00:00"/>
    <x v="1697"/>
    <x v="1697"/>
    <n v="143"/>
  </r>
  <r>
    <x v="7"/>
    <x v="3"/>
    <s v="After Nines"/>
    <d v="2023-07-07T00:00:00"/>
    <x v="1698"/>
    <x v="1698"/>
    <n v="88"/>
  </r>
  <r>
    <x v="22"/>
    <x v="3"/>
    <s v="Mint Chip Choco"/>
    <d v="2023-03-11T00:00:00"/>
    <x v="1699"/>
    <x v="1699"/>
    <n v="4"/>
  </r>
  <r>
    <x v="22"/>
    <x v="0"/>
    <s v="70% Dark Bites"/>
    <d v="2023-02-16T00:00:00"/>
    <x v="1700"/>
    <x v="1700"/>
    <n v="241"/>
  </r>
  <r>
    <x v="8"/>
    <x v="2"/>
    <s v="Organic Choco Syrup"/>
    <d v="2023-01-07T00:00:00"/>
    <x v="1701"/>
    <x v="1701"/>
    <n v="33"/>
  </r>
  <r>
    <x v="12"/>
    <x v="3"/>
    <s v="Drinking Coco"/>
    <d v="2023-01-12T00:00:00"/>
    <x v="1702"/>
    <x v="1702"/>
    <n v="497"/>
  </r>
  <r>
    <x v="12"/>
    <x v="1"/>
    <s v="Eclairs"/>
    <d v="2023-06-09T00:00:00"/>
    <x v="1703"/>
    <x v="1703"/>
    <n v="144"/>
  </r>
  <r>
    <x v="19"/>
    <x v="1"/>
    <s v="Eclairs"/>
    <d v="2023-05-16T00:00:00"/>
    <x v="1704"/>
    <x v="1704"/>
    <n v="83"/>
  </r>
  <r>
    <x v="2"/>
    <x v="0"/>
    <s v="85% Dark Bars"/>
    <d v="2023-06-23T00:00:00"/>
    <x v="1705"/>
    <x v="1705"/>
    <n v="100"/>
  </r>
  <r>
    <x v="13"/>
    <x v="0"/>
    <s v="Raspberry Choco"/>
    <d v="2023-01-28T00:00:00"/>
    <x v="1706"/>
    <x v="1706"/>
    <n v="198"/>
  </r>
  <r>
    <x v="23"/>
    <x v="0"/>
    <s v="Mint Chip Choco"/>
    <d v="2023-07-14T00:00:00"/>
    <x v="1707"/>
    <x v="1707"/>
    <n v="223"/>
  </r>
  <r>
    <x v="8"/>
    <x v="5"/>
    <s v="Drinking Coco"/>
    <d v="2023-04-18T00:00:00"/>
    <x v="1708"/>
    <x v="1708"/>
    <n v="245"/>
  </r>
  <r>
    <x v="4"/>
    <x v="4"/>
    <s v="Milk Bars"/>
    <d v="2023-06-14T00:00:00"/>
    <x v="1709"/>
    <x v="1709"/>
    <n v="82"/>
  </r>
  <r>
    <x v="4"/>
    <x v="0"/>
    <s v="Orange Choco"/>
    <d v="2023-04-15T00:00:00"/>
    <x v="1710"/>
    <x v="1710"/>
    <n v="251"/>
  </r>
  <r>
    <x v="14"/>
    <x v="5"/>
    <s v="Peanut Butter Cubes"/>
    <d v="2023-05-19T00:00:00"/>
    <x v="1711"/>
    <x v="1711"/>
    <n v="64"/>
  </r>
  <r>
    <x v="2"/>
    <x v="1"/>
    <s v="White Choc"/>
    <d v="2023-04-13T00:00:00"/>
    <x v="1712"/>
    <x v="1712"/>
    <n v="180"/>
  </r>
  <r>
    <x v="15"/>
    <x v="5"/>
    <s v="Choco Coated Almonds"/>
    <d v="2023-08-15T00:00:00"/>
    <x v="1713"/>
    <x v="1713"/>
    <n v="395"/>
  </r>
  <r>
    <x v="18"/>
    <x v="1"/>
    <s v="Choco Coated Almonds"/>
    <d v="2023-08-22T00:00:00"/>
    <x v="1714"/>
    <x v="1714"/>
    <n v="227"/>
  </r>
  <r>
    <x v="18"/>
    <x v="3"/>
    <s v="Baker's Choco Chips"/>
    <d v="2023-04-22T00:00:00"/>
    <x v="1715"/>
    <x v="1715"/>
    <n v="64"/>
  </r>
  <r>
    <x v="16"/>
    <x v="0"/>
    <s v="Choco Coated Almonds"/>
    <d v="2023-08-03T00:00:00"/>
    <x v="1716"/>
    <x v="1716"/>
    <n v="118"/>
  </r>
  <r>
    <x v="17"/>
    <x v="3"/>
    <s v="Organic Choco Syrup"/>
    <d v="2023-01-04T00:00:00"/>
    <x v="1717"/>
    <x v="1717"/>
    <n v="224"/>
  </r>
  <r>
    <x v="20"/>
    <x v="5"/>
    <s v="After Nines"/>
    <d v="2023-01-13T00:00:00"/>
    <x v="1718"/>
    <x v="1718"/>
    <n v="218"/>
  </r>
  <r>
    <x v="1"/>
    <x v="2"/>
    <s v="Baker's Choco Chips"/>
    <d v="2023-05-11T00:00:00"/>
    <x v="1719"/>
    <x v="1719"/>
    <n v="33"/>
  </r>
  <r>
    <x v="15"/>
    <x v="3"/>
    <s v="Peanut Butter Cubes"/>
    <d v="2023-02-16T00:00:00"/>
    <x v="1720"/>
    <x v="1720"/>
    <n v="235"/>
  </r>
  <r>
    <x v="16"/>
    <x v="0"/>
    <s v="Caramel Stuffed Bars"/>
    <d v="2023-05-20T00:00:00"/>
    <x v="1721"/>
    <x v="1721"/>
    <n v="67"/>
  </r>
  <r>
    <x v="0"/>
    <x v="0"/>
    <s v="Drinking Coco"/>
    <d v="2023-02-03T00:00:00"/>
    <x v="1722"/>
    <x v="1722"/>
    <n v="422"/>
  </r>
  <r>
    <x v="12"/>
    <x v="1"/>
    <s v="Manuka Honey Choco"/>
    <d v="2023-05-06T00:00:00"/>
    <x v="1723"/>
    <x v="1723"/>
    <n v="159"/>
  </r>
  <r>
    <x v="5"/>
    <x v="0"/>
    <s v="Choco Coated Almonds"/>
    <d v="2023-06-30T00:00:00"/>
    <x v="1724"/>
    <x v="1724"/>
    <n v="141"/>
  </r>
  <r>
    <x v="5"/>
    <x v="0"/>
    <s v="Smooth Sliky Salty"/>
    <d v="2023-03-22T00:00:00"/>
    <x v="1725"/>
    <x v="1725"/>
    <n v="158"/>
  </r>
  <r>
    <x v="21"/>
    <x v="5"/>
    <s v="Orange Choco"/>
    <d v="2023-02-17T00:00:00"/>
    <x v="1726"/>
    <x v="1726"/>
    <n v="52"/>
  </r>
  <r>
    <x v="0"/>
    <x v="0"/>
    <s v="85% Dark Bars"/>
    <d v="2023-07-07T00:00:00"/>
    <x v="1727"/>
    <x v="1727"/>
    <n v="63"/>
  </r>
  <r>
    <x v="4"/>
    <x v="0"/>
    <s v="70% Dark Bites"/>
    <d v="2023-03-16T00:00:00"/>
    <x v="1728"/>
    <x v="1728"/>
    <n v="187"/>
  </r>
  <r>
    <x v="20"/>
    <x v="0"/>
    <s v="99% Dark &amp; Pure"/>
    <d v="2023-08-12T00:00:00"/>
    <x v="1729"/>
    <x v="1729"/>
    <n v="123"/>
  </r>
  <r>
    <x v="2"/>
    <x v="3"/>
    <s v="After Nines"/>
    <d v="2023-01-21T00:00:00"/>
    <x v="1730"/>
    <x v="1730"/>
    <n v="196"/>
  </r>
  <r>
    <x v="4"/>
    <x v="2"/>
    <s v="50% Dark Bites"/>
    <d v="2023-05-06T00:00:00"/>
    <x v="1731"/>
    <x v="1731"/>
    <n v="147"/>
  </r>
  <r>
    <x v="4"/>
    <x v="5"/>
    <s v="50% Dark Bites"/>
    <d v="2023-06-24T00:00:00"/>
    <x v="1732"/>
    <x v="1732"/>
    <n v="140"/>
  </r>
  <r>
    <x v="8"/>
    <x v="4"/>
    <s v="White Choc"/>
    <d v="2023-05-05T00:00:00"/>
    <x v="1733"/>
    <x v="1733"/>
    <n v="175"/>
  </r>
  <r>
    <x v="7"/>
    <x v="3"/>
    <s v="99% Dark &amp; Pure"/>
    <d v="2023-03-25T00:00:00"/>
    <x v="1734"/>
    <x v="1734"/>
    <n v="85"/>
  </r>
  <r>
    <x v="14"/>
    <x v="2"/>
    <s v="Caramel Stuffed Bars"/>
    <d v="2023-02-14T00:00:00"/>
    <x v="1735"/>
    <x v="1735"/>
    <n v="136"/>
  </r>
  <r>
    <x v="14"/>
    <x v="3"/>
    <s v="85% Dark Bars"/>
    <d v="2023-05-12T00:00:00"/>
    <x v="1736"/>
    <x v="1736"/>
    <n v="180"/>
  </r>
  <r>
    <x v="8"/>
    <x v="3"/>
    <s v="Smooth Sliky Salty"/>
    <d v="2023-01-25T00:00:00"/>
    <x v="1737"/>
    <x v="1737"/>
    <n v="172"/>
  </r>
  <r>
    <x v="24"/>
    <x v="0"/>
    <s v="85% Dark Bars"/>
    <d v="2023-06-28T00:00:00"/>
    <x v="1738"/>
    <x v="1738"/>
    <n v="11"/>
  </r>
  <r>
    <x v="17"/>
    <x v="2"/>
    <s v="Drinking Coco"/>
    <d v="2023-07-13T00:00:00"/>
    <x v="1739"/>
    <x v="1739"/>
    <n v="188"/>
  </r>
  <r>
    <x v="13"/>
    <x v="4"/>
    <s v="Milk Bars"/>
    <d v="2023-05-16T00:00:00"/>
    <x v="1740"/>
    <x v="1740"/>
    <n v="268"/>
  </r>
  <r>
    <x v="3"/>
    <x v="1"/>
    <s v="After Nines"/>
    <d v="2023-03-14T00:00:00"/>
    <x v="1741"/>
    <x v="1741"/>
    <n v="179"/>
  </r>
  <r>
    <x v="5"/>
    <x v="4"/>
    <s v="After Nines"/>
    <d v="2023-08-15T00:00:00"/>
    <x v="1742"/>
    <x v="1742"/>
    <n v="252"/>
  </r>
  <r>
    <x v="24"/>
    <x v="1"/>
    <s v="Orange Choco"/>
    <d v="2023-02-16T00:00:00"/>
    <x v="1743"/>
    <x v="1743"/>
    <n v="271"/>
  </r>
  <r>
    <x v="9"/>
    <x v="0"/>
    <s v="Manuka Honey Choco"/>
    <d v="2023-06-15T00:00:00"/>
    <x v="1744"/>
    <x v="1744"/>
    <n v="45"/>
  </r>
  <r>
    <x v="8"/>
    <x v="2"/>
    <s v="Raspberry Choco"/>
    <d v="2023-05-27T00:00:00"/>
    <x v="1745"/>
    <x v="1745"/>
    <n v="105"/>
  </r>
  <r>
    <x v="18"/>
    <x v="4"/>
    <s v="Drinking Coco"/>
    <d v="2023-06-14T00:00:00"/>
    <x v="1746"/>
    <x v="1746"/>
    <n v="107"/>
  </r>
  <r>
    <x v="18"/>
    <x v="1"/>
    <s v="Eclairs"/>
    <d v="2023-02-25T00:00:00"/>
    <x v="1747"/>
    <x v="1747"/>
    <n v="80"/>
  </r>
  <r>
    <x v="18"/>
    <x v="1"/>
    <s v="After Nines"/>
    <d v="2023-08-04T00:00:00"/>
    <x v="1748"/>
    <x v="1748"/>
    <n v="252"/>
  </r>
  <r>
    <x v="20"/>
    <x v="1"/>
    <s v="99% Dark &amp; Pure"/>
    <d v="2023-06-28T00:00:00"/>
    <x v="1749"/>
    <x v="1749"/>
    <n v="236"/>
  </r>
  <r>
    <x v="5"/>
    <x v="5"/>
    <s v="Spicy Special Slims"/>
    <d v="2023-04-05T00:00:00"/>
    <x v="1750"/>
    <x v="1750"/>
    <n v="12"/>
  </r>
  <r>
    <x v="22"/>
    <x v="5"/>
    <s v="Peanut Butter Cubes"/>
    <d v="2023-07-05T00:00:00"/>
    <x v="1751"/>
    <x v="1751"/>
    <n v="121"/>
  </r>
  <r>
    <x v="16"/>
    <x v="3"/>
    <s v="Eclairs"/>
    <d v="2023-01-20T00:00:00"/>
    <x v="1752"/>
    <x v="1752"/>
    <n v="47"/>
  </r>
  <r>
    <x v="24"/>
    <x v="3"/>
    <s v="Drinking Coco"/>
    <d v="2023-02-16T00:00:00"/>
    <x v="1753"/>
    <x v="1753"/>
    <n v="127"/>
  </r>
  <r>
    <x v="14"/>
    <x v="0"/>
    <s v="Drinking Coco"/>
    <d v="2023-07-12T00:00:00"/>
    <x v="1754"/>
    <x v="1754"/>
    <n v="182"/>
  </r>
  <r>
    <x v="20"/>
    <x v="1"/>
    <s v="Raspberry Choco"/>
    <d v="2023-06-16T00:00:00"/>
    <x v="1755"/>
    <x v="1755"/>
    <n v="257"/>
  </r>
  <r>
    <x v="23"/>
    <x v="2"/>
    <s v="Choco Coated Almonds"/>
    <d v="2023-04-13T00:00:00"/>
    <x v="1756"/>
    <x v="1756"/>
    <n v="277"/>
  </r>
  <r>
    <x v="16"/>
    <x v="0"/>
    <s v="50% Dark Bites"/>
    <d v="2023-02-21T00:00:00"/>
    <x v="1757"/>
    <x v="1757"/>
    <n v="72"/>
  </r>
  <r>
    <x v="13"/>
    <x v="5"/>
    <s v="Choco Coated Almonds"/>
    <d v="2023-05-11T00:00:00"/>
    <x v="1758"/>
    <x v="1758"/>
    <n v="247"/>
  </r>
  <r>
    <x v="24"/>
    <x v="1"/>
    <s v="50% Dark Bites"/>
    <d v="2023-04-15T00:00:00"/>
    <x v="1759"/>
    <x v="1759"/>
    <n v="334"/>
  </r>
  <r>
    <x v="4"/>
    <x v="5"/>
    <s v="Peanut Butter Cubes"/>
    <d v="2023-06-07T00:00:00"/>
    <x v="1760"/>
    <x v="1760"/>
    <n v="179"/>
  </r>
  <r>
    <x v="4"/>
    <x v="0"/>
    <s v="White Choc"/>
    <d v="2023-06-27T00:00:00"/>
    <x v="1761"/>
    <x v="1761"/>
    <n v="280"/>
  </r>
  <r>
    <x v="8"/>
    <x v="1"/>
    <s v="After Nines"/>
    <d v="2023-07-29T00:00:00"/>
    <x v="1762"/>
    <x v="1762"/>
    <n v="104"/>
  </r>
  <r>
    <x v="18"/>
    <x v="5"/>
    <s v="Smooth Sliky Salty"/>
    <d v="2023-06-02T00:00:00"/>
    <x v="1763"/>
    <x v="1763"/>
    <n v="165"/>
  </r>
  <r>
    <x v="7"/>
    <x v="1"/>
    <s v="Mint Chip Choco"/>
    <d v="2023-01-26T00:00:00"/>
    <x v="1764"/>
    <x v="1764"/>
    <n v="91"/>
  </r>
  <r>
    <x v="7"/>
    <x v="5"/>
    <s v="99% Dark &amp; Pure"/>
    <d v="2023-03-02T00:00:00"/>
    <x v="1765"/>
    <x v="1765"/>
    <n v="140"/>
  </r>
  <r>
    <x v="1"/>
    <x v="2"/>
    <s v="70% Dark Bites"/>
    <d v="2023-01-10T00:00:00"/>
    <x v="1766"/>
    <x v="1766"/>
    <n v="111"/>
  </r>
  <r>
    <x v="12"/>
    <x v="4"/>
    <s v="70% Dark Bites"/>
    <d v="2023-06-27T00:00:00"/>
    <x v="1767"/>
    <x v="1767"/>
    <n v="117"/>
  </r>
  <r>
    <x v="8"/>
    <x v="5"/>
    <s v="Orange Choco"/>
    <d v="2023-06-30T00:00:00"/>
    <x v="1768"/>
    <x v="1768"/>
    <n v="19"/>
  </r>
  <r>
    <x v="13"/>
    <x v="2"/>
    <s v="85% Dark Bars"/>
    <d v="2023-07-08T00:00:00"/>
    <x v="1769"/>
    <x v="1769"/>
    <n v="77"/>
  </r>
  <r>
    <x v="4"/>
    <x v="1"/>
    <s v="Spicy Special Slims"/>
    <d v="2023-06-08T00:00:00"/>
    <x v="1770"/>
    <x v="1770"/>
    <n v="86"/>
  </r>
  <r>
    <x v="3"/>
    <x v="0"/>
    <s v="Manuka Honey Choco"/>
    <d v="2023-08-18T00:00:00"/>
    <x v="1771"/>
    <x v="1771"/>
    <n v="231"/>
  </r>
  <r>
    <x v="16"/>
    <x v="2"/>
    <s v="After Nines"/>
    <d v="2023-04-08T00:00:00"/>
    <x v="1772"/>
    <x v="1772"/>
    <n v="300"/>
  </r>
  <r>
    <x v="18"/>
    <x v="5"/>
    <s v="Fruit &amp; Nut Bars"/>
    <d v="2023-08-08T00:00:00"/>
    <x v="1773"/>
    <x v="1773"/>
    <n v="176"/>
  </r>
  <r>
    <x v="18"/>
    <x v="0"/>
    <s v="Milk Bars"/>
    <d v="2023-08-26T00:00:00"/>
    <x v="1774"/>
    <x v="1774"/>
    <n v="62"/>
  </r>
  <r>
    <x v="4"/>
    <x v="5"/>
    <s v="Fruit &amp; Nut Bars"/>
    <d v="2023-01-14T00:00:00"/>
    <x v="1775"/>
    <x v="1775"/>
    <n v="161"/>
  </r>
  <r>
    <x v="17"/>
    <x v="4"/>
    <s v="Baker's Choco Chips"/>
    <d v="2023-08-11T00:00:00"/>
    <x v="1776"/>
    <x v="1776"/>
    <n v="298"/>
  </r>
  <r>
    <x v="22"/>
    <x v="4"/>
    <s v="Almond Choco"/>
    <d v="2023-05-31T00:00:00"/>
    <x v="1777"/>
    <x v="1777"/>
    <n v="24"/>
  </r>
  <r>
    <x v="1"/>
    <x v="3"/>
    <s v="50% Dark Bites"/>
    <d v="2023-07-11T00:00:00"/>
    <x v="1778"/>
    <x v="1778"/>
    <n v="11"/>
  </r>
  <r>
    <x v="10"/>
    <x v="5"/>
    <s v="Caramel Stuffed Bars"/>
    <d v="2023-03-02T00:00:00"/>
    <x v="1779"/>
    <x v="1779"/>
    <n v="308"/>
  </r>
  <r>
    <x v="22"/>
    <x v="2"/>
    <s v="Raspberry Choco"/>
    <d v="2023-07-13T00:00:00"/>
    <x v="1780"/>
    <x v="1780"/>
    <n v="94"/>
  </r>
  <r>
    <x v="7"/>
    <x v="0"/>
    <s v="Spicy Special Slims"/>
    <d v="2023-08-03T00:00:00"/>
    <x v="1781"/>
    <x v="1781"/>
    <n v="143"/>
  </r>
  <r>
    <x v="14"/>
    <x v="0"/>
    <s v="Peanut Butter Cubes"/>
    <d v="2023-03-01T00:00:00"/>
    <x v="1782"/>
    <x v="1782"/>
    <n v="175"/>
  </r>
  <r>
    <x v="20"/>
    <x v="3"/>
    <s v="White Choc"/>
    <d v="2023-04-13T00:00:00"/>
    <x v="1783"/>
    <x v="1783"/>
    <n v="148"/>
  </r>
  <r>
    <x v="12"/>
    <x v="5"/>
    <s v="Fruit &amp; Nut Bars"/>
    <d v="2023-02-14T00:00:00"/>
    <x v="1784"/>
    <x v="1784"/>
    <n v="172"/>
  </r>
  <r>
    <x v="9"/>
    <x v="1"/>
    <s v="White Choc"/>
    <d v="2023-07-26T00:00:00"/>
    <x v="1785"/>
    <x v="1785"/>
    <n v="224"/>
  </r>
  <r>
    <x v="6"/>
    <x v="0"/>
    <s v="Drinking Coco"/>
    <d v="2023-01-27T00:00:00"/>
    <x v="1786"/>
    <x v="1786"/>
    <n v="128"/>
  </r>
  <r>
    <x v="0"/>
    <x v="1"/>
    <s v="Peanut Butter Cubes"/>
    <d v="2023-04-14T00:00:00"/>
    <x v="1787"/>
    <x v="1787"/>
    <n v="451"/>
  </r>
  <r>
    <x v="4"/>
    <x v="4"/>
    <s v="Almond Choco"/>
    <d v="2023-05-19T00:00:00"/>
    <x v="1788"/>
    <x v="1788"/>
    <n v="142"/>
  </r>
  <r>
    <x v="15"/>
    <x v="1"/>
    <s v="Eclairs"/>
    <d v="2023-02-09T00:00:00"/>
    <x v="1789"/>
    <x v="1789"/>
    <n v="56"/>
  </r>
  <r>
    <x v="6"/>
    <x v="0"/>
    <s v="Spicy Special Slims"/>
    <d v="2023-05-25T00:00:00"/>
    <x v="1790"/>
    <x v="1790"/>
    <n v="60"/>
  </r>
  <r>
    <x v="4"/>
    <x v="2"/>
    <s v="Manuka Honey Choco"/>
    <d v="2023-01-26T00:00:00"/>
    <x v="1791"/>
    <x v="1791"/>
    <n v="80"/>
  </r>
  <r>
    <x v="12"/>
    <x v="1"/>
    <s v="White Choc"/>
    <d v="2023-07-04T00:00:00"/>
    <x v="1792"/>
    <x v="1792"/>
    <n v="299"/>
  </r>
  <r>
    <x v="24"/>
    <x v="1"/>
    <s v="Almond Choco"/>
    <d v="2023-04-13T00:00:00"/>
    <x v="1793"/>
    <x v="1793"/>
    <n v="80"/>
  </r>
  <r>
    <x v="2"/>
    <x v="2"/>
    <s v="Smooth Sliky Salty"/>
    <d v="2023-01-25T00:00:00"/>
    <x v="1794"/>
    <x v="1794"/>
    <n v="117"/>
  </r>
  <r>
    <x v="21"/>
    <x v="4"/>
    <s v="85% Dark Bars"/>
    <d v="2023-04-25T00:00:00"/>
    <x v="1795"/>
    <x v="1795"/>
    <n v="80"/>
  </r>
  <r>
    <x v="21"/>
    <x v="4"/>
    <s v="Eclairs"/>
    <d v="2023-06-10T00:00:00"/>
    <x v="1796"/>
    <x v="1796"/>
    <n v="401"/>
  </r>
  <r>
    <x v="22"/>
    <x v="3"/>
    <s v="White Choc"/>
    <d v="2023-08-22T00:00:00"/>
    <x v="1797"/>
    <x v="1797"/>
    <n v="56"/>
  </r>
  <r>
    <x v="1"/>
    <x v="1"/>
    <s v="After Nines"/>
    <d v="2023-06-27T00:00:00"/>
    <x v="1798"/>
    <x v="1798"/>
    <n v="211"/>
  </r>
  <r>
    <x v="15"/>
    <x v="1"/>
    <s v="Orange Choco"/>
    <d v="2023-06-30T00:00:00"/>
    <x v="1799"/>
    <x v="1799"/>
    <n v="40"/>
  </r>
  <r>
    <x v="0"/>
    <x v="1"/>
    <s v="Almond Choco"/>
    <d v="2023-08-30T00:00:00"/>
    <x v="1800"/>
    <x v="1800"/>
    <n v="99"/>
  </r>
  <r>
    <x v="10"/>
    <x v="2"/>
    <s v="Raspberry Choco"/>
    <d v="2023-08-23T00:00:00"/>
    <x v="1801"/>
    <x v="1801"/>
    <n v="60"/>
  </r>
  <r>
    <x v="21"/>
    <x v="3"/>
    <s v="99% Dark &amp; Pure"/>
    <d v="2023-08-26T00:00:00"/>
    <x v="1802"/>
    <x v="1802"/>
    <n v="45"/>
  </r>
  <r>
    <x v="2"/>
    <x v="2"/>
    <s v="Orange Choco"/>
    <d v="2023-03-09T00:00:00"/>
    <x v="1803"/>
    <x v="1803"/>
    <n v="158"/>
  </r>
  <r>
    <x v="20"/>
    <x v="0"/>
    <s v="Drinking Coco"/>
    <d v="2023-04-20T00:00:00"/>
    <x v="1804"/>
    <x v="1804"/>
    <n v="24"/>
  </r>
  <r>
    <x v="9"/>
    <x v="5"/>
    <s v="Caramel Stuffed Bars"/>
    <d v="2023-06-10T00:00:00"/>
    <x v="1805"/>
    <x v="1805"/>
    <n v="547"/>
  </r>
  <r>
    <x v="15"/>
    <x v="2"/>
    <s v="Organic Choco Syrup"/>
    <d v="2023-02-08T00:00:00"/>
    <x v="1806"/>
    <x v="1806"/>
    <n v="155"/>
  </r>
  <r>
    <x v="6"/>
    <x v="2"/>
    <s v="White Choc"/>
    <d v="2023-08-25T00:00:00"/>
    <x v="1807"/>
    <x v="1807"/>
    <n v="23"/>
  </r>
  <r>
    <x v="23"/>
    <x v="1"/>
    <s v="Peanut Butter Cubes"/>
    <d v="2023-02-16T00:00:00"/>
    <x v="1808"/>
    <x v="1808"/>
    <n v="76"/>
  </r>
  <r>
    <x v="17"/>
    <x v="0"/>
    <s v="99% Dark &amp; Pure"/>
    <d v="2023-05-30T00:00:00"/>
    <x v="1809"/>
    <x v="1809"/>
    <n v="26"/>
  </r>
  <r>
    <x v="2"/>
    <x v="3"/>
    <s v="50% Dark Bites"/>
    <d v="2023-06-29T00:00:00"/>
    <x v="1810"/>
    <x v="1810"/>
    <n v="65"/>
  </r>
  <r>
    <x v="2"/>
    <x v="4"/>
    <s v="Milk Bars"/>
    <d v="2023-06-16T00:00:00"/>
    <x v="1811"/>
    <x v="1811"/>
    <n v="141"/>
  </r>
  <r>
    <x v="6"/>
    <x v="0"/>
    <s v="Caramel Stuffed Bars"/>
    <d v="2023-03-04T00:00:00"/>
    <x v="1812"/>
    <x v="1812"/>
    <n v="145"/>
  </r>
  <r>
    <x v="14"/>
    <x v="3"/>
    <s v="Peanut Butter Cubes"/>
    <d v="2023-03-15T00:00:00"/>
    <x v="1813"/>
    <x v="1813"/>
    <n v="454"/>
  </r>
  <r>
    <x v="14"/>
    <x v="3"/>
    <s v="50% Dark Bites"/>
    <d v="2023-01-27T00:00:00"/>
    <x v="1814"/>
    <x v="1814"/>
    <n v="88"/>
  </r>
  <r>
    <x v="12"/>
    <x v="5"/>
    <s v="Drinking Coco"/>
    <d v="2023-07-05T00:00:00"/>
    <x v="1815"/>
    <x v="1815"/>
    <n v="115"/>
  </r>
  <r>
    <x v="8"/>
    <x v="4"/>
    <s v="Caramel Stuffed Bars"/>
    <d v="2023-03-29T00:00:00"/>
    <x v="1816"/>
    <x v="1816"/>
    <n v="316"/>
  </r>
  <r>
    <x v="9"/>
    <x v="5"/>
    <s v="Almond Choco"/>
    <d v="2023-05-12T00:00:00"/>
    <x v="1817"/>
    <x v="1817"/>
    <n v="37"/>
  </r>
  <r>
    <x v="4"/>
    <x v="4"/>
    <s v="Drinking Coco"/>
    <d v="2023-03-11T00:00:00"/>
    <x v="1818"/>
    <x v="1818"/>
    <n v="47"/>
  </r>
  <r>
    <x v="6"/>
    <x v="3"/>
    <s v="Eclairs"/>
    <d v="2023-07-11T00:00:00"/>
    <x v="1819"/>
    <x v="1819"/>
    <n v="299"/>
  </r>
  <r>
    <x v="5"/>
    <x v="3"/>
    <s v="Choco Coated Almonds"/>
    <d v="2023-08-01T00:00:00"/>
    <x v="1820"/>
    <x v="1820"/>
    <n v="60"/>
  </r>
  <r>
    <x v="5"/>
    <x v="0"/>
    <s v="Spicy Special Slims"/>
    <d v="2023-02-16T00:00:00"/>
    <x v="1821"/>
    <x v="1821"/>
    <n v="199"/>
  </r>
  <r>
    <x v="14"/>
    <x v="4"/>
    <s v="After Nines"/>
    <d v="2023-04-13T00:00:00"/>
    <x v="1822"/>
    <x v="1822"/>
    <n v="256"/>
  </r>
  <r>
    <x v="4"/>
    <x v="1"/>
    <s v="Choco Coated Almonds"/>
    <d v="2023-02-14T00:00:00"/>
    <x v="1823"/>
    <x v="1823"/>
    <n v="399"/>
  </r>
  <r>
    <x v="24"/>
    <x v="2"/>
    <s v="Peanut Butter Cubes"/>
    <d v="2023-03-14T00:00:00"/>
    <x v="1824"/>
    <x v="1824"/>
    <n v="73"/>
  </r>
  <r>
    <x v="4"/>
    <x v="2"/>
    <s v="Spicy Special Slims"/>
    <d v="2023-04-26T00:00:00"/>
    <x v="1825"/>
    <x v="1825"/>
    <n v="25"/>
  </r>
  <r>
    <x v="0"/>
    <x v="5"/>
    <s v="Manuka Honey Choco"/>
    <d v="2023-04-05T00:00:00"/>
    <x v="1826"/>
    <x v="1826"/>
    <n v="209"/>
  </r>
  <r>
    <x v="21"/>
    <x v="5"/>
    <s v="Drinking Coco"/>
    <d v="2023-03-03T00:00:00"/>
    <x v="1827"/>
    <x v="1827"/>
    <n v="279"/>
  </r>
  <r>
    <x v="16"/>
    <x v="4"/>
    <s v="Spicy Special Slims"/>
    <d v="2023-06-13T00:00:00"/>
    <x v="1828"/>
    <x v="1828"/>
    <n v="171"/>
  </r>
  <r>
    <x v="11"/>
    <x v="3"/>
    <s v="70% Dark Bites"/>
    <d v="2023-02-14T00:00:00"/>
    <x v="1829"/>
    <x v="1829"/>
    <n v="360"/>
  </r>
  <r>
    <x v="13"/>
    <x v="3"/>
    <s v="99% Dark &amp; Pure"/>
    <d v="2023-04-18T00:00:00"/>
    <x v="1830"/>
    <x v="1830"/>
    <n v="188"/>
  </r>
  <r>
    <x v="4"/>
    <x v="3"/>
    <s v="85% Dark Bars"/>
    <d v="2023-02-01T00:00:00"/>
    <x v="1831"/>
    <x v="1831"/>
    <n v="452"/>
  </r>
  <r>
    <x v="23"/>
    <x v="3"/>
    <s v="Orange Choco"/>
    <d v="2023-08-04T00:00:00"/>
    <x v="1832"/>
    <x v="1832"/>
    <n v="155"/>
  </r>
  <r>
    <x v="19"/>
    <x v="3"/>
    <s v="Almond Choco"/>
    <d v="2023-04-05T00:00:00"/>
    <x v="1833"/>
    <x v="1833"/>
    <n v="165"/>
  </r>
  <r>
    <x v="10"/>
    <x v="2"/>
    <s v="99% Dark &amp; Pure"/>
    <d v="2023-01-26T00:00:00"/>
    <x v="1834"/>
    <x v="1834"/>
    <n v="166"/>
  </r>
  <r>
    <x v="16"/>
    <x v="0"/>
    <s v="After Nines"/>
    <d v="2023-01-21T00:00:00"/>
    <x v="1835"/>
    <x v="1835"/>
    <n v="171"/>
  </r>
  <r>
    <x v="16"/>
    <x v="5"/>
    <s v="After Nines"/>
    <d v="2023-08-22T00:00:00"/>
    <x v="1836"/>
    <x v="1836"/>
    <n v="178"/>
  </r>
  <r>
    <x v="16"/>
    <x v="0"/>
    <s v="Drinking Coco"/>
    <d v="2023-01-27T00:00:00"/>
    <x v="1837"/>
    <x v="1837"/>
    <n v="233"/>
  </r>
  <r>
    <x v="7"/>
    <x v="0"/>
    <s v="50% Dark Bites"/>
    <d v="2023-02-16T00:00:00"/>
    <x v="1838"/>
    <x v="1838"/>
    <n v="73"/>
  </r>
  <r>
    <x v="23"/>
    <x v="4"/>
    <s v="Raspberry Choco"/>
    <d v="2023-01-03T00:00:00"/>
    <x v="1839"/>
    <x v="1839"/>
    <n v="47"/>
  </r>
  <r>
    <x v="10"/>
    <x v="4"/>
    <s v="White Choc"/>
    <d v="2023-08-24T00:00:00"/>
    <x v="1840"/>
    <x v="1840"/>
    <n v="2"/>
  </r>
  <r>
    <x v="4"/>
    <x v="4"/>
    <s v="Spicy Special Slims"/>
    <d v="2023-02-07T00:00:00"/>
    <x v="1841"/>
    <x v="1841"/>
    <n v="398"/>
  </r>
  <r>
    <x v="9"/>
    <x v="2"/>
    <s v="Smooth Sliky Salty"/>
    <d v="2023-02-11T00:00:00"/>
    <x v="1842"/>
    <x v="1842"/>
    <n v="117"/>
  </r>
  <r>
    <x v="16"/>
    <x v="5"/>
    <s v="Organic Choco Syrup"/>
    <d v="2023-03-29T00:00:00"/>
    <x v="1843"/>
    <x v="1843"/>
    <n v="78"/>
  </r>
  <r>
    <x v="11"/>
    <x v="4"/>
    <s v="Peanut Butter Cubes"/>
    <d v="2023-06-15T00:00:00"/>
    <x v="1844"/>
    <x v="1844"/>
    <n v="363"/>
  </r>
  <r>
    <x v="17"/>
    <x v="0"/>
    <s v="Smooth Sliky Salty"/>
    <d v="2023-04-26T00:00:00"/>
    <x v="1845"/>
    <x v="1845"/>
    <n v="151"/>
  </r>
  <r>
    <x v="6"/>
    <x v="2"/>
    <s v="Organic Choco Syrup"/>
    <d v="2023-07-15T00:00:00"/>
    <x v="1846"/>
    <x v="1846"/>
    <n v="261"/>
  </r>
  <r>
    <x v="12"/>
    <x v="1"/>
    <s v="Organic Choco Syrup"/>
    <d v="2023-06-23T00:00:00"/>
    <x v="1847"/>
    <x v="1847"/>
    <n v="22"/>
  </r>
  <r>
    <x v="17"/>
    <x v="2"/>
    <s v="Baker's Choco Chips"/>
    <d v="2023-01-11T00:00:00"/>
    <x v="1848"/>
    <x v="1848"/>
    <n v="449"/>
  </r>
  <r>
    <x v="12"/>
    <x v="0"/>
    <s v="50% Dark Bites"/>
    <d v="2023-02-09T00:00:00"/>
    <x v="1849"/>
    <x v="1849"/>
    <n v="297"/>
  </r>
  <r>
    <x v="1"/>
    <x v="0"/>
    <s v="Almond Choco"/>
    <d v="2023-06-06T00:00:00"/>
    <x v="1850"/>
    <x v="1850"/>
    <n v="217"/>
  </r>
  <r>
    <x v="23"/>
    <x v="0"/>
    <s v="Caramel Stuffed Bars"/>
    <d v="2023-08-10T00:00:00"/>
    <x v="1851"/>
    <x v="1851"/>
    <n v="230"/>
  </r>
  <r>
    <x v="18"/>
    <x v="2"/>
    <s v="Smooth Sliky Salty"/>
    <d v="2023-01-04T00:00:00"/>
    <x v="1852"/>
    <x v="1852"/>
    <n v="45"/>
  </r>
  <r>
    <x v="19"/>
    <x v="5"/>
    <s v="70% Dark Bites"/>
    <d v="2023-04-08T00:00:00"/>
    <x v="1853"/>
    <x v="1853"/>
    <n v="16"/>
  </r>
  <r>
    <x v="8"/>
    <x v="0"/>
    <s v="Milk Bars"/>
    <d v="2023-03-02T00:00:00"/>
    <x v="1854"/>
    <x v="1854"/>
    <n v="409"/>
  </r>
  <r>
    <x v="1"/>
    <x v="5"/>
    <s v="Drinking Coco"/>
    <d v="2023-06-15T00:00:00"/>
    <x v="1855"/>
    <x v="1855"/>
    <n v="746"/>
  </r>
  <r>
    <x v="0"/>
    <x v="2"/>
    <s v="After Nines"/>
    <d v="2023-02-14T00:00:00"/>
    <x v="1856"/>
    <x v="1856"/>
    <n v="51"/>
  </r>
  <r>
    <x v="15"/>
    <x v="0"/>
    <s v="After Nines"/>
    <d v="2023-07-05T00:00:00"/>
    <x v="1857"/>
    <x v="1857"/>
    <n v="372"/>
  </r>
  <r>
    <x v="8"/>
    <x v="1"/>
    <s v="Mint Chip Choco"/>
    <d v="2023-01-12T00:00:00"/>
    <x v="1858"/>
    <x v="1858"/>
    <n v="493"/>
  </r>
  <r>
    <x v="14"/>
    <x v="1"/>
    <s v="Mint Chip Choco"/>
    <d v="2023-03-03T00:00:00"/>
    <x v="1859"/>
    <x v="1859"/>
    <n v="96"/>
  </r>
  <r>
    <x v="0"/>
    <x v="3"/>
    <s v="Milk Bars"/>
    <d v="2023-05-18T00:00:00"/>
    <x v="1860"/>
    <x v="1860"/>
    <n v="198"/>
  </r>
  <r>
    <x v="5"/>
    <x v="1"/>
    <s v="Caramel Stuffed Bars"/>
    <d v="2023-07-28T00:00:00"/>
    <x v="1861"/>
    <x v="1861"/>
    <n v="198"/>
  </r>
  <r>
    <x v="14"/>
    <x v="0"/>
    <s v="Manuka Honey Choco"/>
    <d v="2023-02-07T00:00:00"/>
    <x v="1862"/>
    <x v="1862"/>
    <n v="108"/>
  </r>
  <r>
    <x v="19"/>
    <x v="1"/>
    <s v="Orange Choco"/>
    <d v="2023-05-30T00:00:00"/>
    <x v="1863"/>
    <x v="1863"/>
    <n v="417"/>
  </r>
  <r>
    <x v="9"/>
    <x v="2"/>
    <s v="Raspberry Choco"/>
    <d v="2023-04-25T00:00:00"/>
    <x v="1864"/>
    <x v="1864"/>
    <n v="26"/>
  </r>
  <r>
    <x v="12"/>
    <x v="5"/>
    <s v="85% Dark Bars"/>
    <d v="2023-02-16T00:00:00"/>
    <x v="1865"/>
    <x v="1865"/>
    <n v="44"/>
  </r>
  <r>
    <x v="20"/>
    <x v="2"/>
    <s v="Drinking Coco"/>
    <d v="2023-05-04T00:00:00"/>
    <x v="1866"/>
    <x v="1866"/>
    <n v="60"/>
  </r>
  <r>
    <x v="1"/>
    <x v="5"/>
    <s v="70% Dark Bites"/>
    <d v="2023-06-02T00:00:00"/>
    <x v="1867"/>
    <x v="1867"/>
    <n v="74"/>
  </r>
  <r>
    <x v="17"/>
    <x v="4"/>
    <s v="Caramel Stuffed Bars"/>
    <d v="2023-07-11T00:00:00"/>
    <x v="1868"/>
    <x v="1868"/>
    <n v="501"/>
  </r>
  <r>
    <x v="12"/>
    <x v="3"/>
    <s v="Spicy Special Slims"/>
    <d v="2023-06-07T00:00:00"/>
    <x v="1869"/>
    <x v="1869"/>
    <n v="65"/>
  </r>
  <r>
    <x v="3"/>
    <x v="0"/>
    <s v="Almond Choco"/>
    <d v="2023-07-06T00:00:00"/>
    <x v="1870"/>
    <x v="1870"/>
    <n v="150"/>
  </r>
  <r>
    <x v="15"/>
    <x v="1"/>
    <s v="Raspberry Choco"/>
    <d v="2023-06-15T00:00:00"/>
    <x v="1871"/>
    <x v="1871"/>
    <n v="152"/>
  </r>
  <r>
    <x v="23"/>
    <x v="1"/>
    <s v="Mint Chip Choco"/>
    <d v="2023-04-14T00:00:00"/>
    <x v="1872"/>
    <x v="1872"/>
    <n v="227"/>
  </r>
  <r>
    <x v="21"/>
    <x v="1"/>
    <s v="Drinking Coco"/>
    <d v="2023-08-08T00:00:00"/>
    <x v="1873"/>
    <x v="1873"/>
    <n v="164"/>
  </r>
  <r>
    <x v="11"/>
    <x v="0"/>
    <s v="Drinking Coco"/>
    <d v="2023-03-29T00:00:00"/>
    <x v="1874"/>
    <x v="1874"/>
    <n v="28"/>
  </r>
  <r>
    <x v="13"/>
    <x v="2"/>
    <s v="Organic Choco Syrup"/>
    <d v="2023-07-04T00:00:00"/>
    <x v="1875"/>
    <x v="1875"/>
    <n v="81"/>
  </r>
  <r>
    <x v="24"/>
    <x v="1"/>
    <s v="99% Dark &amp; Pure"/>
    <d v="2023-02-16T00:00:00"/>
    <x v="1876"/>
    <x v="1876"/>
    <n v="105"/>
  </r>
  <r>
    <x v="7"/>
    <x v="5"/>
    <s v="Spicy Special Slims"/>
    <d v="2023-05-02T00:00:00"/>
    <x v="1877"/>
    <x v="1877"/>
    <n v="163"/>
  </r>
  <r>
    <x v="1"/>
    <x v="1"/>
    <s v="Eclairs"/>
    <d v="2023-07-21T00:00:00"/>
    <x v="1878"/>
    <x v="1878"/>
    <n v="105"/>
  </r>
  <r>
    <x v="5"/>
    <x v="2"/>
    <s v="99% Dark &amp; Pure"/>
    <d v="2023-08-18T00:00:00"/>
    <x v="1879"/>
    <x v="1879"/>
    <n v="237"/>
  </r>
  <r>
    <x v="16"/>
    <x v="4"/>
    <s v="85% Dark Bars"/>
    <d v="2023-06-22T00:00:00"/>
    <x v="1880"/>
    <x v="1880"/>
    <n v="271"/>
  </r>
  <r>
    <x v="21"/>
    <x v="0"/>
    <s v="Peanut Butter Cubes"/>
    <d v="2023-07-19T00:00:00"/>
    <x v="1881"/>
    <x v="1881"/>
    <n v="125"/>
  </r>
  <r>
    <x v="22"/>
    <x v="0"/>
    <s v="Peanut Butter Cubes"/>
    <d v="2023-08-12T00:00:00"/>
    <x v="1882"/>
    <x v="1882"/>
    <n v="84"/>
  </r>
  <r>
    <x v="22"/>
    <x v="4"/>
    <s v="Choco Coated Almonds"/>
    <d v="2023-06-07T00:00:00"/>
    <x v="1883"/>
    <x v="1883"/>
    <n v="143"/>
  </r>
  <r>
    <x v="11"/>
    <x v="5"/>
    <s v="Peanut Butter Cubes"/>
    <d v="2023-03-08T00:00:00"/>
    <x v="1884"/>
    <x v="1884"/>
    <n v="97"/>
  </r>
  <r>
    <x v="24"/>
    <x v="2"/>
    <s v="Choco Coated Almonds"/>
    <d v="2023-04-08T00:00:00"/>
    <x v="1885"/>
    <x v="1885"/>
    <n v="182"/>
  </r>
  <r>
    <x v="14"/>
    <x v="5"/>
    <s v="Eclairs"/>
    <d v="2023-05-06T00:00:00"/>
    <x v="1886"/>
    <x v="1886"/>
    <n v="205"/>
  </r>
  <r>
    <x v="13"/>
    <x v="1"/>
    <s v="Drinking Coco"/>
    <d v="2023-05-31T00:00:00"/>
    <x v="1887"/>
    <x v="1887"/>
    <n v="11"/>
  </r>
  <r>
    <x v="1"/>
    <x v="2"/>
    <s v="Mint Chip Choco"/>
    <d v="2023-01-13T00:00:00"/>
    <x v="1888"/>
    <x v="1888"/>
    <n v="324"/>
  </r>
  <r>
    <x v="17"/>
    <x v="4"/>
    <s v="70% Dark Bites"/>
    <d v="2023-03-15T00:00:00"/>
    <x v="1889"/>
    <x v="1889"/>
    <n v="77"/>
  </r>
  <r>
    <x v="19"/>
    <x v="5"/>
    <s v="Peanut Butter Cubes"/>
    <d v="2023-02-16T00:00:00"/>
    <x v="1890"/>
    <x v="1890"/>
    <n v="311"/>
  </r>
  <r>
    <x v="2"/>
    <x v="4"/>
    <s v="70% Dark Bites"/>
    <d v="2023-01-14T00:00:00"/>
    <x v="1891"/>
    <x v="1891"/>
    <n v="189"/>
  </r>
  <r>
    <x v="7"/>
    <x v="2"/>
    <s v="White Choc"/>
    <d v="2023-03-21T00:00:00"/>
    <x v="1892"/>
    <x v="1892"/>
    <n v="111"/>
  </r>
  <r>
    <x v="13"/>
    <x v="5"/>
    <s v="Drinking Coco"/>
    <d v="2023-05-17T00:00:00"/>
    <x v="1893"/>
    <x v="1893"/>
    <n v="342"/>
  </r>
  <r>
    <x v="21"/>
    <x v="3"/>
    <s v="85% Dark Bars"/>
    <d v="2023-08-08T00:00:00"/>
    <x v="1894"/>
    <x v="1894"/>
    <n v="57"/>
  </r>
  <r>
    <x v="22"/>
    <x v="5"/>
    <s v="Milk Bars"/>
    <d v="2023-04-26T00:00:00"/>
    <x v="1895"/>
    <x v="1895"/>
    <n v="86"/>
  </r>
  <r>
    <x v="22"/>
    <x v="2"/>
    <s v="70% Dark Bites"/>
    <d v="2023-04-15T00:00:00"/>
    <x v="1896"/>
    <x v="1896"/>
    <n v="255"/>
  </r>
  <r>
    <x v="4"/>
    <x v="5"/>
    <s v="Eclairs"/>
    <d v="2023-05-19T00:00:00"/>
    <x v="1897"/>
    <x v="1897"/>
    <n v="561"/>
  </r>
  <r>
    <x v="17"/>
    <x v="5"/>
    <s v="Drinking Coco"/>
    <d v="2023-01-10T00:00:00"/>
    <x v="1898"/>
    <x v="1898"/>
    <n v="25"/>
  </r>
  <r>
    <x v="9"/>
    <x v="3"/>
    <s v="After Nines"/>
    <d v="2023-05-04T00:00:00"/>
    <x v="1899"/>
    <x v="1899"/>
    <n v="241"/>
  </r>
  <r>
    <x v="13"/>
    <x v="5"/>
    <s v="White Choc"/>
    <d v="2023-04-05T00:00:00"/>
    <x v="1900"/>
    <x v="1900"/>
    <n v="270"/>
  </r>
  <r>
    <x v="19"/>
    <x v="1"/>
    <s v="After Nines"/>
    <d v="2023-01-17T00:00:00"/>
    <x v="1901"/>
    <x v="1901"/>
    <n v="71"/>
  </r>
  <r>
    <x v="13"/>
    <x v="1"/>
    <s v="Spicy Special Slims"/>
    <d v="2023-03-22T00:00:00"/>
    <x v="1902"/>
    <x v="1902"/>
    <n v="170"/>
  </r>
  <r>
    <x v="23"/>
    <x v="2"/>
    <s v="White Choc"/>
    <d v="2023-07-05T00:00:00"/>
    <x v="1903"/>
    <x v="1903"/>
    <n v="94"/>
  </r>
  <r>
    <x v="4"/>
    <x v="5"/>
    <s v="Orange Choco"/>
    <d v="2023-04-27T00:00:00"/>
    <x v="1904"/>
    <x v="1904"/>
    <n v="355"/>
  </r>
  <r>
    <x v="16"/>
    <x v="5"/>
    <s v="Almond Choco"/>
    <d v="2023-08-12T00:00:00"/>
    <x v="1905"/>
    <x v="1905"/>
    <n v="75"/>
  </r>
  <r>
    <x v="3"/>
    <x v="0"/>
    <s v="Baker's Choco Chips"/>
    <d v="2023-03-11T00:00:00"/>
    <x v="1906"/>
    <x v="1906"/>
    <n v="259"/>
  </r>
  <r>
    <x v="0"/>
    <x v="0"/>
    <s v="Fruit &amp; Nut Bars"/>
    <d v="2023-05-13T00:00:00"/>
    <x v="1907"/>
    <x v="1907"/>
    <n v="221"/>
  </r>
  <r>
    <x v="17"/>
    <x v="4"/>
    <s v="Smooth Sliky Salty"/>
    <d v="2023-05-12T00:00:00"/>
    <x v="1908"/>
    <x v="1908"/>
    <n v="90"/>
  </r>
  <r>
    <x v="6"/>
    <x v="4"/>
    <s v="Raspberry Choco"/>
    <d v="2023-01-12T00:00:00"/>
    <x v="1909"/>
    <x v="1909"/>
    <n v="202"/>
  </r>
  <r>
    <x v="22"/>
    <x v="3"/>
    <s v="Milk Bars"/>
    <d v="2023-03-29T00:00:00"/>
    <x v="1910"/>
    <x v="1910"/>
    <n v="388"/>
  </r>
  <r>
    <x v="13"/>
    <x v="1"/>
    <s v="50% Dark Bites"/>
    <d v="2023-03-14T00:00:00"/>
    <x v="1911"/>
    <x v="1911"/>
    <n v="12"/>
  </r>
  <r>
    <x v="8"/>
    <x v="3"/>
    <s v="99% Dark &amp; Pure"/>
    <d v="2023-05-24T00:00:00"/>
    <x v="1912"/>
    <x v="1912"/>
    <n v="201"/>
  </r>
  <r>
    <x v="17"/>
    <x v="5"/>
    <s v="Organic Choco Syrup"/>
    <d v="2023-01-28T00:00:00"/>
    <x v="1913"/>
    <x v="1913"/>
    <n v="79"/>
  </r>
  <r>
    <x v="12"/>
    <x v="1"/>
    <s v="Almond Choco"/>
    <d v="2023-05-24T00:00:00"/>
    <x v="1914"/>
    <x v="1914"/>
    <n v="104"/>
  </r>
  <r>
    <x v="6"/>
    <x v="2"/>
    <s v="Peanut Butter Cubes"/>
    <d v="2023-08-19T00:00:00"/>
    <x v="1915"/>
    <x v="1915"/>
    <n v="204"/>
  </r>
  <r>
    <x v="10"/>
    <x v="2"/>
    <s v="Spicy Special Slims"/>
    <d v="2023-05-17T00:00:00"/>
    <x v="1916"/>
    <x v="1916"/>
    <n v="335"/>
  </r>
  <r>
    <x v="0"/>
    <x v="4"/>
    <s v="White Choc"/>
    <d v="2023-06-07T00:00:00"/>
    <x v="1917"/>
    <x v="1917"/>
    <n v="117"/>
  </r>
  <r>
    <x v="24"/>
    <x v="5"/>
    <s v="Organic Choco Syrup"/>
    <d v="2023-07-26T00:00:00"/>
    <x v="1918"/>
    <x v="1918"/>
    <n v="229"/>
  </r>
  <r>
    <x v="23"/>
    <x v="1"/>
    <s v="Eclairs"/>
    <d v="2023-07-28T00:00:00"/>
    <x v="1919"/>
    <x v="1919"/>
    <n v="406"/>
  </r>
  <r>
    <x v="10"/>
    <x v="1"/>
    <s v="70% Dark Bites"/>
    <d v="2023-05-23T00:00:00"/>
    <x v="1920"/>
    <x v="1920"/>
    <n v="368"/>
  </r>
  <r>
    <x v="0"/>
    <x v="0"/>
    <s v="Mint Chip Choco"/>
    <d v="2024-01-04T00:00:00"/>
    <x v="1921"/>
    <x v="1921"/>
    <n v="187"/>
  </r>
  <r>
    <x v="1"/>
    <x v="1"/>
    <s v="85% Dark Bars"/>
    <d v="2024-08-01T00:00:00"/>
    <x v="1922"/>
    <x v="1922"/>
    <n v="90"/>
  </r>
  <r>
    <x v="2"/>
    <x v="1"/>
    <s v="Peanut Butter Cubes"/>
    <d v="2024-07-07T00:00:00"/>
    <x v="1923"/>
    <x v="1923"/>
    <n v="87"/>
  </r>
  <r>
    <x v="3"/>
    <x v="2"/>
    <s v="Peanut Butter Cubes"/>
    <d v="2024-04-27T00:00:00"/>
    <x v="1924"/>
    <x v="1924"/>
    <n v="349"/>
  </r>
  <r>
    <x v="0"/>
    <x v="0"/>
    <s v="Peanut Butter Cubes"/>
    <d v="2024-02-24T00:00:00"/>
    <x v="1925"/>
    <x v="1925"/>
    <n v="182"/>
  </r>
  <r>
    <x v="1"/>
    <x v="1"/>
    <s v="Smooth Sliky Salty"/>
    <d v="2024-06-06T00:00:00"/>
    <x v="1926"/>
    <x v="1926"/>
    <n v="40"/>
  </r>
  <r>
    <x v="4"/>
    <x v="0"/>
    <s v="99% Dark &amp; Pure"/>
    <d v="2024-01-25T00:00:00"/>
    <x v="1927"/>
    <x v="1927"/>
    <n v="188"/>
  </r>
  <r>
    <x v="5"/>
    <x v="2"/>
    <s v="After Nines"/>
    <d v="2024-03-24T00:00:00"/>
    <x v="1928"/>
    <x v="1928"/>
    <n v="77"/>
  </r>
  <r>
    <x v="0"/>
    <x v="3"/>
    <s v="50% Dark Bites"/>
    <d v="2024-04-20T00:00:00"/>
    <x v="1929"/>
    <x v="1929"/>
    <n v="63"/>
  </r>
  <r>
    <x v="6"/>
    <x v="2"/>
    <s v="99% Dark &amp; Pure"/>
    <d v="2024-07-04T00:00:00"/>
    <x v="1930"/>
    <x v="1930"/>
    <n v="111"/>
  </r>
  <r>
    <x v="7"/>
    <x v="0"/>
    <s v="Smooth Sliky Salty"/>
    <d v="2024-01-13T00:00:00"/>
    <x v="1931"/>
    <x v="1931"/>
    <n v="67"/>
  </r>
  <r>
    <x v="8"/>
    <x v="4"/>
    <s v="Orange Choco"/>
    <d v="2024-03-10T00:00:00"/>
    <x v="1932"/>
    <x v="1932"/>
    <n v="11"/>
  </r>
  <r>
    <x v="9"/>
    <x v="5"/>
    <s v="Eclairs"/>
    <d v="2024-01-13T00:00:00"/>
    <x v="1933"/>
    <x v="1933"/>
    <n v="277"/>
  </r>
  <r>
    <x v="10"/>
    <x v="3"/>
    <s v="Drinking Coco"/>
    <d v="2024-07-28T00:00:00"/>
    <x v="1934"/>
    <x v="1934"/>
    <n v="167"/>
  </r>
  <r>
    <x v="11"/>
    <x v="3"/>
    <s v="Peanut Butter Cubes"/>
    <d v="2024-08-03T00:00:00"/>
    <x v="1935"/>
    <x v="1935"/>
    <n v="189"/>
  </r>
  <r>
    <x v="12"/>
    <x v="2"/>
    <s v="Organic Choco Syrup"/>
    <d v="2024-01-26T00:00:00"/>
    <x v="1936"/>
    <x v="1936"/>
    <n v="385"/>
  </r>
  <r>
    <x v="1"/>
    <x v="5"/>
    <s v="Organic Choco Syrup"/>
    <d v="2024-02-14T00:00:00"/>
    <x v="1937"/>
    <x v="1937"/>
    <n v="42"/>
  </r>
  <r>
    <x v="13"/>
    <x v="4"/>
    <s v="Smooth Sliky Salty"/>
    <d v="2024-04-05T00:00:00"/>
    <x v="1938"/>
    <x v="1938"/>
    <n v="149"/>
  </r>
  <r>
    <x v="12"/>
    <x v="5"/>
    <s v="Milk Bars"/>
    <d v="2024-02-16T00:00:00"/>
    <x v="1939"/>
    <x v="1939"/>
    <n v="250"/>
  </r>
  <r>
    <x v="14"/>
    <x v="0"/>
    <s v="85% Dark Bars"/>
    <d v="2024-06-08T00:00:00"/>
    <x v="1940"/>
    <x v="1940"/>
    <n v="174"/>
  </r>
  <r>
    <x v="6"/>
    <x v="2"/>
    <s v="Eclairs"/>
    <d v="2024-06-27T00:00:00"/>
    <x v="1941"/>
    <x v="1941"/>
    <n v="92"/>
  </r>
  <r>
    <x v="5"/>
    <x v="4"/>
    <s v="Spicy Special Slims"/>
    <d v="2024-02-17T00:00:00"/>
    <x v="1942"/>
    <x v="1942"/>
    <n v="152"/>
  </r>
  <r>
    <x v="11"/>
    <x v="4"/>
    <s v="After Nines"/>
    <d v="2024-05-30T00:00:00"/>
    <x v="1943"/>
    <x v="1943"/>
    <n v="159"/>
  </r>
  <r>
    <x v="15"/>
    <x v="0"/>
    <s v="Drinking Coco"/>
    <d v="2024-03-14T00:00:00"/>
    <x v="1944"/>
    <x v="1944"/>
    <n v="111"/>
  </r>
  <r>
    <x v="16"/>
    <x v="2"/>
    <s v="Eclairs"/>
    <d v="2024-02-28T00:00:00"/>
    <x v="1945"/>
    <x v="1945"/>
    <n v="122"/>
  </r>
  <r>
    <x v="10"/>
    <x v="1"/>
    <s v="Fruit &amp; Nut Bars"/>
    <d v="2024-01-26T00:00:00"/>
    <x v="1946"/>
    <x v="1946"/>
    <n v="330"/>
  </r>
  <r>
    <x v="13"/>
    <x v="5"/>
    <s v="Spicy Special Slims"/>
    <d v="2024-02-09T00:00:00"/>
    <x v="1947"/>
    <x v="1947"/>
    <n v="191"/>
  </r>
  <r>
    <x v="15"/>
    <x v="4"/>
    <s v="Eclairs"/>
    <d v="2024-07-07T00:00:00"/>
    <x v="1948"/>
    <x v="1948"/>
    <n v="113"/>
  </r>
  <r>
    <x v="17"/>
    <x v="3"/>
    <s v="White Choc"/>
    <d v="2024-07-05T00:00:00"/>
    <x v="1949"/>
    <x v="1949"/>
    <n v="155"/>
  </r>
  <r>
    <x v="17"/>
    <x v="3"/>
    <s v="Manuka Honey Choco"/>
    <d v="2024-06-15T00:00:00"/>
    <x v="1950"/>
    <x v="1950"/>
    <n v="303"/>
  </r>
  <r>
    <x v="1"/>
    <x v="3"/>
    <s v="85% Dark Bars"/>
    <d v="2024-05-24T00:00:00"/>
    <x v="1951"/>
    <x v="1951"/>
    <n v="124"/>
  </r>
  <r>
    <x v="7"/>
    <x v="0"/>
    <s v="99% Dark &amp; Pure"/>
    <d v="2024-06-29T00:00:00"/>
    <x v="1952"/>
    <x v="1952"/>
    <n v="157"/>
  </r>
  <r>
    <x v="18"/>
    <x v="2"/>
    <s v="Manuka Honey Choco"/>
    <d v="2024-05-11T00:00:00"/>
    <x v="1953"/>
    <x v="1953"/>
    <n v="90"/>
  </r>
  <r>
    <x v="10"/>
    <x v="0"/>
    <s v="Almond Choco"/>
    <d v="2024-06-30T00:00:00"/>
    <x v="1954"/>
    <x v="1954"/>
    <n v="138"/>
  </r>
  <r>
    <x v="19"/>
    <x v="5"/>
    <s v="After Nines"/>
    <d v="2024-05-11T00:00:00"/>
    <x v="1955"/>
    <x v="1955"/>
    <n v="71"/>
  </r>
  <r>
    <x v="13"/>
    <x v="4"/>
    <s v="Manuka Honey Choco"/>
    <d v="2024-07-22T00:00:00"/>
    <x v="1956"/>
    <x v="1956"/>
    <n v="329"/>
  </r>
  <r>
    <x v="19"/>
    <x v="0"/>
    <s v="50% Dark Bites"/>
    <d v="2024-08-24T00:00:00"/>
    <x v="1957"/>
    <x v="1957"/>
    <n v="344"/>
  </r>
  <r>
    <x v="20"/>
    <x v="3"/>
    <s v="After Nines"/>
    <d v="2024-07-07T00:00:00"/>
    <x v="1958"/>
    <x v="1958"/>
    <n v="75"/>
  </r>
  <r>
    <x v="21"/>
    <x v="2"/>
    <s v="85% Dark Bars"/>
    <d v="2024-05-19T00:00:00"/>
    <x v="1959"/>
    <x v="1959"/>
    <n v="14"/>
  </r>
  <r>
    <x v="10"/>
    <x v="1"/>
    <s v="Manuka Honey Choco"/>
    <d v="2024-07-04T00:00:00"/>
    <x v="1960"/>
    <x v="1960"/>
    <n v="605"/>
  </r>
  <r>
    <x v="20"/>
    <x v="4"/>
    <s v="After Nines"/>
    <d v="2024-06-02T00:00:00"/>
    <x v="1961"/>
    <x v="1961"/>
    <n v="16"/>
  </r>
  <r>
    <x v="10"/>
    <x v="4"/>
    <s v="Raspberry Choco"/>
    <d v="2024-04-15T00:00:00"/>
    <x v="1962"/>
    <x v="1962"/>
    <n v="347"/>
  </r>
  <r>
    <x v="9"/>
    <x v="5"/>
    <s v="Choco Coated Almonds"/>
    <d v="2024-07-11T00:00:00"/>
    <x v="1963"/>
    <x v="1963"/>
    <n v="247"/>
  </r>
  <r>
    <x v="19"/>
    <x v="1"/>
    <s v="Spicy Special Slims"/>
    <d v="2024-02-23T00:00:00"/>
    <x v="1964"/>
    <x v="1964"/>
    <n v="139"/>
  </r>
  <r>
    <x v="22"/>
    <x v="5"/>
    <s v="Almond Choco"/>
    <d v="2024-08-22T00:00:00"/>
    <x v="1965"/>
    <x v="1965"/>
    <n v="100"/>
  </r>
  <r>
    <x v="16"/>
    <x v="4"/>
    <s v="Peanut Butter Cubes"/>
    <d v="2024-02-16T00:00:00"/>
    <x v="1966"/>
    <x v="1966"/>
    <n v="206"/>
  </r>
  <r>
    <x v="1"/>
    <x v="4"/>
    <s v="50% Dark Bites"/>
    <d v="2024-01-13T00:00:00"/>
    <x v="1967"/>
    <x v="1967"/>
    <n v="156"/>
  </r>
  <r>
    <x v="14"/>
    <x v="2"/>
    <s v="Milk Bars"/>
    <d v="2024-02-14T00:00:00"/>
    <x v="1968"/>
    <x v="1968"/>
    <n v="18"/>
  </r>
  <r>
    <x v="13"/>
    <x v="1"/>
    <s v="Eclairs"/>
    <d v="2024-06-10T00:00:00"/>
    <x v="1969"/>
    <x v="1969"/>
    <n v="311"/>
  </r>
  <r>
    <x v="14"/>
    <x v="1"/>
    <s v="Fruit &amp; Nut Bars"/>
    <d v="2024-07-07T00:00:00"/>
    <x v="1970"/>
    <x v="1970"/>
    <n v="177"/>
  </r>
  <r>
    <x v="14"/>
    <x v="5"/>
    <s v="Almond Choco"/>
    <d v="2024-03-24T00:00:00"/>
    <x v="1971"/>
    <x v="1971"/>
    <n v="75"/>
  </r>
  <r>
    <x v="6"/>
    <x v="2"/>
    <s v="Fruit &amp; Nut Bars"/>
    <d v="2024-06-06T00:00:00"/>
    <x v="1972"/>
    <x v="1972"/>
    <n v="22"/>
  </r>
  <r>
    <x v="23"/>
    <x v="2"/>
    <s v="Drinking Coco"/>
    <d v="2024-07-19T00:00:00"/>
    <x v="1973"/>
    <x v="1973"/>
    <n v="140"/>
  </r>
  <r>
    <x v="12"/>
    <x v="4"/>
    <s v="Raspberry Choco"/>
    <d v="2024-04-19T00:00:00"/>
    <x v="1974"/>
    <x v="1974"/>
    <n v="80"/>
  </r>
  <r>
    <x v="11"/>
    <x v="1"/>
    <s v="85% Dark Bars"/>
    <d v="2024-07-19T00:00:00"/>
    <x v="1975"/>
    <x v="1975"/>
    <n v="183"/>
  </r>
  <r>
    <x v="0"/>
    <x v="5"/>
    <s v="Drinking Coco"/>
    <d v="2024-07-15T00:00:00"/>
    <x v="1976"/>
    <x v="1976"/>
    <n v="25"/>
  </r>
  <r>
    <x v="24"/>
    <x v="3"/>
    <s v="Spicy Special Slims"/>
    <d v="2024-02-14T00:00:00"/>
    <x v="1977"/>
    <x v="1977"/>
    <n v="19"/>
  </r>
  <r>
    <x v="6"/>
    <x v="5"/>
    <s v="99% Dark &amp; Pure"/>
    <d v="2024-05-18T00:00:00"/>
    <x v="1978"/>
    <x v="1978"/>
    <n v="430"/>
  </r>
  <r>
    <x v="8"/>
    <x v="2"/>
    <s v="Fruit &amp; Nut Bars"/>
    <d v="2024-06-30T00:00:00"/>
    <x v="1979"/>
    <x v="1979"/>
    <n v="57"/>
  </r>
  <r>
    <x v="19"/>
    <x v="2"/>
    <s v="50% Dark Bites"/>
    <d v="2024-06-02T00:00:00"/>
    <x v="1980"/>
    <x v="1980"/>
    <n v="216"/>
  </r>
  <r>
    <x v="19"/>
    <x v="2"/>
    <s v="Drinking Coco"/>
    <d v="2024-06-28T00:00:00"/>
    <x v="1981"/>
    <x v="1981"/>
    <n v="49"/>
  </r>
  <r>
    <x v="11"/>
    <x v="2"/>
    <s v="Organic Choco Syrup"/>
    <d v="2024-05-16T00:00:00"/>
    <x v="1982"/>
    <x v="1982"/>
    <n v="182"/>
  </r>
  <r>
    <x v="20"/>
    <x v="5"/>
    <s v="Baker's Choco Chips"/>
    <d v="2024-05-26T00:00:00"/>
    <x v="1983"/>
    <x v="1983"/>
    <n v="288"/>
  </r>
  <r>
    <x v="10"/>
    <x v="1"/>
    <s v="Almond Choco"/>
    <d v="2024-07-06T00:00:00"/>
    <x v="1984"/>
    <x v="1984"/>
    <n v="147"/>
  </r>
  <r>
    <x v="4"/>
    <x v="1"/>
    <s v="99% Dark &amp; Pure"/>
    <d v="2024-05-27T00:00:00"/>
    <x v="1985"/>
    <x v="1985"/>
    <n v="11"/>
  </r>
  <r>
    <x v="18"/>
    <x v="2"/>
    <s v="Caramel Stuffed Bars"/>
    <d v="2024-04-14T00:00:00"/>
    <x v="1986"/>
    <x v="1986"/>
    <n v="11"/>
  </r>
  <r>
    <x v="1"/>
    <x v="2"/>
    <s v="Organic Choco Syrup"/>
    <d v="2024-08-10T00:00:00"/>
    <x v="1987"/>
    <x v="1987"/>
    <n v="14"/>
  </r>
  <r>
    <x v="21"/>
    <x v="1"/>
    <s v="50% Dark Bites"/>
    <d v="2024-07-04T00:00:00"/>
    <x v="1988"/>
    <x v="1988"/>
    <n v="430"/>
  </r>
  <r>
    <x v="4"/>
    <x v="1"/>
    <s v="Organic Choco Syrup"/>
    <d v="2024-07-08T00:00:00"/>
    <x v="1989"/>
    <x v="1989"/>
    <n v="59"/>
  </r>
  <r>
    <x v="3"/>
    <x v="4"/>
    <s v="Peanut Butter Cubes"/>
    <d v="2024-07-22T00:00:00"/>
    <x v="1990"/>
    <x v="1990"/>
    <n v="109"/>
  </r>
  <r>
    <x v="2"/>
    <x v="4"/>
    <s v="Choco Coated Almonds"/>
    <d v="2024-03-02T00:00:00"/>
    <x v="1991"/>
    <x v="1991"/>
    <n v="105"/>
  </r>
  <r>
    <x v="2"/>
    <x v="0"/>
    <s v="Almond Choco"/>
    <d v="2024-01-10T00:00:00"/>
    <x v="1992"/>
    <x v="1992"/>
    <n v="9"/>
  </r>
  <r>
    <x v="0"/>
    <x v="3"/>
    <s v="White Choc"/>
    <d v="2024-03-11T00:00:00"/>
    <x v="1993"/>
    <x v="1993"/>
    <n v="258"/>
  </r>
  <r>
    <x v="19"/>
    <x v="3"/>
    <s v="Peanut Butter Cubes"/>
    <d v="2024-06-20T00:00:00"/>
    <x v="1994"/>
    <x v="1994"/>
    <n v="283"/>
  </r>
  <r>
    <x v="1"/>
    <x v="0"/>
    <s v="Organic Choco Syrup"/>
    <d v="2024-08-26T00:00:00"/>
    <x v="1995"/>
    <x v="1995"/>
    <n v="222"/>
  </r>
  <r>
    <x v="13"/>
    <x v="5"/>
    <s v="Milk Bars"/>
    <d v="2024-07-13T00:00:00"/>
    <x v="1996"/>
    <x v="1996"/>
    <n v="33"/>
  </r>
  <r>
    <x v="21"/>
    <x v="4"/>
    <s v="Spicy Special Slims"/>
    <d v="2024-02-11T00:00:00"/>
    <x v="1997"/>
    <x v="1997"/>
    <n v="261"/>
  </r>
  <r>
    <x v="11"/>
    <x v="4"/>
    <s v="Orange Choco"/>
    <d v="2024-01-27T00:00:00"/>
    <x v="1998"/>
    <x v="1998"/>
    <n v="193"/>
  </r>
  <r>
    <x v="1"/>
    <x v="0"/>
    <s v="99% Dark &amp; Pure"/>
    <d v="2024-01-31T00:00:00"/>
    <x v="1999"/>
    <x v="1999"/>
    <n v="136"/>
  </r>
  <r>
    <x v="21"/>
    <x v="4"/>
    <s v="White Choc"/>
    <d v="2024-08-18T00:00:00"/>
    <x v="2000"/>
    <x v="2000"/>
    <n v="23"/>
  </r>
  <r>
    <x v="19"/>
    <x v="4"/>
    <s v="Raspberry Choco"/>
    <d v="2024-06-30T00:00:00"/>
    <x v="2001"/>
    <x v="2001"/>
    <n v="22"/>
  </r>
  <r>
    <x v="23"/>
    <x v="2"/>
    <s v="Fruit &amp; Nut Bars"/>
    <d v="2024-08-23T00:00:00"/>
    <x v="2002"/>
    <x v="2002"/>
    <n v="337"/>
  </r>
  <r>
    <x v="6"/>
    <x v="3"/>
    <s v="Mint Chip Choco"/>
    <d v="2024-08-01T00:00:00"/>
    <x v="2003"/>
    <x v="2003"/>
    <n v="188"/>
  </r>
  <r>
    <x v="13"/>
    <x v="3"/>
    <s v="After Nines"/>
    <d v="2024-05-25T00:00:00"/>
    <x v="2004"/>
    <x v="2004"/>
    <n v="11"/>
  </r>
  <r>
    <x v="13"/>
    <x v="5"/>
    <s v="Organic Choco Syrup"/>
    <d v="2024-01-10T00:00:00"/>
    <x v="2005"/>
    <x v="2005"/>
    <n v="86"/>
  </r>
  <r>
    <x v="17"/>
    <x v="2"/>
    <s v="70% Dark Bites"/>
    <d v="2024-02-07T00:00:00"/>
    <x v="2006"/>
    <x v="2006"/>
    <n v="114"/>
  </r>
  <r>
    <x v="10"/>
    <x v="4"/>
    <s v="Orange Choco"/>
    <d v="2024-05-12T00:00:00"/>
    <x v="2007"/>
    <x v="2007"/>
    <n v="433"/>
  </r>
  <r>
    <x v="22"/>
    <x v="2"/>
    <s v="Spicy Special Slims"/>
    <d v="2024-03-07T00:00:00"/>
    <x v="2008"/>
    <x v="2008"/>
    <n v="443"/>
  </r>
  <r>
    <x v="17"/>
    <x v="2"/>
    <s v="85% Dark Bars"/>
    <d v="2024-04-05T00:00:00"/>
    <x v="2009"/>
    <x v="2009"/>
    <n v="453"/>
  </r>
  <r>
    <x v="19"/>
    <x v="5"/>
    <s v="Caramel Stuffed Bars"/>
    <d v="2024-01-03T00:00:00"/>
    <x v="2010"/>
    <x v="2010"/>
    <n v="336"/>
  </r>
  <r>
    <x v="17"/>
    <x v="0"/>
    <s v="Eclairs"/>
    <d v="2024-03-24T00:00:00"/>
    <x v="2011"/>
    <x v="2011"/>
    <n v="285"/>
  </r>
  <r>
    <x v="22"/>
    <x v="1"/>
    <s v="Raspberry Choco"/>
    <d v="2024-07-07T00:00:00"/>
    <x v="2012"/>
    <x v="2012"/>
    <n v="10"/>
  </r>
  <r>
    <x v="1"/>
    <x v="4"/>
    <s v="After Nines"/>
    <d v="2024-07-26T00:00:00"/>
    <x v="2013"/>
    <x v="2013"/>
    <n v="263"/>
  </r>
  <r>
    <x v="18"/>
    <x v="2"/>
    <s v="Organic Choco Syrup"/>
    <d v="2024-07-07T00:00:00"/>
    <x v="2014"/>
    <x v="2014"/>
    <n v="110"/>
  </r>
  <r>
    <x v="10"/>
    <x v="5"/>
    <s v="50% Dark Bites"/>
    <d v="2024-07-15T00:00:00"/>
    <x v="2015"/>
    <x v="2015"/>
    <n v="64"/>
  </r>
  <r>
    <x v="13"/>
    <x v="3"/>
    <s v="Orange Choco"/>
    <d v="2024-04-01T00:00:00"/>
    <x v="2016"/>
    <x v="2016"/>
    <n v="95"/>
  </r>
  <r>
    <x v="12"/>
    <x v="2"/>
    <s v="Eclairs"/>
    <d v="2024-06-20T00:00:00"/>
    <x v="2017"/>
    <x v="2017"/>
    <n v="6"/>
  </r>
  <r>
    <x v="20"/>
    <x v="0"/>
    <s v="Fruit &amp; Nut Bars"/>
    <d v="2024-06-29T00:00:00"/>
    <x v="2018"/>
    <x v="2018"/>
    <n v="520"/>
  </r>
  <r>
    <x v="11"/>
    <x v="4"/>
    <s v="50% Dark Bites"/>
    <d v="2024-06-15T00:00:00"/>
    <x v="2019"/>
    <x v="2019"/>
    <n v="114"/>
  </r>
  <r>
    <x v="15"/>
    <x v="4"/>
    <s v="After Nines"/>
    <d v="2024-04-08T00:00:00"/>
    <x v="2020"/>
    <x v="2020"/>
    <n v="179"/>
  </r>
  <r>
    <x v="17"/>
    <x v="2"/>
    <s v="Raspberry Choco"/>
    <d v="2024-03-14T00:00:00"/>
    <x v="2021"/>
    <x v="2021"/>
    <n v="31"/>
  </r>
  <r>
    <x v="19"/>
    <x v="4"/>
    <s v="Fruit &amp; Nut Bars"/>
    <d v="2024-07-15T00:00:00"/>
    <x v="2022"/>
    <x v="2022"/>
    <n v="386"/>
  </r>
  <r>
    <x v="20"/>
    <x v="1"/>
    <s v="Eclairs"/>
    <d v="2024-04-19T00:00:00"/>
    <x v="2023"/>
    <x v="2023"/>
    <n v="80"/>
  </r>
  <r>
    <x v="11"/>
    <x v="4"/>
    <s v="99% Dark &amp; Pure"/>
    <d v="2024-03-28T00:00:00"/>
    <x v="2024"/>
    <x v="2024"/>
    <n v="286"/>
  </r>
  <r>
    <x v="6"/>
    <x v="5"/>
    <s v="Spicy Special Slims"/>
    <d v="2024-03-04T00:00:00"/>
    <x v="2025"/>
    <x v="2025"/>
    <n v="97"/>
  </r>
  <r>
    <x v="10"/>
    <x v="3"/>
    <s v="70% Dark Bites"/>
    <d v="2024-08-02T00:00:00"/>
    <x v="2026"/>
    <x v="2026"/>
    <n v="40"/>
  </r>
  <r>
    <x v="15"/>
    <x v="0"/>
    <s v="Spicy Special Slims"/>
    <d v="2024-08-25T00:00:00"/>
    <x v="2027"/>
    <x v="2027"/>
    <n v="41"/>
  </r>
  <r>
    <x v="11"/>
    <x v="4"/>
    <s v="Almond Choco"/>
    <d v="2024-02-25T00:00:00"/>
    <x v="2028"/>
    <x v="2028"/>
    <n v="167"/>
  </r>
  <r>
    <x v="20"/>
    <x v="1"/>
    <s v="Orange Choco"/>
    <d v="2024-06-07T00:00:00"/>
    <x v="2029"/>
    <x v="2029"/>
    <n v="134"/>
  </r>
  <r>
    <x v="3"/>
    <x v="1"/>
    <s v="Spicy Special Slims"/>
    <d v="2024-04-12T00:00:00"/>
    <x v="2030"/>
    <x v="2030"/>
    <n v="506"/>
  </r>
  <r>
    <x v="24"/>
    <x v="1"/>
    <s v="Spicy Special Slims"/>
    <d v="2024-07-06T00:00:00"/>
    <x v="2031"/>
    <x v="2031"/>
    <n v="101"/>
  </r>
  <r>
    <x v="20"/>
    <x v="0"/>
    <s v="Smooth Sliky Salty"/>
    <d v="2024-01-19T00:00:00"/>
    <x v="2032"/>
    <x v="2032"/>
    <n v="182"/>
  </r>
  <r>
    <x v="22"/>
    <x v="2"/>
    <s v="Fruit &amp; Nut Bars"/>
    <d v="2024-01-05T00:00:00"/>
    <x v="2033"/>
    <x v="2033"/>
    <n v="90"/>
  </r>
  <r>
    <x v="22"/>
    <x v="5"/>
    <s v="70% Dark Bites"/>
    <d v="2024-01-24T00:00:00"/>
    <x v="2034"/>
    <x v="2034"/>
    <n v="145"/>
  </r>
  <r>
    <x v="18"/>
    <x v="2"/>
    <s v="Drinking Coco"/>
    <d v="2024-04-06T00:00:00"/>
    <x v="2035"/>
    <x v="2035"/>
    <n v="285"/>
  </r>
  <r>
    <x v="5"/>
    <x v="2"/>
    <s v="Fruit &amp; Nut Bars"/>
    <d v="2024-06-15T00:00:00"/>
    <x v="2036"/>
    <x v="2036"/>
    <n v="21"/>
  </r>
  <r>
    <x v="2"/>
    <x v="5"/>
    <s v="Baker's Choco Chips"/>
    <d v="2024-01-28T00:00:00"/>
    <x v="2037"/>
    <x v="2037"/>
    <n v="47"/>
  </r>
  <r>
    <x v="20"/>
    <x v="1"/>
    <s v="Caramel Stuffed Bars"/>
    <d v="2024-03-16T00:00:00"/>
    <x v="2038"/>
    <x v="2038"/>
    <n v="131"/>
  </r>
  <r>
    <x v="7"/>
    <x v="2"/>
    <s v="Drinking Coco"/>
    <d v="2024-02-21T00:00:00"/>
    <x v="2039"/>
    <x v="2039"/>
    <n v="389"/>
  </r>
  <r>
    <x v="20"/>
    <x v="4"/>
    <s v="Manuka Honey Choco"/>
    <d v="2024-02-16T00:00:00"/>
    <x v="2040"/>
    <x v="2040"/>
    <n v="94"/>
  </r>
  <r>
    <x v="0"/>
    <x v="5"/>
    <s v="Spicy Special Slims"/>
    <d v="2024-01-13T00:00:00"/>
    <x v="2041"/>
    <x v="2041"/>
    <n v="29"/>
  </r>
  <r>
    <x v="20"/>
    <x v="2"/>
    <s v="Eclairs"/>
    <d v="2024-03-23T00:00:00"/>
    <x v="2042"/>
    <x v="2042"/>
    <n v="523"/>
  </r>
  <r>
    <x v="14"/>
    <x v="5"/>
    <s v="Spicy Special Slims"/>
    <d v="2024-06-16T00:00:00"/>
    <x v="2043"/>
    <x v="2043"/>
    <n v="126"/>
  </r>
  <r>
    <x v="4"/>
    <x v="1"/>
    <s v="Raspberry Choco"/>
    <d v="2024-04-14T00:00:00"/>
    <x v="2044"/>
    <x v="2044"/>
    <n v="46"/>
  </r>
  <r>
    <x v="20"/>
    <x v="0"/>
    <s v="Eclairs"/>
    <d v="2024-01-25T00:00:00"/>
    <x v="2045"/>
    <x v="2045"/>
    <n v="60"/>
  </r>
  <r>
    <x v="3"/>
    <x v="1"/>
    <s v="Almond Choco"/>
    <d v="2024-03-11T00:00:00"/>
    <x v="2046"/>
    <x v="2046"/>
    <n v="23"/>
  </r>
  <r>
    <x v="23"/>
    <x v="0"/>
    <s v="Almond Choco"/>
    <d v="2024-07-28T00:00:00"/>
    <x v="2047"/>
    <x v="2047"/>
    <n v="103"/>
  </r>
  <r>
    <x v="11"/>
    <x v="3"/>
    <s v="After Nines"/>
    <d v="2024-03-09T00:00:00"/>
    <x v="2048"/>
    <x v="2048"/>
    <n v="43"/>
  </r>
  <r>
    <x v="15"/>
    <x v="2"/>
    <s v="Orange Choco"/>
    <d v="2024-06-28T00:00:00"/>
    <x v="2049"/>
    <x v="2049"/>
    <n v="182"/>
  </r>
  <r>
    <x v="11"/>
    <x v="2"/>
    <s v="Milk Bars"/>
    <d v="2024-07-28T00:00:00"/>
    <x v="2050"/>
    <x v="2050"/>
    <n v="423"/>
  </r>
  <r>
    <x v="20"/>
    <x v="5"/>
    <s v="99% Dark &amp; Pure"/>
    <d v="2024-08-15T00:00:00"/>
    <x v="2051"/>
    <x v="2051"/>
    <n v="51"/>
  </r>
  <r>
    <x v="16"/>
    <x v="2"/>
    <s v="Manuka Honey Choco"/>
    <d v="2024-01-12T00:00:00"/>
    <x v="2052"/>
    <x v="2052"/>
    <n v="280"/>
  </r>
  <r>
    <x v="12"/>
    <x v="3"/>
    <s v="White Choc"/>
    <d v="2024-03-24T00:00:00"/>
    <x v="2053"/>
    <x v="2053"/>
    <n v="7"/>
  </r>
  <r>
    <x v="1"/>
    <x v="0"/>
    <s v="Milk Bars"/>
    <d v="2024-07-25T00:00:00"/>
    <x v="2054"/>
    <x v="2054"/>
    <n v="92"/>
  </r>
  <r>
    <x v="4"/>
    <x v="5"/>
    <s v="99% Dark &amp; Pure"/>
    <d v="2024-08-01T00:00:00"/>
    <x v="2055"/>
    <x v="2055"/>
    <n v="424"/>
  </r>
  <r>
    <x v="1"/>
    <x v="1"/>
    <s v="Organic Choco Syrup"/>
    <d v="2024-05-16T00:00:00"/>
    <x v="2056"/>
    <x v="2056"/>
    <n v="168"/>
  </r>
  <r>
    <x v="13"/>
    <x v="1"/>
    <s v="Smooth Sliky Salty"/>
    <d v="2024-08-10T00:00:00"/>
    <x v="2057"/>
    <x v="2057"/>
    <n v="141"/>
  </r>
  <r>
    <x v="3"/>
    <x v="1"/>
    <s v="Eclairs"/>
    <d v="2024-01-05T00:00:00"/>
    <x v="2058"/>
    <x v="2058"/>
    <n v="27"/>
  </r>
  <r>
    <x v="24"/>
    <x v="0"/>
    <s v="Smooth Sliky Salty"/>
    <d v="2024-07-11T00:00:00"/>
    <x v="2059"/>
    <x v="2059"/>
    <n v="116"/>
  </r>
  <r>
    <x v="18"/>
    <x v="4"/>
    <s v="After Nines"/>
    <d v="2024-04-25T00:00:00"/>
    <x v="2060"/>
    <x v="2060"/>
    <n v="31"/>
  </r>
  <r>
    <x v="2"/>
    <x v="3"/>
    <s v="Fruit &amp; Nut Bars"/>
    <d v="2024-04-04T00:00:00"/>
    <x v="2061"/>
    <x v="2061"/>
    <n v="129"/>
  </r>
  <r>
    <x v="8"/>
    <x v="4"/>
    <s v="Raspberry Choco"/>
    <d v="2024-04-12T00:00:00"/>
    <x v="2062"/>
    <x v="2062"/>
    <n v="106"/>
  </r>
  <r>
    <x v="18"/>
    <x v="3"/>
    <s v="85% Dark Bars"/>
    <d v="2024-08-02T00:00:00"/>
    <x v="2063"/>
    <x v="2063"/>
    <n v="121"/>
  </r>
  <r>
    <x v="2"/>
    <x v="3"/>
    <s v="Manuka Honey Choco"/>
    <d v="2024-06-28T00:00:00"/>
    <x v="2064"/>
    <x v="2064"/>
    <n v="272"/>
  </r>
  <r>
    <x v="24"/>
    <x v="2"/>
    <s v="Eclairs"/>
    <d v="2024-07-05T00:00:00"/>
    <x v="2065"/>
    <x v="2065"/>
    <n v="128"/>
  </r>
  <r>
    <x v="7"/>
    <x v="3"/>
    <s v="Choco Coated Almonds"/>
    <d v="2024-06-07T00:00:00"/>
    <x v="2066"/>
    <x v="2066"/>
    <n v="49"/>
  </r>
  <r>
    <x v="6"/>
    <x v="3"/>
    <s v="Smooth Sliky Salty"/>
    <d v="2024-01-18T00:00:00"/>
    <x v="2067"/>
    <x v="2067"/>
    <n v="27"/>
  </r>
  <r>
    <x v="6"/>
    <x v="2"/>
    <s v="Baker's Choco Chips"/>
    <d v="2024-01-04T00:00:00"/>
    <x v="2068"/>
    <x v="2068"/>
    <n v="206"/>
  </r>
  <r>
    <x v="17"/>
    <x v="2"/>
    <s v="99% Dark &amp; Pure"/>
    <d v="2024-01-31T00:00:00"/>
    <x v="2069"/>
    <x v="2069"/>
    <n v="19"/>
  </r>
  <r>
    <x v="20"/>
    <x v="1"/>
    <s v="Almond Choco"/>
    <d v="2024-03-14T00:00:00"/>
    <x v="2070"/>
    <x v="2070"/>
    <n v="152"/>
  </r>
  <r>
    <x v="21"/>
    <x v="2"/>
    <s v="70% Dark Bites"/>
    <d v="2024-04-29T00:00:00"/>
    <x v="2071"/>
    <x v="2071"/>
    <n v="500"/>
  </r>
  <r>
    <x v="4"/>
    <x v="1"/>
    <s v="Smooth Sliky Salty"/>
    <d v="2024-02-07T00:00:00"/>
    <x v="2072"/>
    <x v="2072"/>
    <n v="116"/>
  </r>
  <r>
    <x v="16"/>
    <x v="0"/>
    <s v="Organic Choco Syrup"/>
    <d v="2024-03-31T00:00:00"/>
    <x v="2073"/>
    <x v="2073"/>
    <n v="172"/>
  </r>
  <r>
    <x v="11"/>
    <x v="1"/>
    <s v="Caramel Stuffed Bars"/>
    <d v="2024-03-16T00:00:00"/>
    <x v="2074"/>
    <x v="2074"/>
    <n v="81"/>
  </r>
  <r>
    <x v="10"/>
    <x v="0"/>
    <s v="Eclairs"/>
    <d v="2024-01-25T00:00:00"/>
    <x v="2075"/>
    <x v="2075"/>
    <n v="203"/>
  </r>
  <r>
    <x v="1"/>
    <x v="1"/>
    <s v="Baker's Choco Chips"/>
    <d v="2024-06-20T00:00:00"/>
    <x v="2076"/>
    <x v="2076"/>
    <n v="426"/>
  </r>
  <r>
    <x v="2"/>
    <x v="0"/>
    <s v="After Nines"/>
    <d v="2024-03-29T00:00:00"/>
    <x v="2077"/>
    <x v="2077"/>
    <n v="173"/>
  </r>
  <r>
    <x v="14"/>
    <x v="2"/>
    <s v="Orange Choco"/>
    <d v="2024-07-12T00:00:00"/>
    <x v="2078"/>
    <x v="2078"/>
    <n v="140"/>
  </r>
  <r>
    <x v="0"/>
    <x v="5"/>
    <s v="Smooth Sliky Salty"/>
    <d v="2024-07-11T00:00:00"/>
    <x v="2079"/>
    <x v="2079"/>
    <n v="132"/>
  </r>
  <r>
    <x v="10"/>
    <x v="5"/>
    <s v="Smooth Sliky Salty"/>
    <d v="2024-01-19T00:00:00"/>
    <x v="2080"/>
    <x v="2080"/>
    <n v="180"/>
  </r>
  <r>
    <x v="19"/>
    <x v="4"/>
    <s v="85% Dark Bars"/>
    <d v="2024-04-05T00:00:00"/>
    <x v="2081"/>
    <x v="2081"/>
    <n v="82"/>
  </r>
  <r>
    <x v="0"/>
    <x v="5"/>
    <s v="Milk Bars"/>
    <d v="2024-02-21T00:00:00"/>
    <x v="2082"/>
    <x v="2082"/>
    <n v="12"/>
  </r>
  <r>
    <x v="7"/>
    <x v="3"/>
    <s v="Caramel Stuffed Bars"/>
    <d v="2024-05-20T00:00:00"/>
    <x v="2083"/>
    <x v="2083"/>
    <n v="15"/>
  </r>
  <r>
    <x v="9"/>
    <x v="2"/>
    <s v="Milk Bars"/>
    <d v="2024-07-29T00:00:00"/>
    <x v="2084"/>
    <x v="2084"/>
    <n v="107"/>
  </r>
  <r>
    <x v="8"/>
    <x v="4"/>
    <s v="Fruit &amp; Nut Bars"/>
    <d v="2024-01-28T00:00:00"/>
    <x v="2085"/>
    <x v="2085"/>
    <n v="44"/>
  </r>
  <r>
    <x v="11"/>
    <x v="0"/>
    <s v="Caramel Stuffed Bars"/>
    <d v="2024-07-19T00:00:00"/>
    <x v="2086"/>
    <x v="2086"/>
    <n v="107"/>
  </r>
  <r>
    <x v="9"/>
    <x v="3"/>
    <s v="Manuka Honey Choco"/>
    <d v="2024-04-13T00:00:00"/>
    <x v="2087"/>
    <x v="2087"/>
    <n v="11"/>
  </r>
  <r>
    <x v="13"/>
    <x v="1"/>
    <s v="Peanut Butter Cubes"/>
    <d v="2024-02-11T00:00:00"/>
    <x v="2088"/>
    <x v="2088"/>
    <n v="20"/>
  </r>
  <r>
    <x v="13"/>
    <x v="3"/>
    <s v="Milk Bars"/>
    <d v="2024-03-02T00:00:00"/>
    <x v="2089"/>
    <x v="2089"/>
    <n v="111"/>
  </r>
  <r>
    <x v="24"/>
    <x v="2"/>
    <s v="White Choc"/>
    <d v="2024-03-02T00:00:00"/>
    <x v="2090"/>
    <x v="2090"/>
    <n v="195"/>
  </r>
  <r>
    <x v="1"/>
    <x v="4"/>
    <s v="99% Dark &amp; Pure"/>
    <d v="2024-07-28T00:00:00"/>
    <x v="2091"/>
    <x v="2091"/>
    <n v="6"/>
  </r>
  <r>
    <x v="20"/>
    <x v="1"/>
    <s v="After Nines"/>
    <d v="2024-01-07T00:00:00"/>
    <x v="2092"/>
    <x v="2092"/>
    <n v="563"/>
  </r>
  <r>
    <x v="6"/>
    <x v="0"/>
    <s v="White Choc"/>
    <d v="2024-04-12T00:00:00"/>
    <x v="2093"/>
    <x v="2093"/>
    <n v="169"/>
  </r>
  <r>
    <x v="1"/>
    <x v="5"/>
    <s v="Almond Choco"/>
    <d v="2024-06-27T00:00:00"/>
    <x v="2094"/>
    <x v="2094"/>
    <n v="71"/>
  </r>
  <r>
    <x v="0"/>
    <x v="2"/>
    <s v="50% Dark Bites"/>
    <d v="2024-01-14T00:00:00"/>
    <x v="2095"/>
    <x v="2095"/>
    <n v="456"/>
  </r>
  <r>
    <x v="10"/>
    <x v="0"/>
    <s v="Baker's Choco Chips"/>
    <d v="2024-02-07T00:00:00"/>
    <x v="2096"/>
    <x v="2096"/>
    <n v="389"/>
  </r>
  <r>
    <x v="0"/>
    <x v="2"/>
    <s v="Orange Choco"/>
    <d v="2024-03-23T00:00:00"/>
    <x v="2097"/>
    <x v="2097"/>
    <n v="28"/>
  </r>
  <r>
    <x v="11"/>
    <x v="1"/>
    <s v="Peanut Butter Cubes"/>
    <d v="2024-01-10T00:00:00"/>
    <x v="2098"/>
    <x v="2098"/>
    <n v="157"/>
  </r>
  <r>
    <x v="4"/>
    <x v="0"/>
    <s v="Choco Coated Almonds"/>
    <d v="2024-03-17T00:00:00"/>
    <x v="2099"/>
    <x v="2099"/>
    <n v="44"/>
  </r>
  <r>
    <x v="2"/>
    <x v="4"/>
    <s v="Spicy Special Slims"/>
    <d v="2024-01-21T00:00:00"/>
    <x v="2100"/>
    <x v="2100"/>
    <n v="54"/>
  </r>
  <r>
    <x v="8"/>
    <x v="2"/>
    <s v="White Choc"/>
    <d v="2024-07-04T00:00:00"/>
    <x v="2101"/>
    <x v="2101"/>
    <n v="401"/>
  </r>
  <r>
    <x v="16"/>
    <x v="5"/>
    <s v="Peanut Butter Cubes"/>
    <d v="2024-07-04T00:00:00"/>
    <x v="2102"/>
    <x v="2102"/>
    <n v="185"/>
  </r>
  <r>
    <x v="23"/>
    <x v="4"/>
    <s v="Manuka Honey Choco"/>
    <d v="2024-08-10T00:00:00"/>
    <x v="2103"/>
    <x v="2103"/>
    <n v="201"/>
  </r>
  <r>
    <x v="17"/>
    <x v="2"/>
    <s v="50% Dark Bites"/>
    <d v="2024-04-01T00:00:00"/>
    <x v="2104"/>
    <x v="2104"/>
    <n v="12"/>
  </r>
  <r>
    <x v="2"/>
    <x v="1"/>
    <s v="Raspberry Choco"/>
    <d v="2024-02-22T00:00:00"/>
    <x v="2105"/>
    <x v="2105"/>
    <n v="158"/>
  </r>
  <r>
    <x v="21"/>
    <x v="0"/>
    <s v="White Choc"/>
    <d v="2024-01-03T00:00:00"/>
    <x v="2106"/>
    <x v="2106"/>
    <n v="192"/>
  </r>
  <r>
    <x v="10"/>
    <x v="1"/>
    <s v="Drinking Coco"/>
    <d v="2024-05-31T00:00:00"/>
    <x v="2107"/>
    <x v="2107"/>
    <n v="241"/>
  </r>
  <r>
    <x v="23"/>
    <x v="0"/>
    <s v="99% Dark &amp; Pure"/>
    <d v="2024-01-03T00:00:00"/>
    <x v="2108"/>
    <x v="2108"/>
    <n v="301"/>
  </r>
  <r>
    <x v="15"/>
    <x v="3"/>
    <s v="Caramel Stuffed Bars"/>
    <d v="2024-01-27T00:00:00"/>
    <x v="2109"/>
    <x v="2109"/>
    <n v="461"/>
  </r>
  <r>
    <x v="8"/>
    <x v="0"/>
    <s v="50% Dark Bites"/>
    <d v="2024-01-28T00:00:00"/>
    <x v="2110"/>
    <x v="2110"/>
    <n v="71"/>
  </r>
  <r>
    <x v="14"/>
    <x v="2"/>
    <s v="Organic Choco Syrup"/>
    <d v="2024-06-28T00:00:00"/>
    <x v="2111"/>
    <x v="2111"/>
    <n v="322"/>
  </r>
  <r>
    <x v="15"/>
    <x v="0"/>
    <s v="Choco Coated Almonds"/>
    <d v="2024-03-02T00:00:00"/>
    <x v="2112"/>
    <x v="2112"/>
    <n v="41"/>
  </r>
  <r>
    <x v="18"/>
    <x v="2"/>
    <s v="After Nines"/>
    <d v="2024-05-27T00:00:00"/>
    <x v="2113"/>
    <x v="2113"/>
    <n v="27"/>
  </r>
  <r>
    <x v="17"/>
    <x v="4"/>
    <s v="Almond Choco"/>
    <d v="2024-06-30T00:00:00"/>
    <x v="2114"/>
    <x v="2114"/>
    <n v="85"/>
  </r>
  <r>
    <x v="8"/>
    <x v="5"/>
    <s v="Peanut Butter Cubes"/>
    <d v="2024-06-07T00:00:00"/>
    <x v="2115"/>
    <x v="2115"/>
    <n v="79"/>
  </r>
  <r>
    <x v="16"/>
    <x v="4"/>
    <s v="70% Dark Bites"/>
    <d v="2024-05-12T00:00:00"/>
    <x v="2116"/>
    <x v="2116"/>
    <n v="103"/>
  </r>
  <r>
    <x v="8"/>
    <x v="3"/>
    <s v="Raspberry Choco"/>
    <d v="2024-07-29T00:00:00"/>
    <x v="2117"/>
    <x v="2117"/>
    <n v="69"/>
  </r>
  <r>
    <x v="17"/>
    <x v="0"/>
    <s v="White Choc"/>
    <d v="2024-08-03T00:00:00"/>
    <x v="2118"/>
    <x v="2118"/>
    <n v="270"/>
  </r>
  <r>
    <x v="8"/>
    <x v="1"/>
    <s v="Baker's Choco Chips"/>
    <d v="2024-08-18T00:00:00"/>
    <x v="2119"/>
    <x v="2119"/>
    <n v="153"/>
  </r>
  <r>
    <x v="1"/>
    <x v="3"/>
    <s v="Smooth Sliky Salty"/>
    <d v="2024-06-14T00:00:00"/>
    <x v="2120"/>
    <x v="2120"/>
    <n v="46"/>
  </r>
  <r>
    <x v="12"/>
    <x v="0"/>
    <s v="White Choc"/>
    <d v="2024-06-30T00:00:00"/>
    <x v="2121"/>
    <x v="2121"/>
    <n v="80"/>
  </r>
  <r>
    <x v="21"/>
    <x v="3"/>
    <s v="Mint Chip Choco"/>
    <d v="2024-06-13T00:00:00"/>
    <x v="2122"/>
    <x v="2122"/>
    <n v="201"/>
  </r>
  <r>
    <x v="24"/>
    <x v="0"/>
    <s v="Orange Choco"/>
    <d v="2024-04-27T00:00:00"/>
    <x v="2123"/>
    <x v="2123"/>
    <n v="57"/>
  </r>
  <r>
    <x v="3"/>
    <x v="2"/>
    <s v="White Choc"/>
    <d v="2024-07-27T00:00:00"/>
    <x v="2124"/>
    <x v="2124"/>
    <n v="33"/>
  </r>
  <r>
    <x v="9"/>
    <x v="5"/>
    <s v="85% Dark Bars"/>
    <d v="2024-04-20T00:00:00"/>
    <x v="2125"/>
    <x v="2125"/>
    <n v="465"/>
  </r>
  <r>
    <x v="7"/>
    <x v="1"/>
    <s v="Spicy Special Slims"/>
    <d v="2024-01-04T00:00:00"/>
    <x v="2126"/>
    <x v="2126"/>
    <n v="134"/>
  </r>
  <r>
    <x v="24"/>
    <x v="2"/>
    <s v="Mint Chip Choco"/>
    <d v="2024-02-21T00:00:00"/>
    <x v="2127"/>
    <x v="2127"/>
    <n v="96"/>
  </r>
  <r>
    <x v="10"/>
    <x v="2"/>
    <s v="White Choc"/>
    <d v="2024-01-05T00:00:00"/>
    <x v="2128"/>
    <x v="2128"/>
    <n v="50"/>
  </r>
  <r>
    <x v="12"/>
    <x v="1"/>
    <s v="Drinking Coco"/>
    <d v="2024-07-15T00:00:00"/>
    <x v="2129"/>
    <x v="2129"/>
    <n v="45"/>
  </r>
  <r>
    <x v="6"/>
    <x v="2"/>
    <s v="Choco Coated Almonds"/>
    <d v="2024-05-25T00:00:00"/>
    <x v="2130"/>
    <x v="2130"/>
    <n v="63"/>
  </r>
  <r>
    <x v="10"/>
    <x v="5"/>
    <s v="Eclairs"/>
    <d v="2024-04-20T00:00:00"/>
    <x v="2131"/>
    <x v="2131"/>
    <n v="352"/>
  </r>
  <r>
    <x v="2"/>
    <x v="4"/>
    <s v="99% Dark &amp; Pure"/>
    <d v="2024-06-02T00:00:00"/>
    <x v="2132"/>
    <x v="2132"/>
    <n v="246"/>
  </r>
  <r>
    <x v="11"/>
    <x v="0"/>
    <s v="Smooth Sliky Salty"/>
    <d v="2024-05-13T00:00:00"/>
    <x v="2133"/>
    <x v="2133"/>
    <n v="84"/>
  </r>
  <r>
    <x v="12"/>
    <x v="3"/>
    <s v="Baker's Choco Chips"/>
    <d v="2024-08-03T00:00:00"/>
    <x v="2134"/>
    <x v="2134"/>
    <n v="147"/>
  </r>
  <r>
    <x v="12"/>
    <x v="2"/>
    <s v="Milk Bars"/>
    <d v="2024-05-25T00:00:00"/>
    <x v="2135"/>
    <x v="2135"/>
    <n v="389"/>
  </r>
  <r>
    <x v="1"/>
    <x v="0"/>
    <s v="Raspberry Choco"/>
    <d v="2024-03-16T00:00:00"/>
    <x v="2136"/>
    <x v="2136"/>
    <n v="80"/>
  </r>
  <r>
    <x v="3"/>
    <x v="2"/>
    <s v="Orange Choco"/>
    <d v="2024-07-04T00:00:00"/>
    <x v="2137"/>
    <x v="2137"/>
    <n v="117"/>
  </r>
  <r>
    <x v="0"/>
    <x v="1"/>
    <s v="50% Dark Bites"/>
    <d v="2024-07-05T00:00:00"/>
    <x v="2138"/>
    <x v="2138"/>
    <n v="137"/>
  </r>
  <r>
    <x v="22"/>
    <x v="4"/>
    <s v="After Nines"/>
    <d v="2024-03-15T00:00:00"/>
    <x v="2139"/>
    <x v="2139"/>
    <n v="450"/>
  </r>
  <r>
    <x v="8"/>
    <x v="0"/>
    <s v="Raspberry Choco"/>
    <d v="2024-08-22T00:00:00"/>
    <x v="2140"/>
    <x v="2140"/>
    <n v="71"/>
  </r>
  <r>
    <x v="24"/>
    <x v="2"/>
    <s v="70% Dark Bites"/>
    <d v="2024-01-12T00:00:00"/>
    <x v="2141"/>
    <x v="2141"/>
    <n v="122"/>
  </r>
  <r>
    <x v="11"/>
    <x v="0"/>
    <s v="Baker's Choco Chips"/>
    <d v="2024-06-10T00:00:00"/>
    <x v="2142"/>
    <x v="2142"/>
    <n v="154"/>
  </r>
  <r>
    <x v="16"/>
    <x v="2"/>
    <s v="Peanut Butter Cubes"/>
    <d v="2024-03-25T00:00:00"/>
    <x v="2143"/>
    <x v="2143"/>
    <n v="290"/>
  </r>
  <r>
    <x v="7"/>
    <x v="1"/>
    <s v="Almond Choco"/>
    <d v="2024-07-27T00:00:00"/>
    <x v="2144"/>
    <x v="2144"/>
    <n v="106"/>
  </r>
  <r>
    <x v="15"/>
    <x v="0"/>
    <s v="Caramel Stuffed Bars"/>
    <d v="2024-04-15T00:00:00"/>
    <x v="2145"/>
    <x v="2145"/>
    <n v="442"/>
  </r>
  <r>
    <x v="13"/>
    <x v="1"/>
    <s v="Orange Choco"/>
    <d v="2024-06-27T00:00:00"/>
    <x v="2146"/>
    <x v="2146"/>
    <n v="19"/>
  </r>
  <r>
    <x v="0"/>
    <x v="0"/>
    <s v="70% Dark Bites"/>
    <d v="2024-04-14T00:00:00"/>
    <x v="2147"/>
    <x v="2147"/>
    <n v="270"/>
  </r>
  <r>
    <x v="15"/>
    <x v="2"/>
    <s v="Manuka Honey Choco"/>
    <d v="2024-03-15T00:00:00"/>
    <x v="2148"/>
    <x v="2148"/>
    <n v="100"/>
  </r>
  <r>
    <x v="22"/>
    <x v="4"/>
    <s v="Eclairs"/>
    <d v="2024-03-18T00:00:00"/>
    <x v="2149"/>
    <x v="2149"/>
    <n v="193"/>
  </r>
  <r>
    <x v="6"/>
    <x v="1"/>
    <s v="Eclairs"/>
    <d v="2024-04-29T00:00:00"/>
    <x v="2150"/>
    <x v="2150"/>
    <n v="67"/>
  </r>
  <r>
    <x v="9"/>
    <x v="3"/>
    <s v="White Choc"/>
    <d v="2024-02-25T00:00:00"/>
    <x v="2151"/>
    <x v="2151"/>
    <n v="238"/>
  </r>
  <r>
    <x v="15"/>
    <x v="4"/>
    <s v="Milk Bars"/>
    <d v="2024-03-02T00:00:00"/>
    <x v="2152"/>
    <x v="2152"/>
    <n v="55"/>
  </r>
  <r>
    <x v="1"/>
    <x v="2"/>
    <s v="Milk Bars"/>
    <d v="2024-06-20T00:00:00"/>
    <x v="2153"/>
    <x v="2153"/>
    <n v="95"/>
  </r>
  <r>
    <x v="12"/>
    <x v="5"/>
    <s v="White Choc"/>
    <d v="2024-07-15T00:00:00"/>
    <x v="2154"/>
    <x v="2154"/>
    <n v="179"/>
  </r>
  <r>
    <x v="23"/>
    <x v="2"/>
    <s v="50% Dark Bites"/>
    <d v="2024-05-12T00:00:00"/>
    <x v="2155"/>
    <x v="2155"/>
    <n v="247"/>
  </r>
  <r>
    <x v="9"/>
    <x v="3"/>
    <s v="Organic Choco Syrup"/>
    <d v="2024-07-01T00:00:00"/>
    <x v="2156"/>
    <x v="2156"/>
    <n v="281"/>
  </r>
  <r>
    <x v="15"/>
    <x v="4"/>
    <s v="85% Dark Bars"/>
    <d v="2024-08-08T00:00:00"/>
    <x v="2157"/>
    <x v="2157"/>
    <n v="59"/>
  </r>
  <r>
    <x v="22"/>
    <x v="2"/>
    <s v="50% Dark Bites"/>
    <d v="2024-07-25T00:00:00"/>
    <x v="2158"/>
    <x v="2158"/>
    <n v="6"/>
  </r>
  <r>
    <x v="18"/>
    <x v="0"/>
    <s v="Drinking Coco"/>
    <d v="2024-05-18T00:00:00"/>
    <x v="2159"/>
    <x v="2159"/>
    <n v="54"/>
  </r>
  <r>
    <x v="21"/>
    <x v="1"/>
    <s v="Peanut Butter Cubes"/>
    <d v="2024-07-15T00:00:00"/>
    <x v="2160"/>
    <x v="2160"/>
    <n v="291"/>
  </r>
  <r>
    <x v="14"/>
    <x v="1"/>
    <s v="70% Dark Bites"/>
    <d v="2024-07-05T00:00:00"/>
    <x v="2161"/>
    <x v="2161"/>
    <n v="43"/>
  </r>
  <r>
    <x v="9"/>
    <x v="4"/>
    <s v="Manuka Honey Choco"/>
    <d v="2024-07-04T00:00:00"/>
    <x v="2162"/>
    <x v="2162"/>
    <n v="100"/>
  </r>
  <r>
    <x v="23"/>
    <x v="0"/>
    <s v="70% Dark Bites"/>
    <d v="2024-06-20T00:00:00"/>
    <x v="2163"/>
    <x v="2163"/>
    <n v="230"/>
  </r>
  <r>
    <x v="5"/>
    <x v="2"/>
    <s v="Almond Choco"/>
    <d v="2024-01-25T00:00:00"/>
    <x v="2164"/>
    <x v="2164"/>
    <n v="464"/>
  </r>
  <r>
    <x v="16"/>
    <x v="3"/>
    <s v="Spicy Special Slims"/>
    <d v="2024-07-01T00:00:00"/>
    <x v="2165"/>
    <x v="2165"/>
    <n v="38"/>
  </r>
  <r>
    <x v="2"/>
    <x v="4"/>
    <s v="50% Dark Bites"/>
    <d v="2024-04-13T00:00:00"/>
    <x v="2166"/>
    <x v="2166"/>
    <n v="60"/>
  </r>
  <r>
    <x v="12"/>
    <x v="0"/>
    <s v="Smooth Sliky Salty"/>
    <d v="2024-05-04T00:00:00"/>
    <x v="2167"/>
    <x v="2167"/>
    <n v="77"/>
  </r>
  <r>
    <x v="12"/>
    <x v="2"/>
    <s v="Baker's Choco Chips"/>
    <d v="2024-08-04T00:00:00"/>
    <x v="2168"/>
    <x v="2168"/>
    <n v="119"/>
  </r>
  <r>
    <x v="12"/>
    <x v="1"/>
    <s v="70% Dark Bites"/>
    <d v="2024-06-01T00:00:00"/>
    <x v="2169"/>
    <x v="2169"/>
    <n v="146"/>
  </r>
  <r>
    <x v="0"/>
    <x v="0"/>
    <s v="Choco Coated Almonds"/>
    <d v="2024-04-22T00:00:00"/>
    <x v="2170"/>
    <x v="2170"/>
    <n v="187"/>
  </r>
  <r>
    <x v="16"/>
    <x v="4"/>
    <s v="50% Dark Bites"/>
    <d v="2024-08-03T00:00:00"/>
    <x v="2171"/>
    <x v="2171"/>
    <n v="26"/>
  </r>
  <r>
    <x v="24"/>
    <x v="4"/>
    <s v="Orange Choco"/>
    <d v="2024-06-10T00:00:00"/>
    <x v="2172"/>
    <x v="2172"/>
    <n v="71"/>
  </r>
  <r>
    <x v="5"/>
    <x v="0"/>
    <s v="Manuka Honey Choco"/>
    <d v="2024-06-27T00:00:00"/>
    <x v="2173"/>
    <x v="2173"/>
    <n v="50"/>
  </r>
  <r>
    <x v="11"/>
    <x v="2"/>
    <s v="Smooth Sliky Salty"/>
    <d v="2024-01-03T00:00:00"/>
    <x v="2174"/>
    <x v="2174"/>
    <n v="179"/>
  </r>
  <r>
    <x v="11"/>
    <x v="1"/>
    <s v="After Nines"/>
    <d v="2024-07-11T00:00:00"/>
    <x v="2175"/>
    <x v="2175"/>
    <n v="188"/>
  </r>
  <r>
    <x v="24"/>
    <x v="3"/>
    <s v="Milk Bars"/>
    <d v="2024-08-17T00:00:00"/>
    <x v="2176"/>
    <x v="2176"/>
    <n v="128"/>
  </r>
  <r>
    <x v="7"/>
    <x v="4"/>
    <s v="Fruit &amp; Nut Bars"/>
    <d v="2024-01-18T00:00:00"/>
    <x v="2177"/>
    <x v="2177"/>
    <n v="66"/>
  </r>
  <r>
    <x v="24"/>
    <x v="1"/>
    <s v="Organic Choco Syrup"/>
    <d v="2024-03-08T00:00:00"/>
    <x v="2178"/>
    <x v="2178"/>
    <n v="107"/>
  </r>
  <r>
    <x v="9"/>
    <x v="2"/>
    <s v="Orange Choco"/>
    <d v="2024-03-07T00:00:00"/>
    <x v="2179"/>
    <x v="2179"/>
    <n v="284"/>
  </r>
  <r>
    <x v="15"/>
    <x v="1"/>
    <s v="70% Dark Bites"/>
    <d v="2024-05-09T00:00:00"/>
    <x v="2180"/>
    <x v="2180"/>
    <n v="164"/>
  </r>
  <r>
    <x v="8"/>
    <x v="3"/>
    <s v="85% Dark Bars"/>
    <d v="2024-05-23T00:00:00"/>
    <x v="2181"/>
    <x v="2181"/>
    <n v="161"/>
  </r>
  <r>
    <x v="22"/>
    <x v="0"/>
    <s v="Caramel Stuffed Bars"/>
    <d v="2024-04-15T00:00:00"/>
    <x v="2182"/>
    <x v="2182"/>
    <n v="156"/>
  </r>
  <r>
    <x v="2"/>
    <x v="2"/>
    <s v="Drinking Coco"/>
    <d v="2024-07-27T00:00:00"/>
    <x v="2183"/>
    <x v="2183"/>
    <n v="141"/>
  </r>
  <r>
    <x v="11"/>
    <x v="5"/>
    <s v="Choco Coated Almonds"/>
    <d v="2024-08-22T00:00:00"/>
    <x v="2184"/>
    <x v="2184"/>
    <n v="389"/>
  </r>
  <r>
    <x v="24"/>
    <x v="4"/>
    <s v="70% Dark Bites"/>
    <d v="2024-05-11T00:00:00"/>
    <x v="2185"/>
    <x v="2185"/>
    <n v="124"/>
  </r>
  <r>
    <x v="22"/>
    <x v="1"/>
    <s v="Organic Choco Syrup"/>
    <d v="2024-01-26T00:00:00"/>
    <x v="2186"/>
    <x v="2186"/>
    <n v="41"/>
  </r>
  <r>
    <x v="8"/>
    <x v="4"/>
    <s v="50% Dark Bites"/>
    <d v="2024-04-14T00:00:00"/>
    <x v="2187"/>
    <x v="2187"/>
    <n v="124"/>
  </r>
  <r>
    <x v="17"/>
    <x v="3"/>
    <s v="Mint Chip Choco"/>
    <d v="2024-04-05T00:00:00"/>
    <x v="2188"/>
    <x v="2188"/>
    <n v="433"/>
  </r>
  <r>
    <x v="11"/>
    <x v="3"/>
    <s v="Smooth Sliky Salty"/>
    <d v="2024-06-14T00:00:00"/>
    <x v="2189"/>
    <x v="2189"/>
    <n v="56"/>
  </r>
  <r>
    <x v="6"/>
    <x v="5"/>
    <s v="Almond Choco"/>
    <d v="2024-04-13T00:00:00"/>
    <x v="2190"/>
    <x v="2190"/>
    <n v="125"/>
  </r>
  <r>
    <x v="12"/>
    <x v="2"/>
    <s v="White Choc"/>
    <d v="2024-06-27T00:00:00"/>
    <x v="2191"/>
    <x v="2191"/>
    <n v="178"/>
  </r>
  <r>
    <x v="23"/>
    <x v="2"/>
    <s v="Eclairs"/>
    <d v="2024-01-26T00:00:00"/>
    <x v="2192"/>
    <x v="2192"/>
    <n v="3"/>
  </r>
  <r>
    <x v="8"/>
    <x v="0"/>
    <s v="White Choc"/>
    <d v="2024-07-05T00:00:00"/>
    <x v="2193"/>
    <x v="2193"/>
    <n v="70"/>
  </r>
  <r>
    <x v="12"/>
    <x v="5"/>
    <s v="Baker's Choco Chips"/>
    <d v="2024-01-11T00:00:00"/>
    <x v="2194"/>
    <x v="2194"/>
    <n v="91"/>
  </r>
  <r>
    <x v="20"/>
    <x v="4"/>
    <s v="White Choc"/>
    <d v="2024-03-07T00:00:00"/>
    <x v="2195"/>
    <x v="2195"/>
    <n v="21"/>
  </r>
  <r>
    <x v="16"/>
    <x v="5"/>
    <s v="50% Dark Bites"/>
    <d v="2024-03-04T00:00:00"/>
    <x v="2196"/>
    <x v="2196"/>
    <n v="109"/>
  </r>
  <r>
    <x v="10"/>
    <x v="5"/>
    <s v="Organic Choco Syrup"/>
    <d v="2024-07-15T00:00:00"/>
    <x v="2197"/>
    <x v="2197"/>
    <n v="302"/>
  </r>
  <r>
    <x v="16"/>
    <x v="0"/>
    <s v="Peanut Butter Cubes"/>
    <d v="2024-05-11T00:00:00"/>
    <x v="2198"/>
    <x v="2198"/>
    <n v="85"/>
  </r>
  <r>
    <x v="10"/>
    <x v="4"/>
    <s v="Milk Bars"/>
    <d v="2024-01-27T00:00:00"/>
    <x v="2199"/>
    <x v="2199"/>
    <n v="8"/>
  </r>
  <r>
    <x v="10"/>
    <x v="1"/>
    <s v="Orange Choco"/>
    <d v="2024-06-27T00:00:00"/>
    <x v="2200"/>
    <x v="2200"/>
    <n v="161"/>
  </r>
  <r>
    <x v="24"/>
    <x v="1"/>
    <s v="Smooth Sliky Salty"/>
    <d v="2024-08-03T00:00:00"/>
    <x v="2201"/>
    <x v="2201"/>
    <n v="19"/>
  </r>
  <r>
    <x v="18"/>
    <x v="3"/>
    <s v="Mint Chip Choco"/>
    <d v="2024-08-19T00:00:00"/>
    <x v="2202"/>
    <x v="2202"/>
    <n v="251"/>
  </r>
  <r>
    <x v="18"/>
    <x v="2"/>
    <s v="Fruit &amp; Nut Bars"/>
    <d v="2024-06-15T00:00:00"/>
    <x v="2203"/>
    <x v="2203"/>
    <n v="101"/>
  </r>
  <r>
    <x v="17"/>
    <x v="0"/>
    <s v="Peanut Butter Cubes"/>
    <d v="2024-02-07T00:00:00"/>
    <x v="2204"/>
    <x v="2204"/>
    <n v="158"/>
  </r>
  <r>
    <x v="10"/>
    <x v="2"/>
    <s v="Almond Choco"/>
    <d v="2024-07-08T00:00:00"/>
    <x v="2205"/>
    <x v="2205"/>
    <n v="140"/>
  </r>
  <r>
    <x v="17"/>
    <x v="1"/>
    <s v="Milk Bars"/>
    <d v="2024-04-21T00:00:00"/>
    <x v="2206"/>
    <x v="2206"/>
    <n v="96"/>
  </r>
  <r>
    <x v="24"/>
    <x v="0"/>
    <s v="Mint Chip Choco"/>
    <d v="2024-04-08T00:00:00"/>
    <x v="2207"/>
    <x v="2207"/>
    <n v="214"/>
  </r>
  <r>
    <x v="15"/>
    <x v="2"/>
    <s v="50% Dark Bites"/>
    <d v="2024-08-19T00:00:00"/>
    <x v="2208"/>
    <x v="2208"/>
    <n v="56"/>
  </r>
  <r>
    <x v="3"/>
    <x v="1"/>
    <s v="Fruit &amp; Nut Bars"/>
    <d v="2024-05-04T00:00:00"/>
    <x v="2209"/>
    <x v="2209"/>
    <n v="60"/>
  </r>
  <r>
    <x v="9"/>
    <x v="4"/>
    <s v="85% Dark Bars"/>
    <d v="2024-05-11T00:00:00"/>
    <x v="2210"/>
    <x v="2210"/>
    <n v="115"/>
  </r>
  <r>
    <x v="9"/>
    <x v="4"/>
    <s v="Eclairs"/>
    <d v="2024-03-22T00:00:00"/>
    <x v="2211"/>
    <x v="2211"/>
    <n v="49"/>
  </r>
  <r>
    <x v="17"/>
    <x v="5"/>
    <s v="Spicy Special Slims"/>
    <d v="2024-08-10T00:00:00"/>
    <x v="2212"/>
    <x v="2212"/>
    <n v="216"/>
  </r>
  <r>
    <x v="17"/>
    <x v="4"/>
    <s v="Fruit &amp; Nut Bars"/>
    <d v="2024-05-04T00:00:00"/>
    <x v="2213"/>
    <x v="2213"/>
    <n v="314"/>
  </r>
  <r>
    <x v="20"/>
    <x v="4"/>
    <s v="99% Dark &amp; Pure"/>
    <d v="2024-08-18T00:00:00"/>
    <x v="2214"/>
    <x v="2214"/>
    <n v="261"/>
  </r>
  <r>
    <x v="23"/>
    <x v="5"/>
    <s v="Raspberry Choco"/>
    <d v="2024-08-03T00:00:00"/>
    <x v="2215"/>
    <x v="2215"/>
    <n v="258"/>
  </r>
  <r>
    <x v="11"/>
    <x v="3"/>
    <s v="Milk Bars"/>
    <d v="2024-01-14T00:00:00"/>
    <x v="2216"/>
    <x v="2216"/>
    <n v="318"/>
  </r>
  <r>
    <x v="22"/>
    <x v="2"/>
    <s v="Choco Coated Almonds"/>
    <d v="2024-04-08T00:00:00"/>
    <x v="2217"/>
    <x v="2217"/>
    <n v="78"/>
  </r>
  <r>
    <x v="20"/>
    <x v="0"/>
    <s v="Orange Choco"/>
    <d v="2024-08-01T00:00:00"/>
    <x v="2218"/>
    <x v="2218"/>
    <n v="3"/>
  </r>
  <r>
    <x v="17"/>
    <x v="5"/>
    <s v="Eclairs"/>
    <d v="2024-03-15T00:00:00"/>
    <x v="2219"/>
    <x v="2219"/>
    <n v="45"/>
  </r>
  <r>
    <x v="10"/>
    <x v="1"/>
    <s v="Mint Chip Choco"/>
    <d v="2024-07-15T00:00:00"/>
    <x v="2220"/>
    <x v="2220"/>
    <n v="192"/>
  </r>
  <r>
    <x v="8"/>
    <x v="3"/>
    <s v="Almond Choco"/>
    <d v="2024-01-13T00:00:00"/>
    <x v="2221"/>
    <x v="2221"/>
    <n v="132"/>
  </r>
  <r>
    <x v="9"/>
    <x v="2"/>
    <s v="85% Dark Bars"/>
    <d v="2024-08-26T00:00:00"/>
    <x v="2222"/>
    <x v="2222"/>
    <n v="54"/>
  </r>
  <r>
    <x v="24"/>
    <x v="5"/>
    <s v="Eclairs"/>
    <d v="2024-01-10T00:00:00"/>
    <x v="2223"/>
    <x v="2223"/>
    <n v="170"/>
  </r>
  <r>
    <x v="2"/>
    <x v="2"/>
    <s v="White Choc"/>
    <d v="2024-05-11T00:00:00"/>
    <x v="2224"/>
    <x v="2224"/>
    <n v="83"/>
  </r>
  <r>
    <x v="12"/>
    <x v="3"/>
    <s v="85% Dark Bars"/>
    <d v="2024-08-30T00:00:00"/>
    <x v="2225"/>
    <x v="2225"/>
    <n v="21"/>
  </r>
  <r>
    <x v="16"/>
    <x v="4"/>
    <s v="Caramel Stuffed Bars"/>
    <d v="2024-07-21T00:00:00"/>
    <x v="2226"/>
    <x v="2226"/>
    <n v="117"/>
  </r>
  <r>
    <x v="9"/>
    <x v="2"/>
    <s v="Almond Choco"/>
    <d v="2024-08-01T00:00:00"/>
    <x v="2227"/>
    <x v="2227"/>
    <n v="130"/>
  </r>
  <r>
    <x v="6"/>
    <x v="5"/>
    <s v="85% Dark Bars"/>
    <d v="2024-02-17T00:00:00"/>
    <x v="2228"/>
    <x v="2228"/>
    <n v="264"/>
  </r>
  <r>
    <x v="6"/>
    <x v="2"/>
    <s v="Drinking Coco"/>
    <d v="2024-07-27T00:00:00"/>
    <x v="2229"/>
    <x v="2229"/>
    <n v="159"/>
  </r>
  <r>
    <x v="23"/>
    <x v="4"/>
    <s v="Orange Choco"/>
    <d v="2024-02-23T00:00:00"/>
    <x v="2230"/>
    <x v="2230"/>
    <n v="112"/>
  </r>
  <r>
    <x v="7"/>
    <x v="2"/>
    <s v="50% Dark Bites"/>
    <d v="2024-03-22T00:00:00"/>
    <x v="2231"/>
    <x v="2231"/>
    <n v="41"/>
  </r>
  <r>
    <x v="17"/>
    <x v="1"/>
    <s v="99% Dark &amp; Pure"/>
    <d v="2024-06-23T00:00:00"/>
    <x v="2232"/>
    <x v="2232"/>
    <n v="327"/>
  </r>
  <r>
    <x v="14"/>
    <x v="0"/>
    <s v="White Choc"/>
    <d v="2024-02-01T00:00:00"/>
    <x v="2233"/>
    <x v="2233"/>
    <n v="70"/>
  </r>
  <r>
    <x v="20"/>
    <x v="2"/>
    <s v="After Nines"/>
    <d v="2024-03-02T00:00:00"/>
    <x v="2234"/>
    <x v="2234"/>
    <n v="298"/>
  </r>
  <r>
    <x v="2"/>
    <x v="0"/>
    <s v="Fruit &amp; Nut Bars"/>
    <d v="2024-04-06T00:00:00"/>
    <x v="2235"/>
    <x v="2235"/>
    <n v="92"/>
  </r>
  <r>
    <x v="5"/>
    <x v="2"/>
    <s v="Raspberry Choco"/>
    <d v="2024-03-17T00:00:00"/>
    <x v="2236"/>
    <x v="2236"/>
    <n v="77"/>
  </r>
  <r>
    <x v="14"/>
    <x v="0"/>
    <s v="Fruit &amp; Nut Bars"/>
    <d v="2024-06-24T00:00:00"/>
    <x v="2237"/>
    <x v="2237"/>
    <n v="135"/>
  </r>
  <r>
    <x v="8"/>
    <x v="5"/>
    <s v="50% Dark Bites"/>
    <d v="2024-07-19T00:00:00"/>
    <x v="2238"/>
    <x v="2238"/>
    <n v="302"/>
  </r>
  <r>
    <x v="14"/>
    <x v="4"/>
    <s v="Spicy Special Slims"/>
    <d v="2024-07-11T00:00:00"/>
    <x v="2239"/>
    <x v="2239"/>
    <n v="287"/>
  </r>
  <r>
    <x v="6"/>
    <x v="1"/>
    <s v="Almond Choco"/>
    <d v="2024-01-13T00:00:00"/>
    <x v="2240"/>
    <x v="2240"/>
    <n v="225"/>
  </r>
  <r>
    <x v="4"/>
    <x v="3"/>
    <s v="Smooth Sliky Salty"/>
    <d v="2024-07-07T00:00:00"/>
    <x v="2241"/>
    <x v="2241"/>
    <n v="65"/>
  </r>
  <r>
    <x v="3"/>
    <x v="1"/>
    <s v="85% Dark Bars"/>
    <d v="2024-05-25T00:00:00"/>
    <x v="2242"/>
    <x v="2242"/>
    <n v="415"/>
  </r>
  <r>
    <x v="11"/>
    <x v="1"/>
    <s v="Fruit &amp; Nut Bars"/>
    <d v="2024-04-13T00:00:00"/>
    <x v="2243"/>
    <x v="2243"/>
    <n v="161"/>
  </r>
  <r>
    <x v="19"/>
    <x v="3"/>
    <s v="50% Dark Bites"/>
    <d v="2024-03-02T00:00:00"/>
    <x v="2244"/>
    <x v="2244"/>
    <n v="222"/>
  </r>
  <r>
    <x v="5"/>
    <x v="5"/>
    <s v="Raspberry Choco"/>
    <d v="2024-06-23T00:00:00"/>
    <x v="2245"/>
    <x v="2245"/>
    <n v="127"/>
  </r>
  <r>
    <x v="20"/>
    <x v="4"/>
    <s v="Drinking Coco"/>
    <d v="2024-07-26T00:00:00"/>
    <x v="2246"/>
    <x v="2246"/>
    <n v="156"/>
  </r>
  <r>
    <x v="1"/>
    <x v="5"/>
    <s v="White Choc"/>
    <d v="2024-03-22T00:00:00"/>
    <x v="2247"/>
    <x v="2247"/>
    <n v="3"/>
  </r>
  <r>
    <x v="7"/>
    <x v="4"/>
    <s v="Baker's Choco Chips"/>
    <d v="2024-06-09T00:00:00"/>
    <x v="2248"/>
    <x v="2248"/>
    <n v="55"/>
  </r>
  <r>
    <x v="1"/>
    <x v="2"/>
    <s v="Caramel Stuffed Bars"/>
    <d v="2024-05-17T00:00:00"/>
    <x v="2249"/>
    <x v="2249"/>
    <n v="58"/>
  </r>
  <r>
    <x v="24"/>
    <x v="3"/>
    <s v="Peanut Butter Cubes"/>
    <d v="2024-03-04T00:00:00"/>
    <x v="2250"/>
    <x v="2250"/>
    <n v="291"/>
  </r>
  <r>
    <x v="20"/>
    <x v="5"/>
    <s v="Milk Bars"/>
    <d v="2024-07-07T00:00:00"/>
    <x v="2251"/>
    <x v="2251"/>
    <n v="28"/>
  </r>
  <r>
    <x v="17"/>
    <x v="5"/>
    <s v="Choco Coated Almonds"/>
    <d v="2024-01-13T00:00:00"/>
    <x v="2252"/>
    <x v="2252"/>
    <n v="128"/>
  </r>
  <r>
    <x v="14"/>
    <x v="2"/>
    <s v="Almond Choco"/>
    <d v="2024-07-13T00:00:00"/>
    <x v="2253"/>
    <x v="2253"/>
    <n v="74"/>
  </r>
  <r>
    <x v="22"/>
    <x v="2"/>
    <s v="85% Dark Bars"/>
    <d v="2024-06-16T00:00:00"/>
    <x v="2254"/>
    <x v="2254"/>
    <n v="325"/>
  </r>
  <r>
    <x v="2"/>
    <x v="0"/>
    <s v="50% Dark Bites"/>
    <d v="2024-07-18T00:00:00"/>
    <x v="2255"/>
    <x v="2255"/>
    <n v="66"/>
  </r>
  <r>
    <x v="24"/>
    <x v="0"/>
    <s v="Manuka Honey Choco"/>
    <d v="2024-05-30T00:00:00"/>
    <x v="2256"/>
    <x v="2256"/>
    <n v="406"/>
  </r>
  <r>
    <x v="2"/>
    <x v="0"/>
    <s v="70% Dark Bites"/>
    <d v="2024-06-21T00:00:00"/>
    <x v="2257"/>
    <x v="2257"/>
    <n v="84"/>
  </r>
  <r>
    <x v="0"/>
    <x v="2"/>
    <s v="Peanut Butter Cubes"/>
    <d v="2024-06-24T00:00:00"/>
    <x v="2258"/>
    <x v="2258"/>
    <n v="39"/>
  </r>
  <r>
    <x v="11"/>
    <x v="1"/>
    <s v="Eclairs"/>
    <d v="2024-01-13T00:00:00"/>
    <x v="2259"/>
    <x v="2259"/>
    <n v="94"/>
  </r>
  <r>
    <x v="14"/>
    <x v="5"/>
    <s v="Fruit &amp; Nut Bars"/>
    <d v="2024-04-04T00:00:00"/>
    <x v="2260"/>
    <x v="2260"/>
    <n v="211"/>
  </r>
  <r>
    <x v="16"/>
    <x v="0"/>
    <s v="Smooth Sliky Salty"/>
    <d v="2024-06-08T00:00:00"/>
    <x v="2261"/>
    <x v="2261"/>
    <n v="594"/>
  </r>
  <r>
    <x v="10"/>
    <x v="5"/>
    <s v="Spicy Special Slims"/>
    <d v="2024-08-02T00:00:00"/>
    <x v="2262"/>
    <x v="2262"/>
    <n v="46"/>
  </r>
  <r>
    <x v="20"/>
    <x v="4"/>
    <s v="Organic Choco Syrup"/>
    <d v="2024-07-21T00:00:00"/>
    <x v="2263"/>
    <x v="2263"/>
    <n v="150"/>
  </r>
  <r>
    <x v="14"/>
    <x v="1"/>
    <s v="Spicy Special Slims"/>
    <d v="2024-06-20T00:00:00"/>
    <x v="2264"/>
    <x v="2264"/>
    <n v="140"/>
  </r>
  <r>
    <x v="13"/>
    <x v="1"/>
    <s v="After Nines"/>
    <d v="2024-06-22T00:00:00"/>
    <x v="2265"/>
    <x v="2265"/>
    <n v="115"/>
  </r>
  <r>
    <x v="21"/>
    <x v="2"/>
    <s v="Caramel Stuffed Bars"/>
    <d v="2024-05-02T00:00:00"/>
    <x v="2266"/>
    <x v="2266"/>
    <n v="16"/>
  </r>
  <r>
    <x v="14"/>
    <x v="2"/>
    <s v="99% Dark &amp; Pure"/>
    <d v="2024-01-07T00:00:00"/>
    <x v="2267"/>
    <x v="2267"/>
    <n v="87"/>
  </r>
  <r>
    <x v="9"/>
    <x v="0"/>
    <s v="50% Dark Bites"/>
    <d v="2024-02-21T00:00:00"/>
    <x v="2268"/>
    <x v="2268"/>
    <n v="102"/>
  </r>
  <r>
    <x v="24"/>
    <x v="5"/>
    <s v="Baker's Choco Chips"/>
    <d v="2024-03-21T00:00:00"/>
    <x v="2269"/>
    <x v="2269"/>
    <n v="402"/>
  </r>
  <r>
    <x v="1"/>
    <x v="0"/>
    <s v="Drinking Coco"/>
    <d v="2024-04-04T00:00:00"/>
    <x v="2270"/>
    <x v="2270"/>
    <n v="136"/>
  </r>
  <r>
    <x v="5"/>
    <x v="5"/>
    <s v="Fruit &amp; Nut Bars"/>
    <d v="2024-03-24T00:00:00"/>
    <x v="2271"/>
    <x v="2271"/>
    <n v="196"/>
  </r>
  <r>
    <x v="5"/>
    <x v="3"/>
    <s v="Spicy Special Slims"/>
    <d v="2024-06-28T00:00:00"/>
    <x v="2272"/>
    <x v="2272"/>
    <n v="192"/>
  </r>
  <r>
    <x v="5"/>
    <x v="2"/>
    <s v="Drinking Coco"/>
    <d v="2024-01-14T00:00:00"/>
    <x v="2273"/>
    <x v="2273"/>
    <n v="188"/>
  </r>
  <r>
    <x v="10"/>
    <x v="3"/>
    <s v="Fruit &amp; Nut Bars"/>
    <d v="2024-02-07T00:00:00"/>
    <x v="2274"/>
    <x v="2274"/>
    <n v="138"/>
  </r>
  <r>
    <x v="17"/>
    <x v="3"/>
    <s v="Drinking Coco"/>
    <d v="2024-01-11T00:00:00"/>
    <x v="2275"/>
    <x v="2275"/>
    <n v="202"/>
  </r>
  <r>
    <x v="0"/>
    <x v="1"/>
    <s v="99% Dark &amp; Pure"/>
    <d v="2024-02-25T00:00:00"/>
    <x v="2276"/>
    <x v="2276"/>
    <n v="247"/>
  </r>
  <r>
    <x v="23"/>
    <x v="2"/>
    <s v="Mint Chip Choco"/>
    <d v="2024-08-01T00:00:00"/>
    <x v="2277"/>
    <x v="2277"/>
    <n v="26"/>
  </r>
  <r>
    <x v="13"/>
    <x v="2"/>
    <s v="Mint Chip Choco"/>
    <d v="2024-05-05T00:00:00"/>
    <x v="2278"/>
    <x v="2278"/>
    <n v="262"/>
  </r>
  <r>
    <x v="22"/>
    <x v="3"/>
    <s v="Raspberry Choco"/>
    <d v="2024-05-18T00:00:00"/>
    <x v="2279"/>
    <x v="2279"/>
    <n v="451"/>
  </r>
  <r>
    <x v="23"/>
    <x v="3"/>
    <s v="Choco Coated Almonds"/>
    <d v="2024-01-04T00:00:00"/>
    <x v="2280"/>
    <x v="2280"/>
    <n v="369"/>
  </r>
  <r>
    <x v="13"/>
    <x v="3"/>
    <s v="50% Dark Bites"/>
    <d v="2024-05-09T00:00:00"/>
    <x v="2281"/>
    <x v="2281"/>
    <n v="212"/>
  </r>
  <r>
    <x v="7"/>
    <x v="1"/>
    <s v="Smooth Sliky Salty"/>
    <d v="2024-05-06T00:00:00"/>
    <x v="2282"/>
    <x v="2282"/>
    <n v="80"/>
  </r>
  <r>
    <x v="15"/>
    <x v="0"/>
    <s v="White Choc"/>
    <d v="2024-01-13T00:00:00"/>
    <x v="2283"/>
    <x v="2283"/>
    <n v="158"/>
  </r>
  <r>
    <x v="13"/>
    <x v="2"/>
    <s v="Almond Choco"/>
    <d v="2024-06-24T00:00:00"/>
    <x v="2284"/>
    <x v="2284"/>
    <n v="71"/>
  </r>
  <r>
    <x v="1"/>
    <x v="4"/>
    <s v="Caramel Stuffed Bars"/>
    <d v="2024-02-14T00:00:00"/>
    <x v="2285"/>
    <x v="2285"/>
    <n v="22"/>
  </r>
  <r>
    <x v="21"/>
    <x v="2"/>
    <s v="99% Dark &amp; Pure"/>
    <d v="2024-01-18T00:00:00"/>
    <x v="2286"/>
    <x v="2286"/>
    <n v="109"/>
  </r>
  <r>
    <x v="16"/>
    <x v="1"/>
    <s v="Milk Bars"/>
    <d v="2024-05-02T00:00:00"/>
    <x v="2287"/>
    <x v="2287"/>
    <n v="93"/>
  </r>
  <r>
    <x v="24"/>
    <x v="2"/>
    <s v="Smooth Sliky Salty"/>
    <d v="2024-05-16T00:00:00"/>
    <x v="2288"/>
    <x v="2288"/>
    <n v="52"/>
  </r>
  <r>
    <x v="9"/>
    <x v="4"/>
    <s v="Almond Choco"/>
    <d v="2024-01-28T00:00:00"/>
    <x v="2289"/>
    <x v="2289"/>
    <n v="383"/>
  </r>
  <r>
    <x v="16"/>
    <x v="5"/>
    <s v="99% Dark &amp; Pure"/>
    <d v="2024-06-24T00:00:00"/>
    <x v="2290"/>
    <x v="2290"/>
    <n v="422"/>
  </r>
  <r>
    <x v="4"/>
    <x v="0"/>
    <s v="After Nines"/>
    <d v="2024-07-18T00:00:00"/>
    <x v="2291"/>
    <x v="2291"/>
    <n v="109"/>
  </r>
  <r>
    <x v="5"/>
    <x v="0"/>
    <s v="Eclairs"/>
    <d v="2024-04-13T00:00:00"/>
    <x v="2292"/>
    <x v="2292"/>
    <n v="175"/>
  </r>
  <r>
    <x v="23"/>
    <x v="4"/>
    <s v="Caramel Stuffed Bars"/>
    <d v="2024-04-15T00:00:00"/>
    <x v="2293"/>
    <x v="2293"/>
    <n v="83"/>
  </r>
  <r>
    <x v="3"/>
    <x v="1"/>
    <s v="Peanut Butter Cubes"/>
    <d v="2024-01-04T00:00:00"/>
    <x v="2294"/>
    <x v="2294"/>
    <n v="182"/>
  </r>
  <r>
    <x v="15"/>
    <x v="2"/>
    <s v="Eclairs"/>
    <d v="2024-07-04T00:00:00"/>
    <x v="2295"/>
    <x v="2295"/>
    <n v="31"/>
  </r>
  <r>
    <x v="12"/>
    <x v="4"/>
    <s v="Smooth Sliky Salty"/>
    <d v="2024-03-24T00:00:00"/>
    <x v="2296"/>
    <x v="2296"/>
    <n v="342"/>
  </r>
  <r>
    <x v="21"/>
    <x v="2"/>
    <s v="Manuka Honey Choco"/>
    <d v="2024-03-17T00:00:00"/>
    <x v="2297"/>
    <x v="2297"/>
    <n v="170"/>
  </r>
  <r>
    <x v="4"/>
    <x v="2"/>
    <s v="Almond Choco"/>
    <d v="2024-02-15T00:00:00"/>
    <x v="2298"/>
    <x v="2298"/>
    <n v="241"/>
  </r>
  <r>
    <x v="3"/>
    <x v="4"/>
    <s v="Orange Choco"/>
    <d v="2024-06-29T00:00:00"/>
    <x v="2299"/>
    <x v="2299"/>
    <n v="158"/>
  </r>
  <r>
    <x v="2"/>
    <x v="4"/>
    <s v="Fruit &amp; Nut Bars"/>
    <d v="2024-05-24T00:00:00"/>
    <x v="2300"/>
    <x v="2300"/>
    <n v="121"/>
  </r>
  <r>
    <x v="9"/>
    <x v="0"/>
    <s v="Milk Bars"/>
    <d v="2024-01-10T00:00:00"/>
    <x v="2301"/>
    <x v="2301"/>
    <n v="287"/>
  </r>
  <r>
    <x v="14"/>
    <x v="4"/>
    <s v="Raspberry Choco"/>
    <d v="2024-03-15T00:00:00"/>
    <x v="2302"/>
    <x v="2302"/>
    <n v="144"/>
  </r>
  <r>
    <x v="11"/>
    <x v="5"/>
    <s v="Milk Bars"/>
    <d v="2024-02-08T00:00:00"/>
    <x v="2303"/>
    <x v="2303"/>
    <n v="317"/>
  </r>
  <r>
    <x v="6"/>
    <x v="1"/>
    <s v="Caramel Stuffed Bars"/>
    <d v="2024-02-25T00:00:00"/>
    <x v="2304"/>
    <x v="2304"/>
    <n v="106"/>
  </r>
  <r>
    <x v="5"/>
    <x v="4"/>
    <s v="Eclairs"/>
    <d v="2024-05-03T00:00:00"/>
    <x v="2305"/>
    <x v="2305"/>
    <n v="42"/>
  </r>
  <r>
    <x v="13"/>
    <x v="4"/>
    <s v="Fruit &amp; Nut Bars"/>
    <d v="2024-06-14T00:00:00"/>
    <x v="2306"/>
    <x v="2306"/>
    <n v="26"/>
  </r>
  <r>
    <x v="5"/>
    <x v="1"/>
    <s v="50% Dark Bites"/>
    <d v="2024-08-09T00:00:00"/>
    <x v="2307"/>
    <x v="2307"/>
    <n v="82"/>
  </r>
  <r>
    <x v="18"/>
    <x v="3"/>
    <s v="Manuka Honey Choco"/>
    <d v="2024-07-11T00:00:00"/>
    <x v="2308"/>
    <x v="2308"/>
    <n v="253"/>
  </r>
  <r>
    <x v="16"/>
    <x v="0"/>
    <s v="Manuka Honey Choco"/>
    <d v="2024-01-14T00:00:00"/>
    <x v="2309"/>
    <x v="2309"/>
    <n v="115"/>
  </r>
  <r>
    <x v="1"/>
    <x v="5"/>
    <s v="Manuka Honey Choco"/>
    <d v="2024-02-24T00:00:00"/>
    <x v="2310"/>
    <x v="2310"/>
    <n v="49"/>
  </r>
  <r>
    <x v="18"/>
    <x v="3"/>
    <s v="Almond Choco"/>
    <d v="2024-03-15T00:00:00"/>
    <x v="2311"/>
    <x v="2311"/>
    <n v="154"/>
  </r>
  <r>
    <x v="4"/>
    <x v="3"/>
    <s v="Baker's Choco Chips"/>
    <d v="2024-04-25T00:00:00"/>
    <x v="2312"/>
    <x v="2312"/>
    <n v="45"/>
  </r>
  <r>
    <x v="17"/>
    <x v="2"/>
    <s v="Organic Choco Syrup"/>
    <d v="2024-05-10T00:00:00"/>
    <x v="2313"/>
    <x v="2313"/>
    <n v="40"/>
  </r>
  <r>
    <x v="11"/>
    <x v="2"/>
    <s v="Spicy Special Slims"/>
    <d v="2024-06-23T00:00:00"/>
    <x v="2314"/>
    <x v="2314"/>
    <n v="293"/>
  </r>
  <r>
    <x v="12"/>
    <x v="5"/>
    <s v="Smooth Sliky Salty"/>
    <d v="2024-02-28T00:00:00"/>
    <x v="2315"/>
    <x v="2315"/>
    <n v="388"/>
  </r>
  <r>
    <x v="6"/>
    <x v="4"/>
    <s v="Organic Choco Syrup"/>
    <d v="2024-05-25T00:00:00"/>
    <x v="2316"/>
    <x v="2316"/>
    <n v="148"/>
  </r>
  <r>
    <x v="13"/>
    <x v="3"/>
    <s v="Baker's Choco Chips"/>
    <d v="2024-02-22T00:00:00"/>
    <x v="2317"/>
    <x v="2317"/>
    <n v="236"/>
  </r>
  <r>
    <x v="1"/>
    <x v="0"/>
    <s v="85% Dark Bars"/>
    <d v="2024-07-11T00:00:00"/>
    <x v="2318"/>
    <x v="2318"/>
    <n v="140"/>
  </r>
  <r>
    <x v="11"/>
    <x v="5"/>
    <s v="Spicy Special Slims"/>
    <d v="2024-01-03T00:00:00"/>
    <x v="2319"/>
    <x v="2319"/>
    <n v="365"/>
  </r>
  <r>
    <x v="7"/>
    <x v="3"/>
    <s v="70% Dark Bites"/>
    <d v="2024-08-24T00:00:00"/>
    <x v="2320"/>
    <x v="2320"/>
    <n v="280"/>
  </r>
  <r>
    <x v="12"/>
    <x v="4"/>
    <s v="50% Dark Bites"/>
    <d v="2024-07-28T00:00:00"/>
    <x v="2321"/>
    <x v="2321"/>
    <n v="360"/>
  </r>
  <r>
    <x v="6"/>
    <x v="4"/>
    <s v="Mint Chip Choco"/>
    <d v="2024-05-25T00:00:00"/>
    <x v="2322"/>
    <x v="2322"/>
    <n v="162"/>
  </r>
  <r>
    <x v="10"/>
    <x v="3"/>
    <s v="Eclairs"/>
    <d v="2024-05-06T00:00:00"/>
    <x v="2323"/>
    <x v="2323"/>
    <n v="191"/>
  </r>
  <r>
    <x v="8"/>
    <x v="1"/>
    <s v="Drinking Coco"/>
    <d v="2024-01-28T00:00:00"/>
    <x v="2324"/>
    <x v="2324"/>
    <n v="144"/>
  </r>
  <r>
    <x v="11"/>
    <x v="0"/>
    <s v="Orange Choco"/>
    <d v="2024-06-06T00:00:00"/>
    <x v="2325"/>
    <x v="2325"/>
    <n v="11"/>
  </r>
  <r>
    <x v="6"/>
    <x v="3"/>
    <s v="Baker's Choco Chips"/>
    <d v="2024-07-12T00:00:00"/>
    <x v="2326"/>
    <x v="2326"/>
    <n v="26"/>
  </r>
  <r>
    <x v="24"/>
    <x v="5"/>
    <s v="Spicy Special Slims"/>
    <d v="2024-08-05T00:00:00"/>
    <x v="2327"/>
    <x v="2327"/>
    <n v="201"/>
  </r>
  <r>
    <x v="6"/>
    <x v="4"/>
    <s v="Orange Choco"/>
    <d v="2024-01-28T00:00:00"/>
    <x v="2328"/>
    <x v="2328"/>
    <n v="152"/>
  </r>
  <r>
    <x v="16"/>
    <x v="1"/>
    <s v="Spicy Special Slims"/>
    <d v="2024-08-31T00:00:00"/>
    <x v="2329"/>
    <x v="2329"/>
    <n v="138"/>
  </r>
  <r>
    <x v="9"/>
    <x v="4"/>
    <s v="50% Dark Bites"/>
    <d v="2024-04-19T00:00:00"/>
    <x v="2330"/>
    <x v="2330"/>
    <n v="14"/>
  </r>
  <r>
    <x v="9"/>
    <x v="0"/>
    <s v="Mint Chip Choco"/>
    <d v="2024-06-29T00:00:00"/>
    <x v="2331"/>
    <x v="2331"/>
    <n v="2"/>
  </r>
  <r>
    <x v="12"/>
    <x v="1"/>
    <s v="Choco Coated Almonds"/>
    <d v="2024-02-24T00:00:00"/>
    <x v="2332"/>
    <x v="2332"/>
    <n v="254"/>
  </r>
  <r>
    <x v="22"/>
    <x v="0"/>
    <s v="Smooth Sliky Salty"/>
    <d v="2024-03-04T00:00:00"/>
    <x v="2333"/>
    <x v="2333"/>
    <n v="88"/>
  </r>
  <r>
    <x v="2"/>
    <x v="1"/>
    <s v="Eclairs"/>
    <d v="2024-06-21T00:00:00"/>
    <x v="2334"/>
    <x v="2334"/>
    <n v="74"/>
  </r>
  <r>
    <x v="7"/>
    <x v="2"/>
    <s v="Organic Choco Syrup"/>
    <d v="2024-01-26T00:00:00"/>
    <x v="2335"/>
    <x v="2335"/>
    <n v="106"/>
  </r>
  <r>
    <x v="4"/>
    <x v="3"/>
    <s v="White Choc"/>
    <d v="2024-06-10T00:00:00"/>
    <x v="2336"/>
    <x v="2336"/>
    <n v="42"/>
  </r>
  <r>
    <x v="19"/>
    <x v="0"/>
    <s v="Drinking Coco"/>
    <d v="2024-05-23T00:00:00"/>
    <x v="2337"/>
    <x v="2337"/>
    <n v="66"/>
  </r>
  <r>
    <x v="20"/>
    <x v="1"/>
    <s v="Milk Bars"/>
    <d v="2024-04-15T00:00:00"/>
    <x v="2338"/>
    <x v="2338"/>
    <n v="111"/>
  </r>
  <r>
    <x v="10"/>
    <x v="3"/>
    <s v="Caramel Stuffed Bars"/>
    <d v="2024-01-31T00:00:00"/>
    <x v="2339"/>
    <x v="2339"/>
    <n v="232"/>
  </r>
  <r>
    <x v="19"/>
    <x v="3"/>
    <s v="Organic Choco Syrup"/>
    <d v="2024-03-04T00:00:00"/>
    <x v="2340"/>
    <x v="2340"/>
    <n v="43"/>
  </r>
  <r>
    <x v="8"/>
    <x v="3"/>
    <s v="After Nines"/>
    <d v="2024-04-19T00:00:00"/>
    <x v="2341"/>
    <x v="2341"/>
    <n v="91"/>
  </r>
  <r>
    <x v="12"/>
    <x v="0"/>
    <s v="Almond Choco"/>
    <d v="2024-05-16T00:00:00"/>
    <x v="2342"/>
    <x v="2342"/>
    <n v="104"/>
  </r>
  <r>
    <x v="4"/>
    <x v="2"/>
    <s v="Raspberry Choco"/>
    <d v="2024-02-17T00:00:00"/>
    <x v="2343"/>
    <x v="2343"/>
    <n v="114"/>
  </r>
  <r>
    <x v="17"/>
    <x v="4"/>
    <s v="Raspberry Choco"/>
    <d v="2024-01-18T00:00:00"/>
    <x v="2344"/>
    <x v="2344"/>
    <n v="273"/>
  </r>
  <r>
    <x v="13"/>
    <x v="5"/>
    <s v="Orange Choco"/>
    <d v="2024-02-09T00:00:00"/>
    <x v="2345"/>
    <x v="2345"/>
    <n v="84"/>
  </r>
  <r>
    <x v="9"/>
    <x v="5"/>
    <s v="Orange Choco"/>
    <d v="2024-03-23T00:00:00"/>
    <x v="2346"/>
    <x v="2346"/>
    <n v="175"/>
  </r>
  <r>
    <x v="22"/>
    <x v="3"/>
    <s v="Caramel Stuffed Bars"/>
    <d v="2024-02-01T00:00:00"/>
    <x v="2347"/>
    <x v="2347"/>
    <n v="150"/>
  </r>
  <r>
    <x v="9"/>
    <x v="1"/>
    <s v="Drinking Coco"/>
    <d v="2024-03-07T00:00:00"/>
    <x v="2348"/>
    <x v="2348"/>
    <n v="143"/>
  </r>
  <r>
    <x v="24"/>
    <x v="0"/>
    <s v="White Choc"/>
    <d v="2024-01-03T00:00:00"/>
    <x v="2349"/>
    <x v="2349"/>
    <n v="220"/>
  </r>
  <r>
    <x v="24"/>
    <x v="4"/>
    <s v="White Choc"/>
    <d v="2024-02-11T00:00:00"/>
    <x v="2350"/>
    <x v="2350"/>
    <n v="325"/>
  </r>
  <r>
    <x v="17"/>
    <x v="3"/>
    <s v="Orange Choco"/>
    <d v="2024-03-16T00:00:00"/>
    <x v="2351"/>
    <x v="2351"/>
    <n v="144"/>
  </r>
  <r>
    <x v="23"/>
    <x v="1"/>
    <s v="White Choc"/>
    <d v="2024-08-15T00:00:00"/>
    <x v="2352"/>
    <x v="2352"/>
    <n v="317"/>
  </r>
  <r>
    <x v="2"/>
    <x v="1"/>
    <s v="Manuka Honey Choco"/>
    <d v="2024-05-12T00:00:00"/>
    <x v="2353"/>
    <x v="2353"/>
    <n v="79"/>
  </r>
  <r>
    <x v="1"/>
    <x v="1"/>
    <s v="Spicy Special Slims"/>
    <d v="2024-04-11T00:00:00"/>
    <x v="2354"/>
    <x v="2354"/>
    <n v="4"/>
  </r>
  <r>
    <x v="3"/>
    <x v="3"/>
    <s v="Mint Chip Choco"/>
    <d v="2024-06-30T00:00:00"/>
    <x v="2355"/>
    <x v="2355"/>
    <n v="311"/>
  </r>
  <r>
    <x v="23"/>
    <x v="3"/>
    <s v="White Choc"/>
    <d v="2024-06-15T00:00:00"/>
    <x v="2356"/>
    <x v="2356"/>
    <n v="63"/>
  </r>
  <r>
    <x v="7"/>
    <x v="5"/>
    <s v="Caramel Stuffed Bars"/>
    <d v="2024-08-01T00:00:00"/>
    <x v="2357"/>
    <x v="2357"/>
    <n v="109"/>
  </r>
  <r>
    <x v="16"/>
    <x v="4"/>
    <s v="Milk Bars"/>
    <d v="2024-06-15T00:00:00"/>
    <x v="2358"/>
    <x v="2358"/>
    <n v="62"/>
  </r>
  <r>
    <x v="6"/>
    <x v="1"/>
    <s v="After Nines"/>
    <d v="2024-06-16T00:00:00"/>
    <x v="2359"/>
    <x v="2359"/>
    <n v="45"/>
  </r>
  <r>
    <x v="4"/>
    <x v="3"/>
    <s v="Raspberry Choco"/>
    <d v="2024-05-13T00:00:00"/>
    <x v="2360"/>
    <x v="2360"/>
    <n v="270"/>
  </r>
  <r>
    <x v="17"/>
    <x v="4"/>
    <s v="Drinking Coco"/>
    <d v="2024-05-10T00:00:00"/>
    <x v="2361"/>
    <x v="2361"/>
    <n v="149"/>
  </r>
  <r>
    <x v="4"/>
    <x v="1"/>
    <s v="Eclairs"/>
    <d v="2024-08-25T00:00:00"/>
    <x v="2362"/>
    <x v="2362"/>
    <n v="344"/>
  </r>
  <r>
    <x v="24"/>
    <x v="3"/>
    <s v="Organic Choco Syrup"/>
    <d v="2024-07-15T00:00:00"/>
    <x v="2363"/>
    <x v="2363"/>
    <n v="83"/>
  </r>
  <r>
    <x v="2"/>
    <x v="0"/>
    <s v="Baker's Choco Chips"/>
    <d v="2024-05-16T00:00:00"/>
    <x v="2364"/>
    <x v="2364"/>
    <n v="449"/>
  </r>
  <r>
    <x v="3"/>
    <x v="2"/>
    <s v="50% Dark Bites"/>
    <d v="2024-06-14T00:00:00"/>
    <x v="2365"/>
    <x v="2365"/>
    <n v="173"/>
  </r>
  <r>
    <x v="12"/>
    <x v="2"/>
    <s v="Smooth Sliky Salty"/>
    <d v="2024-01-25T00:00:00"/>
    <x v="2366"/>
    <x v="2366"/>
    <n v="491"/>
  </r>
  <r>
    <x v="24"/>
    <x v="4"/>
    <s v="Organic Choco Syrup"/>
    <d v="2024-07-28T00:00:00"/>
    <x v="2367"/>
    <x v="2367"/>
    <n v="14"/>
  </r>
  <r>
    <x v="6"/>
    <x v="5"/>
    <s v="Mint Chip Choco"/>
    <d v="2024-01-28T00:00:00"/>
    <x v="2368"/>
    <x v="2368"/>
    <n v="194"/>
  </r>
  <r>
    <x v="16"/>
    <x v="0"/>
    <s v="Orange Choco"/>
    <d v="2024-06-29T00:00:00"/>
    <x v="2369"/>
    <x v="2369"/>
    <n v="196"/>
  </r>
  <r>
    <x v="10"/>
    <x v="2"/>
    <s v="70% Dark Bites"/>
    <d v="2024-06-24T00:00:00"/>
    <x v="2370"/>
    <x v="2370"/>
    <n v="332"/>
  </r>
  <r>
    <x v="5"/>
    <x v="5"/>
    <s v="Mint Chip Choco"/>
    <d v="2024-07-01T00:00:00"/>
    <x v="2371"/>
    <x v="2371"/>
    <n v="442"/>
  </r>
  <r>
    <x v="13"/>
    <x v="4"/>
    <s v="Peanut Butter Cubes"/>
    <d v="2024-02-25T00:00:00"/>
    <x v="2372"/>
    <x v="2372"/>
    <n v="144"/>
  </r>
  <r>
    <x v="14"/>
    <x v="5"/>
    <s v="Smooth Sliky Salty"/>
    <d v="2024-08-01T00:00:00"/>
    <x v="2373"/>
    <x v="2373"/>
    <n v="12"/>
  </r>
  <r>
    <x v="4"/>
    <x v="2"/>
    <s v="Milk Bars"/>
    <d v="2024-06-21T00:00:00"/>
    <x v="2374"/>
    <x v="2374"/>
    <n v="278"/>
  </r>
  <r>
    <x v="21"/>
    <x v="3"/>
    <s v="Spicy Special Slims"/>
    <d v="2024-01-25T00:00:00"/>
    <x v="2375"/>
    <x v="2375"/>
    <n v="26"/>
  </r>
  <r>
    <x v="2"/>
    <x v="0"/>
    <s v="Milk Bars"/>
    <d v="2024-05-17T00:00:00"/>
    <x v="2376"/>
    <x v="2376"/>
    <n v="248"/>
  </r>
  <r>
    <x v="19"/>
    <x v="2"/>
    <s v="85% Dark Bars"/>
    <d v="2024-08-23T00:00:00"/>
    <x v="2377"/>
    <x v="2377"/>
    <n v="254"/>
  </r>
  <r>
    <x v="21"/>
    <x v="2"/>
    <s v="Smooth Sliky Salty"/>
    <d v="2024-03-03T00:00:00"/>
    <x v="2378"/>
    <x v="2378"/>
    <n v="129"/>
  </r>
  <r>
    <x v="13"/>
    <x v="1"/>
    <s v="Caramel Stuffed Bars"/>
    <d v="2024-05-30T00:00:00"/>
    <x v="2379"/>
    <x v="2379"/>
    <n v="552"/>
  </r>
  <r>
    <x v="10"/>
    <x v="4"/>
    <s v="Drinking Coco"/>
    <d v="2024-06-29T00:00:00"/>
    <x v="2380"/>
    <x v="2380"/>
    <n v="243"/>
  </r>
  <r>
    <x v="19"/>
    <x v="5"/>
    <s v="Organic Choco Syrup"/>
    <d v="2024-01-04T00:00:00"/>
    <x v="2381"/>
    <x v="2381"/>
    <n v="217"/>
  </r>
  <r>
    <x v="0"/>
    <x v="2"/>
    <s v="Drinking Coco"/>
    <d v="2024-01-14T00:00:00"/>
    <x v="2382"/>
    <x v="2382"/>
    <n v="65"/>
  </r>
  <r>
    <x v="10"/>
    <x v="4"/>
    <s v="Mint Chip Choco"/>
    <d v="2024-02-15T00:00:00"/>
    <x v="2383"/>
    <x v="2383"/>
    <n v="58"/>
  </r>
  <r>
    <x v="14"/>
    <x v="3"/>
    <s v="Spicy Special Slims"/>
    <d v="2024-01-10T00:00:00"/>
    <x v="2384"/>
    <x v="2384"/>
    <n v="494"/>
  </r>
  <r>
    <x v="22"/>
    <x v="4"/>
    <s v="White Choc"/>
    <d v="2024-05-04T00:00:00"/>
    <x v="2385"/>
    <x v="2385"/>
    <n v="218"/>
  </r>
  <r>
    <x v="19"/>
    <x v="4"/>
    <s v="Spicy Special Slims"/>
    <d v="2024-05-23T00:00:00"/>
    <x v="2386"/>
    <x v="2386"/>
    <n v="5"/>
  </r>
  <r>
    <x v="8"/>
    <x v="3"/>
    <s v="Fruit &amp; Nut Bars"/>
    <d v="2024-04-26T00:00:00"/>
    <x v="2387"/>
    <x v="2387"/>
    <n v="153"/>
  </r>
  <r>
    <x v="4"/>
    <x v="5"/>
    <s v="Organic Choco Syrup"/>
    <d v="2024-07-05T00:00:00"/>
    <x v="2388"/>
    <x v="2388"/>
    <n v="70"/>
  </r>
  <r>
    <x v="22"/>
    <x v="0"/>
    <s v="Organic Choco Syrup"/>
    <d v="2024-07-21T00:00:00"/>
    <x v="2389"/>
    <x v="2389"/>
    <n v="174"/>
  </r>
  <r>
    <x v="23"/>
    <x v="4"/>
    <s v="Mint Chip Choco"/>
    <d v="2024-02-21T00:00:00"/>
    <x v="2390"/>
    <x v="2390"/>
    <n v="272"/>
  </r>
  <r>
    <x v="20"/>
    <x v="4"/>
    <s v="Orange Choco"/>
    <d v="2024-02-03T00:00:00"/>
    <x v="2391"/>
    <x v="2391"/>
    <n v="143"/>
  </r>
  <r>
    <x v="2"/>
    <x v="2"/>
    <s v="Caramel Stuffed Bars"/>
    <d v="2024-07-08T00:00:00"/>
    <x v="2392"/>
    <x v="2392"/>
    <n v="154"/>
  </r>
  <r>
    <x v="9"/>
    <x v="1"/>
    <s v="50% Dark Bites"/>
    <d v="2024-05-31T00:00:00"/>
    <x v="2393"/>
    <x v="2393"/>
    <n v="140"/>
  </r>
  <r>
    <x v="1"/>
    <x v="3"/>
    <s v="Mint Chip Choco"/>
    <d v="2024-06-27T00:00:00"/>
    <x v="2394"/>
    <x v="2394"/>
    <n v="104"/>
  </r>
  <r>
    <x v="1"/>
    <x v="1"/>
    <s v="50% Dark Bites"/>
    <d v="2024-05-13T00:00:00"/>
    <x v="2395"/>
    <x v="2395"/>
    <n v="132"/>
  </r>
  <r>
    <x v="1"/>
    <x v="4"/>
    <s v="Manuka Honey Choco"/>
    <d v="2024-05-31T00:00:00"/>
    <x v="2396"/>
    <x v="2396"/>
    <n v="102"/>
  </r>
  <r>
    <x v="18"/>
    <x v="4"/>
    <s v="Orange Choco"/>
    <d v="2024-02-28T00:00:00"/>
    <x v="2397"/>
    <x v="2397"/>
    <n v="38"/>
  </r>
  <r>
    <x v="8"/>
    <x v="3"/>
    <s v="Eclairs"/>
    <d v="2024-03-28T00:00:00"/>
    <x v="2398"/>
    <x v="2398"/>
    <n v="31"/>
  </r>
  <r>
    <x v="2"/>
    <x v="4"/>
    <s v="After Nines"/>
    <d v="2024-01-14T00:00:00"/>
    <x v="2399"/>
    <x v="2399"/>
    <n v="235"/>
  </r>
  <r>
    <x v="8"/>
    <x v="3"/>
    <s v="Mint Chip Choco"/>
    <d v="2024-02-21T00:00:00"/>
    <x v="2400"/>
    <x v="2400"/>
    <n v="159"/>
  </r>
  <r>
    <x v="17"/>
    <x v="5"/>
    <s v="85% Dark Bars"/>
    <d v="2024-08-01T00:00:00"/>
    <x v="2401"/>
    <x v="2401"/>
    <n v="87"/>
  </r>
  <r>
    <x v="12"/>
    <x v="3"/>
    <s v="Smooth Sliky Salty"/>
    <d v="2024-05-19T00:00:00"/>
    <x v="2402"/>
    <x v="2402"/>
    <n v="63"/>
  </r>
  <r>
    <x v="15"/>
    <x v="4"/>
    <s v="White Choc"/>
    <d v="2024-07-13T00:00:00"/>
    <x v="2403"/>
    <x v="2403"/>
    <n v="61"/>
  </r>
  <r>
    <x v="19"/>
    <x v="2"/>
    <s v="Peanut Butter Cubes"/>
    <d v="2024-04-20T00:00:00"/>
    <x v="2404"/>
    <x v="2404"/>
    <n v="144"/>
  </r>
  <r>
    <x v="17"/>
    <x v="1"/>
    <s v="85% Dark Bars"/>
    <d v="2024-06-30T00:00:00"/>
    <x v="2405"/>
    <x v="2405"/>
    <n v="23"/>
  </r>
  <r>
    <x v="14"/>
    <x v="0"/>
    <s v="50% Dark Bites"/>
    <d v="2024-03-08T00:00:00"/>
    <x v="2406"/>
    <x v="2406"/>
    <n v="156"/>
  </r>
  <r>
    <x v="5"/>
    <x v="4"/>
    <s v="Fruit &amp; Nut Bars"/>
    <d v="2024-03-09T00:00:00"/>
    <x v="2407"/>
    <x v="2407"/>
    <n v="94"/>
  </r>
  <r>
    <x v="4"/>
    <x v="5"/>
    <s v="Raspberry Choco"/>
    <d v="2024-06-16T00:00:00"/>
    <x v="2408"/>
    <x v="2408"/>
    <n v="221"/>
  </r>
  <r>
    <x v="2"/>
    <x v="0"/>
    <s v="Drinking Coco"/>
    <d v="2024-06-30T00:00:00"/>
    <x v="2409"/>
    <x v="2409"/>
    <n v="46"/>
  </r>
  <r>
    <x v="20"/>
    <x v="1"/>
    <s v="Mint Chip Choco"/>
    <d v="2024-07-28T00:00:00"/>
    <x v="2410"/>
    <x v="2410"/>
    <n v="116"/>
  </r>
  <r>
    <x v="10"/>
    <x v="5"/>
    <s v="Peanut Butter Cubes"/>
    <d v="2024-08-12T00:00:00"/>
    <x v="2411"/>
    <x v="2411"/>
    <n v="154"/>
  </r>
  <r>
    <x v="8"/>
    <x v="0"/>
    <s v="Mint Chip Choco"/>
    <d v="2024-07-07T00:00:00"/>
    <x v="2412"/>
    <x v="2412"/>
    <n v="324"/>
  </r>
  <r>
    <x v="8"/>
    <x v="4"/>
    <s v="85% Dark Bars"/>
    <d v="2024-08-25T00:00:00"/>
    <x v="2413"/>
    <x v="2413"/>
    <n v="49"/>
  </r>
  <r>
    <x v="15"/>
    <x v="5"/>
    <s v="Eclairs"/>
    <d v="2024-01-17T00:00:00"/>
    <x v="2414"/>
    <x v="2414"/>
    <n v="241"/>
  </r>
  <r>
    <x v="3"/>
    <x v="2"/>
    <s v="70% Dark Bites"/>
    <d v="2024-03-04T00:00:00"/>
    <x v="2415"/>
    <x v="2415"/>
    <n v="366"/>
  </r>
  <r>
    <x v="11"/>
    <x v="3"/>
    <s v="Fruit &amp; Nut Bars"/>
    <d v="2024-08-25T00:00:00"/>
    <x v="2416"/>
    <x v="2416"/>
    <n v="4"/>
  </r>
  <r>
    <x v="24"/>
    <x v="0"/>
    <s v="Peanut Butter Cubes"/>
    <d v="2024-04-15T00:00:00"/>
    <x v="2417"/>
    <x v="2417"/>
    <n v="266"/>
  </r>
  <r>
    <x v="16"/>
    <x v="4"/>
    <s v="Organic Choco Syrup"/>
    <d v="2024-03-11T00:00:00"/>
    <x v="1802"/>
    <x v="1802"/>
    <n v="24"/>
  </r>
  <r>
    <x v="21"/>
    <x v="4"/>
    <s v="Raspberry Choco"/>
    <d v="2024-05-20T00:00:00"/>
    <x v="2418"/>
    <x v="2418"/>
    <n v="17"/>
  </r>
  <r>
    <x v="6"/>
    <x v="3"/>
    <s v="Manuka Honey Choco"/>
    <d v="2024-06-14T00:00:00"/>
    <x v="2419"/>
    <x v="2419"/>
    <n v="44"/>
  </r>
  <r>
    <x v="0"/>
    <x v="3"/>
    <s v="After Nines"/>
    <d v="2024-04-14T00:00:00"/>
    <x v="2420"/>
    <x v="2420"/>
    <n v="70"/>
  </r>
  <r>
    <x v="0"/>
    <x v="4"/>
    <s v="Smooth Sliky Salty"/>
    <d v="2024-07-07T00:00:00"/>
    <x v="2421"/>
    <x v="2421"/>
    <n v="168"/>
  </r>
  <r>
    <x v="22"/>
    <x v="1"/>
    <s v="Mint Chip Choco"/>
    <d v="2024-08-24T00:00:00"/>
    <x v="2422"/>
    <x v="2422"/>
    <n v="71"/>
  </r>
  <r>
    <x v="0"/>
    <x v="1"/>
    <s v="Eclairs"/>
    <d v="2024-02-24T00:00:00"/>
    <x v="2423"/>
    <x v="2423"/>
    <n v="140"/>
  </r>
  <r>
    <x v="10"/>
    <x v="5"/>
    <s v="Raspberry Choco"/>
    <d v="2024-05-09T00:00:00"/>
    <x v="2424"/>
    <x v="2424"/>
    <n v="217"/>
  </r>
  <r>
    <x v="16"/>
    <x v="2"/>
    <s v="70% Dark Bites"/>
    <d v="2024-02-08T00:00:00"/>
    <x v="2425"/>
    <x v="2425"/>
    <n v="240"/>
  </r>
  <r>
    <x v="13"/>
    <x v="0"/>
    <s v="70% Dark Bites"/>
    <d v="2024-03-24T00:00:00"/>
    <x v="2426"/>
    <x v="2426"/>
    <n v="293"/>
  </r>
  <r>
    <x v="7"/>
    <x v="4"/>
    <s v="Drinking Coco"/>
    <d v="2024-06-20T00:00:00"/>
    <x v="2427"/>
    <x v="2427"/>
    <n v="78"/>
  </r>
  <r>
    <x v="9"/>
    <x v="5"/>
    <s v="Manuka Honey Choco"/>
    <d v="2024-03-07T00:00:00"/>
    <x v="2428"/>
    <x v="2428"/>
    <n v="117"/>
  </r>
  <r>
    <x v="16"/>
    <x v="2"/>
    <s v="Fruit &amp; Nut Bars"/>
    <d v="2024-06-20T00:00:00"/>
    <x v="2429"/>
    <x v="2429"/>
    <n v="82"/>
  </r>
  <r>
    <x v="4"/>
    <x v="3"/>
    <s v="Organic Choco Syrup"/>
    <d v="2024-02-17T00:00:00"/>
    <x v="2430"/>
    <x v="2430"/>
    <n v="267"/>
  </r>
  <r>
    <x v="22"/>
    <x v="0"/>
    <s v="99% Dark &amp; Pure"/>
    <d v="2024-01-26T00:00:00"/>
    <x v="2431"/>
    <x v="2431"/>
    <n v="49"/>
  </r>
  <r>
    <x v="22"/>
    <x v="2"/>
    <s v="Mint Chip Choco"/>
    <d v="2024-05-02T00:00:00"/>
    <x v="2432"/>
    <x v="2432"/>
    <n v="166"/>
  </r>
  <r>
    <x v="14"/>
    <x v="5"/>
    <s v="99% Dark &amp; Pure"/>
    <d v="2024-07-07T00:00:00"/>
    <x v="2433"/>
    <x v="2433"/>
    <n v="7"/>
  </r>
  <r>
    <x v="7"/>
    <x v="2"/>
    <s v="Baker's Choco Chips"/>
    <d v="2024-08-22T00:00:00"/>
    <x v="2434"/>
    <x v="2434"/>
    <n v="49"/>
  </r>
  <r>
    <x v="10"/>
    <x v="2"/>
    <s v="After Nines"/>
    <d v="2024-08-11T00:00:00"/>
    <x v="2435"/>
    <x v="2435"/>
    <n v="67"/>
  </r>
  <r>
    <x v="11"/>
    <x v="0"/>
    <s v="99% Dark &amp; Pure"/>
    <d v="2024-01-13T00:00:00"/>
    <x v="2436"/>
    <x v="2436"/>
    <n v="208"/>
  </r>
  <r>
    <x v="5"/>
    <x v="2"/>
    <s v="50% Dark Bites"/>
    <d v="2024-03-02T00:00:00"/>
    <x v="2437"/>
    <x v="2437"/>
    <n v="119"/>
  </r>
  <r>
    <x v="11"/>
    <x v="2"/>
    <s v="Choco Coated Almonds"/>
    <d v="2024-07-27T00:00:00"/>
    <x v="2438"/>
    <x v="2438"/>
    <n v="41"/>
  </r>
  <r>
    <x v="20"/>
    <x v="3"/>
    <s v="Drinking Coco"/>
    <d v="2024-03-10T00:00:00"/>
    <x v="2439"/>
    <x v="2439"/>
    <n v="116"/>
  </r>
  <r>
    <x v="12"/>
    <x v="4"/>
    <s v="85% Dark Bars"/>
    <d v="2024-08-23T00:00:00"/>
    <x v="2440"/>
    <x v="2440"/>
    <n v="344"/>
  </r>
  <r>
    <x v="13"/>
    <x v="4"/>
    <s v="Eclairs"/>
    <d v="2024-04-25T00:00:00"/>
    <x v="2441"/>
    <x v="2441"/>
    <n v="169"/>
  </r>
  <r>
    <x v="17"/>
    <x v="0"/>
    <s v="Milk Bars"/>
    <d v="2024-03-07T00:00:00"/>
    <x v="2442"/>
    <x v="2442"/>
    <n v="446"/>
  </r>
  <r>
    <x v="18"/>
    <x v="0"/>
    <s v="Organic Choco Syrup"/>
    <d v="2024-07-12T00:00:00"/>
    <x v="2443"/>
    <x v="2443"/>
    <n v="52"/>
  </r>
  <r>
    <x v="22"/>
    <x v="4"/>
    <s v="Orange Choco"/>
    <d v="2024-05-16T00:00:00"/>
    <x v="2444"/>
    <x v="2444"/>
    <n v="144"/>
  </r>
  <r>
    <x v="5"/>
    <x v="1"/>
    <s v="Smooth Sliky Salty"/>
    <d v="2024-03-02T00:00:00"/>
    <x v="2445"/>
    <x v="2445"/>
    <n v="69"/>
  </r>
  <r>
    <x v="11"/>
    <x v="3"/>
    <s v="85% Dark Bars"/>
    <d v="2024-05-30T00:00:00"/>
    <x v="2446"/>
    <x v="2446"/>
    <n v="164"/>
  </r>
  <r>
    <x v="11"/>
    <x v="0"/>
    <s v="Manuka Honey Choco"/>
    <d v="2024-06-10T00:00:00"/>
    <x v="2447"/>
    <x v="2447"/>
    <n v="185"/>
  </r>
  <r>
    <x v="6"/>
    <x v="4"/>
    <s v="99% Dark &amp; Pure"/>
    <d v="2024-07-25T00:00:00"/>
    <x v="2448"/>
    <x v="2448"/>
    <n v="358"/>
  </r>
  <r>
    <x v="12"/>
    <x v="3"/>
    <s v="Mint Chip Choco"/>
    <d v="2024-06-09T00:00:00"/>
    <x v="2449"/>
    <x v="2449"/>
    <n v="98"/>
  </r>
  <r>
    <x v="17"/>
    <x v="4"/>
    <s v="Milk Bars"/>
    <d v="2024-05-12T00:00:00"/>
    <x v="2450"/>
    <x v="2450"/>
    <n v="62"/>
  </r>
  <r>
    <x v="5"/>
    <x v="4"/>
    <s v="Drinking Coco"/>
    <d v="2024-05-09T00:00:00"/>
    <x v="2451"/>
    <x v="2451"/>
    <n v="5"/>
  </r>
  <r>
    <x v="6"/>
    <x v="5"/>
    <s v="Manuka Honey Choco"/>
    <d v="2024-08-09T00:00:00"/>
    <x v="2452"/>
    <x v="2452"/>
    <n v="178"/>
  </r>
  <r>
    <x v="1"/>
    <x v="1"/>
    <s v="Choco Coated Almonds"/>
    <d v="2024-04-13T00:00:00"/>
    <x v="2453"/>
    <x v="2453"/>
    <n v="115"/>
  </r>
  <r>
    <x v="19"/>
    <x v="4"/>
    <s v="Caramel Stuffed Bars"/>
    <d v="2024-05-02T00:00:00"/>
    <x v="2454"/>
    <x v="2454"/>
    <n v="47"/>
  </r>
  <r>
    <x v="23"/>
    <x v="4"/>
    <s v="99% Dark &amp; Pure"/>
    <d v="2024-08-09T00:00:00"/>
    <x v="2455"/>
    <x v="2455"/>
    <n v="307"/>
  </r>
  <r>
    <x v="21"/>
    <x v="2"/>
    <s v="Raspberry Choco"/>
    <d v="2024-08-23T00:00:00"/>
    <x v="2456"/>
    <x v="2456"/>
    <n v="188"/>
  </r>
  <r>
    <x v="5"/>
    <x v="1"/>
    <s v="Spicy Special Slims"/>
    <d v="2024-05-13T00:00:00"/>
    <x v="2457"/>
    <x v="2457"/>
    <n v="174"/>
  </r>
  <r>
    <x v="10"/>
    <x v="4"/>
    <s v="Manuka Honey Choco"/>
    <d v="2024-02-01T00:00:00"/>
    <x v="2458"/>
    <x v="2458"/>
    <n v="68"/>
  </r>
  <r>
    <x v="21"/>
    <x v="4"/>
    <s v="50% Dark Bites"/>
    <d v="2024-06-23T00:00:00"/>
    <x v="2459"/>
    <x v="2459"/>
    <n v="303"/>
  </r>
  <r>
    <x v="22"/>
    <x v="0"/>
    <s v="Choco Coated Almonds"/>
    <d v="2024-05-24T00:00:00"/>
    <x v="2460"/>
    <x v="2460"/>
    <n v="147"/>
  </r>
  <r>
    <x v="3"/>
    <x v="5"/>
    <s v="Mint Chip Choco"/>
    <d v="2024-04-01T00:00:00"/>
    <x v="2461"/>
    <x v="2461"/>
    <n v="224"/>
  </r>
  <r>
    <x v="21"/>
    <x v="5"/>
    <s v="70% Dark Bites"/>
    <d v="2024-07-27T00:00:00"/>
    <x v="2462"/>
    <x v="2462"/>
    <n v="166"/>
  </r>
  <r>
    <x v="24"/>
    <x v="1"/>
    <s v="Peanut Butter Cubes"/>
    <d v="2024-01-27T00:00:00"/>
    <x v="2463"/>
    <x v="2463"/>
    <n v="224"/>
  </r>
  <r>
    <x v="3"/>
    <x v="1"/>
    <s v="Choco Coated Almonds"/>
    <d v="2024-08-12T00:00:00"/>
    <x v="2464"/>
    <x v="2464"/>
    <n v="136"/>
  </r>
  <r>
    <x v="2"/>
    <x v="5"/>
    <s v="Almond Choco"/>
    <d v="2024-02-01T00:00:00"/>
    <x v="2465"/>
    <x v="2465"/>
    <n v="47"/>
  </r>
  <r>
    <x v="7"/>
    <x v="1"/>
    <s v="After Nines"/>
    <d v="2024-03-02T00:00:00"/>
    <x v="2466"/>
    <x v="2466"/>
    <n v="201"/>
  </r>
  <r>
    <x v="20"/>
    <x v="2"/>
    <s v="99% Dark &amp; Pure"/>
    <d v="2024-06-30T00:00:00"/>
    <x v="2467"/>
    <x v="2467"/>
    <n v="36"/>
  </r>
  <r>
    <x v="23"/>
    <x v="2"/>
    <s v="Spicy Special Slims"/>
    <d v="2024-01-17T00:00:00"/>
    <x v="2468"/>
    <x v="2468"/>
    <n v="97"/>
  </r>
  <r>
    <x v="6"/>
    <x v="4"/>
    <s v="Milk Bars"/>
    <d v="2024-07-07T00:00:00"/>
    <x v="2469"/>
    <x v="2469"/>
    <n v="133"/>
  </r>
  <r>
    <x v="9"/>
    <x v="3"/>
    <s v="Mint Chip Choco"/>
    <d v="2024-01-31T00:00:00"/>
    <x v="2470"/>
    <x v="2470"/>
    <n v="104"/>
  </r>
  <r>
    <x v="12"/>
    <x v="0"/>
    <s v="99% Dark &amp; Pure"/>
    <d v="2024-08-10T00:00:00"/>
    <x v="2471"/>
    <x v="2471"/>
    <n v="122"/>
  </r>
  <r>
    <x v="12"/>
    <x v="4"/>
    <s v="Peanut Butter Cubes"/>
    <d v="2024-08-18T00:00:00"/>
    <x v="2472"/>
    <x v="2472"/>
    <n v="351"/>
  </r>
  <r>
    <x v="6"/>
    <x v="3"/>
    <s v="White Choc"/>
    <d v="2024-06-15T00:00:00"/>
    <x v="2473"/>
    <x v="2473"/>
    <n v="340"/>
  </r>
  <r>
    <x v="11"/>
    <x v="4"/>
    <s v="Baker's Choco Chips"/>
    <d v="2024-01-26T00:00:00"/>
    <x v="2474"/>
    <x v="2474"/>
    <n v="9"/>
  </r>
  <r>
    <x v="20"/>
    <x v="4"/>
    <s v="Spicy Special Slims"/>
    <d v="2024-04-29T00:00:00"/>
    <x v="2475"/>
    <x v="2475"/>
    <n v="73"/>
  </r>
  <r>
    <x v="9"/>
    <x v="5"/>
    <s v="White Choc"/>
    <d v="2024-03-03T00:00:00"/>
    <x v="2476"/>
    <x v="2476"/>
    <n v="71"/>
  </r>
  <r>
    <x v="16"/>
    <x v="2"/>
    <s v="Almond Choco"/>
    <d v="2024-02-22T00:00:00"/>
    <x v="2477"/>
    <x v="2477"/>
    <n v="422"/>
  </r>
  <r>
    <x v="4"/>
    <x v="4"/>
    <s v="Smooth Sliky Salty"/>
    <d v="2024-03-04T00:00:00"/>
    <x v="2478"/>
    <x v="2478"/>
    <n v="169"/>
  </r>
  <r>
    <x v="17"/>
    <x v="1"/>
    <s v="Smooth Sliky Salty"/>
    <d v="2024-07-07T00:00:00"/>
    <x v="2479"/>
    <x v="2479"/>
    <n v="9"/>
  </r>
  <r>
    <x v="21"/>
    <x v="3"/>
    <s v="Caramel Stuffed Bars"/>
    <d v="2024-06-17T00:00:00"/>
    <x v="2480"/>
    <x v="2480"/>
    <n v="380"/>
  </r>
  <r>
    <x v="3"/>
    <x v="5"/>
    <s v="Caramel Stuffed Bars"/>
    <d v="2024-08-02T00:00:00"/>
    <x v="2481"/>
    <x v="2481"/>
    <n v="118"/>
  </r>
  <r>
    <x v="4"/>
    <x v="4"/>
    <s v="Baker's Choco Chips"/>
    <d v="2024-08-12T00:00:00"/>
    <x v="2482"/>
    <x v="2482"/>
    <n v="120"/>
  </r>
  <r>
    <x v="22"/>
    <x v="3"/>
    <s v="Peanut Butter Cubes"/>
    <d v="2024-01-28T00:00:00"/>
    <x v="2483"/>
    <x v="2483"/>
    <n v="351"/>
  </r>
  <r>
    <x v="20"/>
    <x v="2"/>
    <s v="Orange Choco"/>
    <d v="2024-04-29T00:00:00"/>
    <x v="2484"/>
    <x v="2484"/>
    <n v="443"/>
  </r>
  <r>
    <x v="11"/>
    <x v="2"/>
    <s v="Manuka Honey Choco"/>
    <d v="2024-04-05T00:00:00"/>
    <x v="2485"/>
    <x v="2485"/>
    <n v="233"/>
  </r>
  <r>
    <x v="16"/>
    <x v="5"/>
    <s v="Manuka Honey Choco"/>
    <d v="2024-01-18T00:00:00"/>
    <x v="2486"/>
    <x v="2486"/>
    <n v="133"/>
  </r>
  <r>
    <x v="0"/>
    <x v="0"/>
    <s v="Baker's Choco Chips"/>
    <d v="2024-05-16T00:00:00"/>
    <x v="2487"/>
    <x v="2487"/>
    <n v="98"/>
  </r>
  <r>
    <x v="20"/>
    <x v="2"/>
    <s v="White Choc"/>
    <d v="2024-08-24T00:00:00"/>
    <x v="2488"/>
    <x v="2488"/>
    <n v="168"/>
  </r>
  <r>
    <x v="14"/>
    <x v="1"/>
    <s v="85% Dark Bars"/>
    <d v="2024-01-18T00:00:00"/>
    <x v="2489"/>
    <x v="2489"/>
    <n v="402"/>
  </r>
  <r>
    <x v="16"/>
    <x v="4"/>
    <s v="Eclairs"/>
    <d v="2024-08-22T00:00:00"/>
    <x v="2490"/>
    <x v="2490"/>
    <n v="10"/>
  </r>
  <r>
    <x v="5"/>
    <x v="0"/>
    <s v="99% Dark &amp; Pure"/>
    <d v="2024-03-07T00:00:00"/>
    <x v="2491"/>
    <x v="2491"/>
    <n v="84"/>
  </r>
  <r>
    <x v="12"/>
    <x v="0"/>
    <s v="Choco Coated Almonds"/>
    <d v="2024-03-04T00:00:00"/>
    <x v="2492"/>
    <x v="2492"/>
    <n v="73"/>
  </r>
  <r>
    <x v="23"/>
    <x v="5"/>
    <s v="Manuka Honey Choco"/>
    <d v="2024-04-22T00:00:00"/>
    <x v="2493"/>
    <x v="2493"/>
    <n v="113"/>
  </r>
  <r>
    <x v="16"/>
    <x v="2"/>
    <s v="Milk Bars"/>
    <d v="2024-06-09T00:00:00"/>
    <x v="2494"/>
    <x v="2494"/>
    <n v="91"/>
  </r>
  <r>
    <x v="3"/>
    <x v="5"/>
    <s v="Fruit &amp; Nut Bars"/>
    <d v="2024-07-25T00:00:00"/>
    <x v="2495"/>
    <x v="2495"/>
    <n v="217"/>
  </r>
  <r>
    <x v="3"/>
    <x v="1"/>
    <s v="Smooth Sliky Salty"/>
    <d v="2024-08-03T00:00:00"/>
    <x v="2496"/>
    <x v="2496"/>
    <n v="93"/>
  </r>
  <r>
    <x v="7"/>
    <x v="2"/>
    <s v="Manuka Honey Choco"/>
    <d v="2024-08-03T00:00:00"/>
    <x v="2497"/>
    <x v="2497"/>
    <n v="144"/>
  </r>
  <r>
    <x v="0"/>
    <x v="0"/>
    <s v="Milk Bars"/>
    <d v="2024-05-03T00:00:00"/>
    <x v="2498"/>
    <x v="2498"/>
    <n v="219"/>
  </r>
  <r>
    <x v="15"/>
    <x v="5"/>
    <s v="After Nines"/>
    <d v="2024-01-19T00:00:00"/>
    <x v="2499"/>
    <x v="2499"/>
    <n v="288"/>
  </r>
  <r>
    <x v="13"/>
    <x v="4"/>
    <s v="50% Dark Bites"/>
    <d v="2024-02-11T00:00:00"/>
    <x v="2500"/>
    <x v="2500"/>
    <n v="306"/>
  </r>
  <r>
    <x v="1"/>
    <x v="1"/>
    <s v="Almond Choco"/>
    <d v="2024-06-14T00:00:00"/>
    <x v="2501"/>
    <x v="2501"/>
    <n v="383"/>
  </r>
  <r>
    <x v="20"/>
    <x v="4"/>
    <s v="50% Dark Bites"/>
    <d v="2024-03-23T00:00:00"/>
    <x v="2502"/>
    <x v="2502"/>
    <n v="234"/>
  </r>
  <r>
    <x v="22"/>
    <x v="5"/>
    <s v="85% Dark Bars"/>
    <d v="2024-02-17T00:00:00"/>
    <x v="2503"/>
    <x v="2503"/>
    <n v="105"/>
  </r>
  <r>
    <x v="17"/>
    <x v="5"/>
    <s v="Smooth Sliky Salty"/>
    <d v="2024-03-17T00:00:00"/>
    <x v="2504"/>
    <x v="2504"/>
    <n v="485"/>
  </r>
  <r>
    <x v="9"/>
    <x v="2"/>
    <s v="Spicy Special Slims"/>
    <d v="2024-06-29T00:00:00"/>
    <x v="2505"/>
    <x v="2505"/>
    <n v="304"/>
  </r>
  <r>
    <x v="24"/>
    <x v="5"/>
    <s v="Choco Coated Almonds"/>
    <d v="2024-08-24T00:00:00"/>
    <x v="2506"/>
    <x v="2506"/>
    <n v="289"/>
  </r>
  <r>
    <x v="2"/>
    <x v="5"/>
    <s v="Spicy Special Slims"/>
    <d v="2024-07-04T00:00:00"/>
    <x v="2507"/>
    <x v="2507"/>
    <n v="281"/>
  </r>
  <r>
    <x v="13"/>
    <x v="3"/>
    <s v="Almond Choco"/>
    <d v="2024-03-28T00:00:00"/>
    <x v="2508"/>
    <x v="2508"/>
    <n v="70"/>
  </r>
  <r>
    <x v="14"/>
    <x v="1"/>
    <s v="Smooth Sliky Salty"/>
    <d v="2024-04-19T00:00:00"/>
    <x v="2509"/>
    <x v="2509"/>
    <n v="143"/>
  </r>
  <r>
    <x v="24"/>
    <x v="3"/>
    <s v="Mint Chip Choco"/>
    <d v="2024-01-18T00:00:00"/>
    <x v="2510"/>
    <x v="2510"/>
    <n v="248"/>
  </r>
  <r>
    <x v="1"/>
    <x v="3"/>
    <s v="Fruit &amp; Nut Bars"/>
    <d v="2024-01-17T00:00:00"/>
    <x v="2511"/>
    <x v="2511"/>
    <n v="92"/>
  </r>
  <r>
    <x v="19"/>
    <x v="3"/>
    <s v="Mint Chip Choco"/>
    <d v="2024-02-15T00:00:00"/>
    <x v="2512"/>
    <x v="2512"/>
    <n v="201"/>
  </r>
  <r>
    <x v="19"/>
    <x v="0"/>
    <s v="Milk Bars"/>
    <d v="2024-02-11T00:00:00"/>
    <x v="2513"/>
    <x v="2513"/>
    <n v="307"/>
  </r>
  <r>
    <x v="21"/>
    <x v="4"/>
    <s v="Manuka Honey Choco"/>
    <d v="2024-03-21T00:00:00"/>
    <x v="2514"/>
    <x v="2514"/>
    <n v="180"/>
  </r>
  <r>
    <x v="5"/>
    <x v="3"/>
    <s v="Almond Choco"/>
    <d v="2024-01-05T00:00:00"/>
    <x v="2515"/>
    <x v="2515"/>
    <n v="136"/>
  </r>
  <r>
    <x v="6"/>
    <x v="1"/>
    <s v="Raspberry Choco"/>
    <d v="2024-05-30T00:00:00"/>
    <x v="2516"/>
    <x v="2516"/>
    <n v="162"/>
  </r>
  <r>
    <x v="0"/>
    <x v="4"/>
    <s v="99% Dark &amp; Pure"/>
    <d v="2024-01-04T00:00:00"/>
    <x v="2517"/>
    <x v="2517"/>
    <n v="227"/>
  </r>
  <r>
    <x v="12"/>
    <x v="2"/>
    <s v="Fruit &amp; Nut Bars"/>
    <d v="2024-04-22T00:00:00"/>
    <x v="2518"/>
    <x v="2518"/>
    <n v="260"/>
  </r>
  <r>
    <x v="2"/>
    <x v="5"/>
    <s v="Milk Bars"/>
    <d v="2024-02-10T00:00:00"/>
    <x v="2519"/>
    <x v="2519"/>
    <n v="114"/>
  </r>
  <r>
    <x v="23"/>
    <x v="1"/>
    <s v="Spicy Special Slims"/>
    <d v="2024-08-12T00:00:00"/>
    <x v="2520"/>
    <x v="2520"/>
    <n v="209"/>
  </r>
  <r>
    <x v="5"/>
    <x v="4"/>
    <s v="Organic Choco Syrup"/>
    <d v="2024-08-10T00:00:00"/>
    <x v="2521"/>
    <x v="2521"/>
    <n v="310"/>
  </r>
  <r>
    <x v="20"/>
    <x v="2"/>
    <s v="Raspberry Choco"/>
    <d v="2024-06-07T00:00:00"/>
    <x v="2522"/>
    <x v="2522"/>
    <n v="58"/>
  </r>
  <r>
    <x v="0"/>
    <x v="1"/>
    <s v="Baker's Choco Chips"/>
    <d v="2024-06-06T00:00:00"/>
    <x v="2523"/>
    <x v="2523"/>
    <n v="81"/>
  </r>
  <r>
    <x v="10"/>
    <x v="3"/>
    <s v="Baker's Choco Chips"/>
    <d v="2024-04-05T00:00:00"/>
    <x v="2524"/>
    <x v="2524"/>
    <n v="201"/>
  </r>
  <r>
    <x v="18"/>
    <x v="4"/>
    <s v="50% Dark Bites"/>
    <d v="2024-04-18T00:00:00"/>
    <x v="2525"/>
    <x v="2525"/>
    <n v="126"/>
  </r>
  <r>
    <x v="19"/>
    <x v="1"/>
    <s v="50% Dark Bites"/>
    <d v="2024-01-31T00:00:00"/>
    <x v="2526"/>
    <x v="2526"/>
    <n v="16"/>
  </r>
  <r>
    <x v="22"/>
    <x v="4"/>
    <s v="Baker's Choco Chips"/>
    <d v="2024-08-22T00:00:00"/>
    <x v="2527"/>
    <x v="2527"/>
    <n v="141"/>
  </r>
  <r>
    <x v="0"/>
    <x v="2"/>
    <s v="99% Dark &amp; Pure"/>
    <d v="2024-02-25T00:00:00"/>
    <x v="2528"/>
    <x v="2528"/>
    <n v="217"/>
  </r>
  <r>
    <x v="3"/>
    <x v="2"/>
    <s v="Mint Chip Choco"/>
    <d v="2024-02-22T00:00:00"/>
    <x v="2529"/>
    <x v="2529"/>
    <n v="99"/>
  </r>
  <r>
    <x v="4"/>
    <x v="3"/>
    <s v="Milk Bars"/>
    <d v="2024-01-12T00:00:00"/>
    <x v="2530"/>
    <x v="2530"/>
    <n v="201"/>
  </r>
  <r>
    <x v="6"/>
    <x v="0"/>
    <s v="Almond Choco"/>
    <d v="2024-05-25T00:00:00"/>
    <x v="2531"/>
    <x v="2531"/>
    <n v="120"/>
  </r>
  <r>
    <x v="20"/>
    <x v="1"/>
    <s v="Smooth Sliky Salty"/>
    <d v="2024-02-01T00:00:00"/>
    <x v="2532"/>
    <x v="2532"/>
    <n v="9"/>
  </r>
  <r>
    <x v="7"/>
    <x v="0"/>
    <s v="Eclairs"/>
    <d v="2024-04-27T00:00:00"/>
    <x v="2533"/>
    <x v="2533"/>
    <n v="75"/>
  </r>
  <r>
    <x v="2"/>
    <x v="4"/>
    <s v="Smooth Sliky Salty"/>
    <d v="2024-07-22T00:00:00"/>
    <x v="2534"/>
    <x v="2534"/>
    <n v="133"/>
  </r>
  <r>
    <x v="14"/>
    <x v="3"/>
    <s v="Mint Chip Choco"/>
    <d v="2024-01-26T00:00:00"/>
    <x v="2535"/>
    <x v="2535"/>
    <n v="260"/>
  </r>
  <r>
    <x v="14"/>
    <x v="4"/>
    <s v="Mint Chip Choco"/>
    <d v="2024-08-24T00:00:00"/>
    <x v="2536"/>
    <x v="2536"/>
    <n v="285"/>
  </r>
  <r>
    <x v="22"/>
    <x v="3"/>
    <s v="Fruit &amp; Nut Bars"/>
    <d v="2024-01-18T00:00:00"/>
    <x v="2537"/>
    <x v="2537"/>
    <n v="20"/>
  </r>
  <r>
    <x v="10"/>
    <x v="1"/>
    <s v="85% Dark Bars"/>
    <d v="2024-03-30T00:00:00"/>
    <x v="2538"/>
    <x v="2538"/>
    <n v="87"/>
  </r>
  <r>
    <x v="24"/>
    <x v="2"/>
    <s v="Caramel Stuffed Bars"/>
    <d v="2024-01-17T00:00:00"/>
    <x v="2539"/>
    <x v="2539"/>
    <n v="160"/>
  </r>
  <r>
    <x v="20"/>
    <x v="4"/>
    <s v="Fruit &amp; Nut Bars"/>
    <d v="2024-02-17T00:00:00"/>
    <x v="2540"/>
    <x v="2540"/>
    <n v="155"/>
  </r>
  <r>
    <x v="20"/>
    <x v="5"/>
    <s v="Peanut Butter Cubes"/>
    <d v="2024-04-08T00:00:00"/>
    <x v="2541"/>
    <x v="2541"/>
    <n v="43"/>
  </r>
  <r>
    <x v="2"/>
    <x v="5"/>
    <s v="Drinking Coco"/>
    <d v="2024-07-06T00:00:00"/>
    <x v="2542"/>
    <x v="2542"/>
    <n v="89"/>
  </r>
  <r>
    <x v="15"/>
    <x v="1"/>
    <s v="Fruit &amp; Nut Bars"/>
    <d v="2024-04-04T00:00:00"/>
    <x v="2543"/>
    <x v="2543"/>
    <n v="222"/>
  </r>
  <r>
    <x v="3"/>
    <x v="3"/>
    <s v="Organic Choco Syrup"/>
    <d v="2024-03-02T00:00:00"/>
    <x v="2544"/>
    <x v="2544"/>
    <n v="217"/>
  </r>
  <r>
    <x v="2"/>
    <x v="3"/>
    <s v="Raspberry Choco"/>
    <d v="2024-08-09T00:00:00"/>
    <x v="2545"/>
    <x v="2545"/>
    <n v="186"/>
  </r>
  <r>
    <x v="17"/>
    <x v="2"/>
    <s v="Milk Bars"/>
    <d v="2024-06-09T00:00:00"/>
    <x v="2546"/>
    <x v="2546"/>
    <n v="296"/>
  </r>
  <r>
    <x v="24"/>
    <x v="0"/>
    <s v="Caramel Stuffed Bars"/>
    <d v="2024-06-02T00:00:00"/>
    <x v="2547"/>
    <x v="2547"/>
    <n v="301"/>
  </r>
  <r>
    <x v="1"/>
    <x v="4"/>
    <s v="Fruit &amp; Nut Bars"/>
    <d v="2024-07-05T00:00:00"/>
    <x v="2548"/>
    <x v="2548"/>
    <n v="233"/>
  </r>
  <r>
    <x v="19"/>
    <x v="5"/>
    <s v="Eclairs"/>
    <d v="2024-08-11T00:00:00"/>
    <x v="2549"/>
    <x v="2549"/>
    <n v="120"/>
  </r>
  <r>
    <x v="22"/>
    <x v="1"/>
    <s v="Choco Coated Almonds"/>
    <d v="2024-02-11T00:00:00"/>
    <x v="2550"/>
    <x v="2550"/>
    <n v="158"/>
  </r>
  <r>
    <x v="20"/>
    <x v="3"/>
    <s v="Spicy Special Slims"/>
    <d v="2024-08-11T00:00:00"/>
    <x v="2551"/>
    <x v="2551"/>
    <n v="68"/>
  </r>
  <r>
    <x v="13"/>
    <x v="2"/>
    <s v="Drinking Coco"/>
    <d v="2024-05-12T00:00:00"/>
    <x v="2552"/>
    <x v="2552"/>
    <n v="111"/>
  </r>
  <r>
    <x v="18"/>
    <x v="4"/>
    <s v="Milk Bars"/>
    <d v="2024-07-15T00:00:00"/>
    <x v="2553"/>
    <x v="2553"/>
    <n v="96"/>
  </r>
  <r>
    <x v="19"/>
    <x v="1"/>
    <s v="Organic Choco Syrup"/>
    <d v="2024-01-18T00:00:00"/>
    <x v="2554"/>
    <x v="2554"/>
    <n v="132"/>
  </r>
  <r>
    <x v="22"/>
    <x v="0"/>
    <s v="Fruit &amp; Nut Bars"/>
    <d v="2024-01-05T00:00:00"/>
    <x v="2555"/>
    <x v="2555"/>
    <n v="199"/>
  </r>
  <r>
    <x v="14"/>
    <x v="2"/>
    <s v="50% Dark Bites"/>
    <d v="2024-06-29T00:00:00"/>
    <x v="2556"/>
    <x v="2556"/>
    <n v="239"/>
  </r>
  <r>
    <x v="6"/>
    <x v="5"/>
    <s v="Raspberry Choco"/>
    <d v="2024-06-14T00:00:00"/>
    <x v="2557"/>
    <x v="2557"/>
    <n v="46"/>
  </r>
  <r>
    <x v="5"/>
    <x v="1"/>
    <s v="Mint Chip Choco"/>
    <d v="2024-08-08T00:00:00"/>
    <x v="2558"/>
    <x v="2558"/>
    <n v="74"/>
  </r>
  <r>
    <x v="17"/>
    <x v="1"/>
    <s v="Mint Chip Choco"/>
    <d v="2024-03-23T00:00:00"/>
    <x v="2559"/>
    <x v="2559"/>
    <n v="142"/>
  </r>
  <r>
    <x v="8"/>
    <x v="1"/>
    <s v="Caramel Stuffed Bars"/>
    <d v="2024-01-04T00:00:00"/>
    <x v="2560"/>
    <x v="2560"/>
    <n v="106"/>
  </r>
  <r>
    <x v="6"/>
    <x v="1"/>
    <s v="Milk Bars"/>
    <d v="2024-02-22T00:00:00"/>
    <x v="2561"/>
    <x v="2561"/>
    <n v="269"/>
  </r>
  <r>
    <x v="12"/>
    <x v="0"/>
    <s v="Spicy Special Slims"/>
    <d v="2024-02-17T00:00:00"/>
    <x v="2562"/>
    <x v="2562"/>
    <n v="259"/>
  </r>
  <r>
    <x v="8"/>
    <x v="4"/>
    <s v="Almond Choco"/>
    <d v="2024-02-03T00:00:00"/>
    <x v="2563"/>
    <x v="2563"/>
    <n v="83"/>
  </r>
  <r>
    <x v="1"/>
    <x v="5"/>
    <s v="Raspberry Choco"/>
    <d v="2024-03-17T00:00:00"/>
    <x v="2564"/>
    <x v="2564"/>
    <n v="132"/>
  </r>
  <r>
    <x v="18"/>
    <x v="2"/>
    <s v="Baker's Choco Chips"/>
    <d v="2024-01-25T00:00:00"/>
    <x v="2565"/>
    <x v="2565"/>
    <n v="155"/>
  </r>
  <r>
    <x v="6"/>
    <x v="2"/>
    <s v="Milk Bars"/>
    <d v="2024-07-27T00:00:00"/>
    <x v="2566"/>
    <x v="2566"/>
    <n v="54"/>
  </r>
  <r>
    <x v="15"/>
    <x v="2"/>
    <s v="Fruit &amp; Nut Bars"/>
    <d v="2024-01-28T00:00:00"/>
    <x v="2567"/>
    <x v="2567"/>
    <n v="55"/>
  </r>
  <r>
    <x v="22"/>
    <x v="2"/>
    <s v="Organic Choco Syrup"/>
    <d v="2024-07-05T00:00:00"/>
    <x v="2568"/>
    <x v="2568"/>
    <n v="52"/>
  </r>
  <r>
    <x v="1"/>
    <x v="1"/>
    <s v="White Choc"/>
    <d v="2024-03-15T00:00:00"/>
    <x v="2569"/>
    <x v="2569"/>
    <n v="46"/>
  </r>
  <r>
    <x v="5"/>
    <x v="5"/>
    <s v="After Nines"/>
    <d v="2024-08-04T00:00:00"/>
    <x v="2570"/>
    <x v="2570"/>
    <n v="220"/>
  </r>
  <r>
    <x v="3"/>
    <x v="4"/>
    <s v="Fruit &amp; Nut Bars"/>
    <d v="2024-06-27T00:00:00"/>
    <x v="2571"/>
    <x v="2571"/>
    <n v="382"/>
  </r>
  <r>
    <x v="3"/>
    <x v="5"/>
    <s v="After Nines"/>
    <d v="2024-07-13T00:00:00"/>
    <x v="2572"/>
    <x v="2572"/>
    <n v="180"/>
  </r>
  <r>
    <x v="8"/>
    <x v="3"/>
    <s v="Manuka Honey Choco"/>
    <d v="2024-02-24T00:00:00"/>
    <x v="2573"/>
    <x v="2573"/>
    <n v="249"/>
  </r>
  <r>
    <x v="10"/>
    <x v="3"/>
    <s v="85% Dark Bars"/>
    <d v="2024-06-28T00:00:00"/>
    <x v="2574"/>
    <x v="2574"/>
    <n v="59"/>
  </r>
  <r>
    <x v="4"/>
    <x v="2"/>
    <s v="85% Dark Bars"/>
    <d v="2024-06-30T00:00:00"/>
    <x v="2575"/>
    <x v="2575"/>
    <n v="28"/>
  </r>
  <r>
    <x v="14"/>
    <x v="5"/>
    <s v="Choco Coated Almonds"/>
    <d v="2024-08-18T00:00:00"/>
    <x v="2576"/>
    <x v="2576"/>
    <n v="7"/>
  </r>
  <r>
    <x v="16"/>
    <x v="1"/>
    <s v="70% Dark Bites"/>
    <d v="2024-01-24T00:00:00"/>
    <x v="2577"/>
    <x v="2577"/>
    <n v="324"/>
  </r>
  <r>
    <x v="12"/>
    <x v="4"/>
    <s v="White Choc"/>
    <d v="2024-03-11T00:00:00"/>
    <x v="2578"/>
    <x v="2578"/>
    <n v="136"/>
  </r>
  <r>
    <x v="24"/>
    <x v="3"/>
    <s v="After Nines"/>
    <d v="2024-06-23T00:00:00"/>
    <x v="2579"/>
    <x v="2579"/>
    <n v="377"/>
  </r>
  <r>
    <x v="15"/>
    <x v="1"/>
    <s v="Spicy Special Slims"/>
    <d v="2024-08-22T00:00:00"/>
    <x v="2580"/>
    <x v="2580"/>
    <n v="31"/>
  </r>
  <r>
    <x v="5"/>
    <x v="5"/>
    <s v="50% Dark Bites"/>
    <d v="2024-01-04T00:00:00"/>
    <x v="2581"/>
    <x v="2581"/>
    <n v="24"/>
  </r>
  <r>
    <x v="14"/>
    <x v="1"/>
    <s v="Milk Bars"/>
    <d v="2024-04-05T00:00:00"/>
    <x v="2582"/>
    <x v="2582"/>
    <n v="210"/>
  </r>
  <r>
    <x v="12"/>
    <x v="1"/>
    <s v="Milk Bars"/>
    <d v="2024-04-15T00:00:00"/>
    <x v="2583"/>
    <x v="2583"/>
    <n v="314"/>
  </r>
  <r>
    <x v="15"/>
    <x v="2"/>
    <s v="White Choc"/>
    <d v="2024-05-11T00:00:00"/>
    <x v="2584"/>
    <x v="2584"/>
    <n v="213"/>
  </r>
  <r>
    <x v="19"/>
    <x v="5"/>
    <s v="Manuka Honey Choco"/>
    <d v="2024-07-21T00:00:00"/>
    <x v="2585"/>
    <x v="2585"/>
    <n v="492"/>
  </r>
  <r>
    <x v="3"/>
    <x v="3"/>
    <s v="Orange Choco"/>
    <d v="2024-02-11T00:00:00"/>
    <x v="2586"/>
    <x v="2586"/>
    <n v="86"/>
  </r>
  <r>
    <x v="19"/>
    <x v="5"/>
    <s v="Smooth Sliky Salty"/>
    <d v="2024-07-08T00:00:00"/>
    <x v="2587"/>
    <x v="2587"/>
    <n v="81"/>
  </r>
  <r>
    <x v="5"/>
    <x v="0"/>
    <s v="Raspberry Choco"/>
    <d v="2024-08-11T00:00:00"/>
    <x v="2588"/>
    <x v="2588"/>
    <n v="344"/>
  </r>
  <r>
    <x v="15"/>
    <x v="3"/>
    <s v="After Nines"/>
    <d v="2024-08-04T00:00:00"/>
    <x v="2589"/>
    <x v="2589"/>
    <n v="7"/>
  </r>
  <r>
    <x v="19"/>
    <x v="3"/>
    <s v="Orange Choco"/>
    <d v="2024-06-14T00:00:00"/>
    <x v="2590"/>
    <x v="2590"/>
    <n v="94"/>
  </r>
  <r>
    <x v="17"/>
    <x v="0"/>
    <s v="Baker's Choco Chips"/>
    <d v="2024-01-17T00:00:00"/>
    <x v="2591"/>
    <x v="2591"/>
    <n v="293"/>
  </r>
  <r>
    <x v="0"/>
    <x v="5"/>
    <s v="Orange Choco"/>
    <d v="2024-06-23T00:00:00"/>
    <x v="2592"/>
    <x v="2592"/>
    <n v="529"/>
  </r>
  <r>
    <x v="0"/>
    <x v="0"/>
    <s v="Smooth Sliky Salty"/>
    <d v="2024-08-24T00:00:00"/>
    <x v="2593"/>
    <x v="2593"/>
    <n v="111"/>
  </r>
  <r>
    <x v="19"/>
    <x v="0"/>
    <s v="Caramel Stuffed Bars"/>
    <d v="2024-06-07T00:00:00"/>
    <x v="2594"/>
    <x v="2594"/>
    <n v="271"/>
  </r>
  <r>
    <x v="3"/>
    <x v="0"/>
    <s v="White Choc"/>
    <d v="2024-06-22T00:00:00"/>
    <x v="2595"/>
    <x v="2595"/>
    <n v="46"/>
  </r>
  <r>
    <x v="23"/>
    <x v="4"/>
    <s v="Fruit &amp; Nut Bars"/>
    <d v="2024-07-13T00:00:00"/>
    <x v="2596"/>
    <x v="2596"/>
    <n v="268"/>
  </r>
  <r>
    <x v="20"/>
    <x v="0"/>
    <s v="Choco Coated Almonds"/>
    <d v="2024-05-24T00:00:00"/>
    <x v="2597"/>
    <x v="2597"/>
    <n v="210"/>
  </r>
  <r>
    <x v="5"/>
    <x v="3"/>
    <s v="After Nines"/>
    <d v="2024-08-09T00:00:00"/>
    <x v="2598"/>
    <x v="2598"/>
    <n v="154"/>
  </r>
  <r>
    <x v="16"/>
    <x v="5"/>
    <s v="85% Dark Bars"/>
    <d v="2024-04-06T00:00:00"/>
    <x v="2599"/>
    <x v="2599"/>
    <n v="33"/>
  </r>
  <r>
    <x v="3"/>
    <x v="3"/>
    <s v="Manuka Honey Choco"/>
    <d v="2024-07-28T00:00:00"/>
    <x v="2600"/>
    <x v="2600"/>
    <n v="259"/>
  </r>
  <r>
    <x v="5"/>
    <x v="3"/>
    <s v="Raspberry Choco"/>
    <d v="2024-08-24T00:00:00"/>
    <x v="2601"/>
    <x v="2601"/>
    <n v="57"/>
  </r>
  <r>
    <x v="1"/>
    <x v="2"/>
    <s v="99% Dark &amp; Pure"/>
    <d v="2024-01-17T00:00:00"/>
    <x v="2602"/>
    <x v="2602"/>
    <n v="138"/>
  </r>
  <r>
    <x v="14"/>
    <x v="4"/>
    <s v="Drinking Coco"/>
    <d v="2024-02-07T00:00:00"/>
    <x v="2603"/>
    <x v="2603"/>
    <n v="149"/>
  </r>
  <r>
    <x v="6"/>
    <x v="2"/>
    <s v="Spicy Special Slims"/>
    <d v="2024-05-09T00:00:00"/>
    <x v="2604"/>
    <x v="2604"/>
    <n v="273"/>
  </r>
  <r>
    <x v="9"/>
    <x v="3"/>
    <s v="85% Dark Bars"/>
    <d v="2024-06-06T00:00:00"/>
    <x v="2605"/>
    <x v="2605"/>
    <n v="113"/>
  </r>
  <r>
    <x v="18"/>
    <x v="4"/>
    <s v="Choco Coated Almonds"/>
    <d v="2024-06-06T00:00:00"/>
    <x v="2606"/>
    <x v="2606"/>
    <n v="6"/>
  </r>
  <r>
    <x v="12"/>
    <x v="3"/>
    <s v="Organic Choco Syrup"/>
    <d v="2024-05-24T00:00:00"/>
    <x v="2607"/>
    <x v="2607"/>
    <n v="231"/>
  </r>
  <r>
    <x v="5"/>
    <x v="0"/>
    <s v="50% Dark Bites"/>
    <d v="2024-01-13T00:00:00"/>
    <x v="2608"/>
    <x v="2608"/>
    <n v="129"/>
  </r>
  <r>
    <x v="11"/>
    <x v="4"/>
    <s v="Raspberry Choco"/>
    <d v="2024-05-23T00:00:00"/>
    <x v="2609"/>
    <x v="2609"/>
    <n v="152"/>
  </r>
  <r>
    <x v="0"/>
    <x v="0"/>
    <s v="White Choc"/>
    <d v="2024-06-29T00:00:00"/>
    <x v="2610"/>
    <x v="2610"/>
    <n v="304"/>
  </r>
  <r>
    <x v="0"/>
    <x v="3"/>
    <s v="85% Dark Bars"/>
    <d v="2024-03-11T00:00:00"/>
    <x v="2611"/>
    <x v="2611"/>
    <n v="95"/>
  </r>
  <r>
    <x v="23"/>
    <x v="4"/>
    <s v="85% Dark Bars"/>
    <d v="2024-04-25T00:00:00"/>
    <x v="2612"/>
    <x v="2612"/>
    <n v="538"/>
  </r>
  <r>
    <x v="7"/>
    <x v="2"/>
    <s v="Smooth Sliky Salty"/>
    <d v="2024-05-30T00:00:00"/>
    <x v="2613"/>
    <x v="2613"/>
    <n v="236"/>
  </r>
  <r>
    <x v="14"/>
    <x v="1"/>
    <s v="Manuka Honey Choco"/>
    <d v="2024-05-23T00:00:00"/>
    <x v="2614"/>
    <x v="2614"/>
    <n v="185"/>
  </r>
  <r>
    <x v="9"/>
    <x v="4"/>
    <s v="Peanut Butter Cubes"/>
    <d v="2024-05-23T00:00:00"/>
    <x v="2615"/>
    <x v="2615"/>
    <n v="19"/>
  </r>
  <r>
    <x v="1"/>
    <x v="5"/>
    <s v="Peanut Butter Cubes"/>
    <d v="2024-06-24T00:00:00"/>
    <x v="2616"/>
    <x v="2616"/>
    <n v="306"/>
  </r>
  <r>
    <x v="20"/>
    <x v="3"/>
    <s v="Smooth Sliky Salty"/>
    <d v="2024-03-11T00:00:00"/>
    <x v="2617"/>
    <x v="2617"/>
    <n v="268"/>
  </r>
  <r>
    <x v="7"/>
    <x v="4"/>
    <s v="Smooth Sliky Salty"/>
    <d v="2024-07-27T00:00:00"/>
    <x v="2618"/>
    <x v="2618"/>
    <n v="230"/>
  </r>
  <r>
    <x v="7"/>
    <x v="4"/>
    <s v="White Choc"/>
    <d v="2024-08-16T00:00:00"/>
    <x v="2619"/>
    <x v="2619"/>
    <n v="120"/>
  </r>
  <r>
    <x v="13"/>
    <x v="5"/>
    <s v="Smooth Sliky Salty"/>
    <d v="2024-03-07T00:00:00"/>
    <x v="2620"/>
    <x v="2620"/>
    <n v="11"/>
  </r>
  <r>
    <x v="14"/>
    <x v="3"/>
    <s v="After Nines"/>
    <d v="2024-04-05T00:00:00"/>
    <x v="2621"/>
    <x v="2621"/>
    <n v="29"/>
  </r>
  <r>
    <x v="21"/>
    <x v="1"/>
    <s v="85% Dark Bars"/>
    <d v="2024-05-04T00:00:00"/>
    <x v="2622"/>
    <x v="2622"/>
    <n v="54"/>
  </r>
  <r>
    <x v="24"/>
    <x v="4"/>
    <s v="Choco Coated Almonds"/>
    <d v="2024-01-04T00:00:00"/>
    <x v="2623"/>
    <x v="2623"/>
    <n v="89"/>
  </r>
  <r>
    <x v="11"/>
    <x v="2"/>
    <s v="Baker's Choco Chips"/>
    <d v="2024-01-13T00:00:00"/>
    <x v="2624"/>
    <x v="2624"/>
    <n v="100"/>
  </r>
  <r>
    <x v="18"/>
    <x v="3"/>
    <s v="Fruit &amp; Nut Bars"/>
    <d v="2024-07-11T00:00:00"/>
    <x v="2625"/>
    <x v="2625"/>
    <n v="95"/>
  </r>
  <r>
    <x v="16"/>
    <x v="2"/>
    <s v="Mint Chip Choco"/>
    <d v="2024-05-17T00:00:00"/>
    <x v="2626"/>
    <x v="2626"/>
    <n v="162"/>
  </r>
  <r>
    <x v="21"/>
    <x v="3"/>
    <s v="Peanut Butter Cubes"/>
    <d v="2024-07-21T00:00:00"/>
    <x v="2627"/>
    <x v="2627"/>
    <n v="62"/>
  </r>
  <r>
    <x v="14"/>
    <x v="5"/>
    <s v="Organic Choco Syrup"/>
    <d v="2024-02-22T00:00:00"/>
    <x v="2628"/>
    <x v="2628"/>
    <n v="24"/>
  </r>
  <r>
    <x v="3"/>
    <x v="1"/>
    <s v="99% Dark &amp; Pure"/>
    <d v="2024-05-23T00:00:00"/>
    <x v="2629"/>
    <x v="2629"/>
    <n v="182"/>
  </r>
  <r>
    <x v="7"/>
    <x v="5"/>
    <s v="Drinking Coco"/>
    <d v="2024-07-12T00:00:00"/>
    <x v="2630"/>
    <x v="2630"/>
    <n v="192"/>
  </r>
  <r>
    <x v="3"/>
    <x v="0"/>
    <s v="Orange Choco"/>
    <d v="2024-06-15T00:00:00"/>
    <x v="2631"/>
    <x v="2631"/>
    <n v="203"/>
  </r>
  <r>
    <x v="8"/>
    <x v="3"/>
    <s v="50% Dark Bites"/>
    <d v="2024-06-23T00:00:00"/>
    <x v="2632"/>
    <x v="2632"/>
    <n v="321"/>
  </r>
  <r>
    <x v="14"/>
    <x v="2"/>
    <s v="Eclairs"/>
    <d v="2024-03-25T00:00:00"/>
    <x v="2633"/>
    <x v="2633"/>
    <n v="58"/>
  </r>
  <r>
    <x v="3"/>
    <x v="1"/>
    <s v="Caramel Stuffed Bars"/>
    <d v="2024-07-04T00:00:00"/>
    <x v="2634"/>
    <x v="2634"/>
    <n v="161"/>
  </r>
  <r>
    <x v="19"/>
    <x v="0"/>
    <s v="White Choc"/>
    <d v="2024-05-12T00:00:00"/>
    <x v="2635"/>
    <x v="2635"/>
    <n v="109"/>
  </r>
  <r>
    <x v="21"/>
    <x v="3"/>
    <s v="Raspberry Choco"/>
    <d v="2024-04-04T00:00:00"/>
    <x v="2636"/>
    <x v="2636"/>
    <n v="148"/>
  </r>
  <r>
    <x v="22"/>
    <x v="2"/>
    <s v="Orange Choco"/>
    <d v="2024-04-15T00:00:00"/>
    <x v="2637"/>
    <x v="2637"/>
    <n v="381"/>
  </r>
  <r>
    <x v="13"/>
    <x v="5"/>
    <s v="Eclairs"/>
    <d v="2024-03-08T00:00:00"/>
    <x v="2638"/>
    <x v="2638"/>
    <n v="95"/>
  </r>
  <r>
    <x v="10"/>
    <x v="1"/>
    <s v="White Choc"/>
    <d v="2024-01-17T00:00:00"/>
    <x v="2639"/>
    <x v="2639"/>
    <n v="251"/>
  </r>
  <r>
    <x v="18"/>
    <x v="1"/>
    <s v="Mint Chip Choco"/>
    <d v="2024-08-22T00:00:00"/>
    <x v="2640"/>
    <x v="2640"/>
    <n v="53"/>
  </r>
  <r>
    <x v="19"/>
    <x v="0"/>
    <s v="99% Dark &amp; Pure"/>
    <d v="2024-07-25T00:00:00"/>
    <x v="2641"/>
    <x v="2641"/>
    <n v="72"/>
  </r>
  <r>
    <x v="11"/>
    <x v="0"/>
    <s v="50% Dark Bites"/>
    <d v="2024-06-14T00:00:00"/>
    <x v="2642"/>
    <x v="2642"/>
    <n v="126"/>
  </r>
  <r>
    <x v="24"/>
    <x v="1"/>
    <s v="Choco Coated Almonds"/>
    <d v="2024-04-05T00:00:00"/>
    <x v="653"/>
    <x v="653"/>
    <n v="83"/>
  </r>
  <r>
    <x v="22"/>
    <x v="0"/>
    <s v="Raspberry Choco"/>
    <d v="2024-08-26T00:00:00"/>
    <x v="2643"/>
    <x v="2643"/>
    <n v="347"/>
  </r>
  <r>
    <x v="18"/>
    <x v="2"/>
    <s v="50% Dark Bites"/>
    <d v="2024-08-03T00:00:00"/>
    <x v="2644"/>
    <x v="2644"/>
    <n v="112"/>
  </r>
  <r>
    <x v="2"/>
    <x v="5"/>
    <s v="White Choc"/>
    <d v="2024-07-11T00:00:00"/>
    <x v="2645"/>
    <x v="2645"/>
    <n v="4"/>
  </r>
  <r>
    <x v="18"/>
    <x v="3"/>
    <s v="Eclairs"/>
    <d v="2024-03-11T00:00:00"/>
    <x v="2646"/>
    <x v="2646"/>
    <n v="21"/>
  </r>
  <r>
    <x v="6"/>
    <x v="0"/>
    <s v="Peanut Butter Cubes"/>
    <d v="2024-01-10T00:00:00"/>
    <x v="2647"/>
    <x v="2647"/>
    <n v="32"/>
  </r>
  <r>
    <x v="13"/>
    <x v="0"/>
    <s v="Baker's Choco Chips"/>
    <d v="2024-04-04T00:00:00"/>
    <x v="2648"/>
    <x v="2648"/>
    <n v="349"/>
  </r>
  <r>
    <x v="10"/>
    <x v="2"/>
    <s v="50% Dark Bites"/>
    <d v="2024-01-17T00:00:00"/>
    <x v="2649"/>
    <x v="2649"/>
    <n v="778"/>
  </r>
  <r>
    <x v="11"/>
    <x v="3"/>
    <s v="Organic Choco Syrup"/>
    <d v="2024-07-08T00:00:00"/>
    <x v="2650"/>
    <x v="2650"/>
    <n v="49"/>
  </r>
  <r>
    <x v="3"/>
    <x v="0"/>
    <s v="Organic Choco Syrup"/>
    <d v="2024-04-12T00:00:00"/>
    <x v="2651"/>
    <x v="2651"/>
    <n v="384"/>
  </r>
  <r>
    <x v="7"/>
    <x v="5"/>
    <s v="Fruit &amp; Nut Bars"/>
    <d v="2024-08-24T00:00:00"/>
    <x v="2652"/>
    <x v="2652"/>
    <n v="191"/>
  </r>
  <r>
    <x v="24"/>
    <x v="0"/>
    <s v="Choco Coated Almonds"/>
    <d v="2024-06-07T00:00:00"/>
    <x v="2653"/>
    <x v="2653"/>
    <n v="259"/>
  </r>
  <r>
    <x v="5"/>
    <x v="5"/>
    <s v="Almond Choco"/>
    <d v="2024-07-28T00:00:00"/>
    <x v="2654"/>
    <x v="2654"/>
    <n v="29"/>
  </r>
  <r>
    <x v="15"/>
    <x v="4"/>
    <s v="99% Dark &amp; Pure"/>
    <d v="2024-02-21T00:00:00"/>
    <x v="2655"/>
    <x v="2655"/>
    <n v="113"/>
  </r>
  <r>
    <x v="17"/>
    <x v="5"/>
    <s v="Mint Chip Choco"/>
    <d v="2024-04-08T00:00:00"/>
    <x v="2656"/>
    <x v="2656"/>
    <n v="304"/>
  </r>
  <r>
    <x v="6"/>
    <x v="0"/>
    <s v="Manuka Honey Choco"/>
    <d v="2024-06-28T00:00:00"/>
    <x v="2657"/>
    <x v="2657"/>
    <n v="101"/>
  </r>
  <r>
    <x v="1"/>
    <x v="0"/>
    <s v="Baker's Choco Chips"/>
    <d v="2024-03-24T00:00:00"/>
    <x v="2658"/>
    <x v="2658"/>
    <n v="21"/>
  </r>
  <r>
    <x v="8"/>
    <x v="2"/>
    <s v="Caramel Stuffed Bars"/>
    <d v="2024-07-29T00:00:00"/>
    <x v="2659"/>
    <x v="2659"/>
    <n v="54"/>
  </r>
  <r>
    <x v="17"/>
    <x v="4"/>
    <s v="Eclairs"/>
    <d v="2024-05-25T00:00:00"/>
    <x v="2660"/>
    <x v="2660"/>
    <n v="98"/>
  </r>
  <r>
    <x v="2"/>
    <x v="2"/>
    <s v="Raspberry Choco"/>
    <d v="2024-03-30T00:00:00"/>
    <x v="2661"/>
    <x v="2661"/>
    <n v="313"/>
  </r>
  <r>
    <x v="17"/>
    <x v="4"/>
    <s v="Organic Choco Syrup"/>
    <d v="2024-07-18T00:00:00"/>
    <x v="2662"/>
    <x v="2662"/>
    <n v="132"/>
  </r>
  <r>
    <x v="12"/>
    <x v="5"/>
    <s v="Orange Choco"/>
    <d v="2024-05-10T00:00:00"/>
    <x v="2663"/>
    <x v="2663"/>
    <n v="111"/>
  </r>
  <r>
    <x v="9"/>
    <x v="2"/>
    <s v="Choco Coated Almonds"/>
    <d v="2024-03-18T00:00:00"/>
    <x v="2664"/>
    <x v="2664"/>
    <n v="88"/>
  </r>
  <r>
    <x v="24"/>
    <x v="1"/>
    <s v="Caramel Stuffed Bars"/>
    <d v="2024-06-15T00:00:00"/>
    <x v="2665"/>
    <x v="2665"/>
    <n v="54"/>
  </r>
  <r>
    <x v="1"/>
    <x v="5"/>
    <s v="50% Dark Bites"/>
    <d v="2024-05-12T00:00:00"/>
    <x v="2666"/>
    <x v="2666"/>
    <n v="58"/>
  </r>
  <r>
    <x v="20"/>
    <x v="3"/>
    <s v="Baker's Choco Chips"/>
    <d v="2024-06-23T00:00:00"/>
    <x v="2667"/>
    <x v="2667"/>
    <n v="115"/>
  </r>
  <r>
    <x v="12"/>
    <x v="1"/>
    <s v="Spicy Special Slims"/>
    <d v="2024-04-21T00:00:00"/>
    <x v="2668"/>
    <x v="2668"/>
    <n v="182"/>
  </r>
  <r>
    <x v="2"/>
    <x v="2"/>
    <s v="Almond Choco"/>
    <d v="2024-08-17T00:00:00"/>
    <x v="2669"/>
    <x v="2669"/>
    <n v="120"/>
  </r>
  <r>
    <x v="7"/>
    <x v="3"/>
    <s v="Eclairs"/>
    <d v="2024-02-07T00:00:00"/>
    <x v="2670"/>
    <x v="2670"/>
    <n v="51"/>
  </r>
  <r>
    <x v="20"/>
    <x v="5"/>
    <s v="Smooth Sliky Salty"/>
    <d v="2024-03-17T00:00:00"/>
    <x v="2671"/>
    <x v="2671"/>
    <n v="121"/>
  </r>
  <r>
    <x v="3"/>
    <x v="1"/>
    <s v="Baker's Choco Chips"/>
    <d v="2024-08-01T00:00:00"/>
    <x v="2672"/>
    <x v="2672"/>
    <n v="85"/>
  </r>
  <r>
    <x v="0"/>
    <x v="2"/>
    <s v="Milk Bars"/>
    <d v="2024-03-18T00:00:00"/>
    <x v="2673"/>
    <x v="2673"/>
    <n v="30"/>
  </r>
  <r>
    <x v="2"/>
    <x v="5"/>
    <s v="Fruit &amp; Nut Bars"/>
    <d v="2024-06-14T00:00:00"/>
    <x v="2674"/>
    <x v="2674"/>
    <n v="104"/>
  </r>
  <r>
    <x v="12"/>
    <x v="0"/>
    <s v="Eclairs"/>
    <d v="2024-04-22T00:00:00"/>
    <x v="2675"/>
    <x v="2675"/>
    <n v="156"/>
  </r>
  <r>
    <x v="11"/>
    <x v="3"/>
    <s v="Eclairs"/>
    <d v="2024-01-18T00:00:00"/>
    <x v="2676"/>
    <x v="2676"/>
    <n v="31"/>
  </r>
  <r>
    <x v="15"/>
    <x v="2"/>
    <s v="99% Dark &amp; Pure"/>
    <d v="2024-08-26T00:00:00"/>
    <x v="2677"/>
    <x v="2677"/>
    <n v="131"/>
  </r>
  <r>
    <x v="5"/>
    <x v="3"/>
    <s v="Fruit &amp; Nut Bars"/>
    <d v="2024-06-10T00:00:00"/>
    <x v="2678"/>
    <x v="2678"/>
    <n v="424"/>
  </r>
  <r>
    <x v="14"/>
    <x v="5"/>
    <s v="70% Dark Bites"/>
    <d v="2024-01-31T00:00:00"/>
    <x v="2679"/>
    <x v="2679"/>
    <n v="7"/>
  </r>
  <r>
    <x v="20"/>
    <x v="3"/>
    <s v="Manuka Honey Choco"/>
    <d v="2024-04-08T00:00:00"/>
    <x v="2680"/>
    <x v="2680"/>
    <n v="107"/>
  </r>
  <r>
    <x v="23"/>
    <x v="2"/>
    <s v="Baker's Choco Chips"/>
    <d v="2024-06-07T00:00:00"/>
    <x v="2681"/>
    <x v="2681"/>
    <n v="65"/>
  </r>
  <r>
    <x v="8"/>
    <x v="2"/>
    <s v="85% Dark Bars"/>
    <d v="2024-02-10T00:00:00"/>
    <x v="2682"/>
    <x v="2682"/>
    <n v="42"/>
  </r>
  <r>
    <x v="12"/>
    <x v="2"/>
    <s v="50% Dark Bites"/>
    <d v="2024-05-16T00:00:00"/>
    <x v="2683"/>
    <x v="2683"/>
    <n v="441"/>
  </r>
  <r>
    <x v="5"/>
    <x v="1"/>
    <s v="Baker's Choco Chips"/>
    <d v="2024-03-18T00:00:00"/>
    <x v="2684"/>
    <x v="2684"/>
    <n v="535"/>
  </r>
  <r>
    <x v="1"/>
    <x v="2"/>
    <s v="50% Dark Bites"/>
    <d v="2024-07-13T00:00:00"/>
    <x v="2685"/>
    <x v="2685"/>
    <n v="134"/>
  </r>
  <r>
    <x v="4"/>
    <x v="4"/>
    <s v="Manuka Honey Choco"/>
    <d v="2024-07-25T00:00:00"/>
    <x v="2686"/>
    <x v="2686"/>
    <n v="85"/>
  </r>
  <r>
    <x v="1"/>
    <x v="5"/>
    <s v="Choco Coated Almonds"/>
    <d v="2024-08-19T00:00:00"/>
    <x v="2687"/>
    <x v="2687"/>
    <n v="293"/>
  </r>
  <r>
    <x v="10"/>
    <x v="5"/>
    <s v="70% Dark Bites"/>
    <d v="2024-06-24T00:00:00"/>
    <x v="2688"/>
    <x v="2688"/>
    <n v="602"/>
  </r>
  <r>
    <x v="20"/>
    <x v="5"/>
    <s v="Fruit &amp; Nut Bars"/>
    <d v="2024-06-20T00:00:00"/>
    <x v="2689"/>
    <x v="2689"/>
    <n v="152"/>
  </r>
  <r>
    <x v="21"/>
    <x v="1"/>
    <s v="99% Dark &amp; Pure"/>
    <d v="2024-08-02T00:00:00"/>
    <x v="2690"/>
    <x v="2690"/>
    <n v="225"/>
  </r>
  <r>
    <x v="22"/>
    <x v="3"/>
    <s v="70% Dark Bites"/>
    <d v="2024-02-22T00:00:00"/>
    <x v="2691"/>
    <x v="2691"/>
    <n v="102"/>
  </r>
  <r>
    <x v="9"/>
    <x v="3"/>
    <s v="Orange Choco"/>
    <d v="2024-02-01T00:00:00"/>
    <x v="2692"/>
    <x v="2692"/>
    <n v="23"/>
  </r>
  <r>
    <x v="3"/>
    <x v="5"/>
    <s v="70% Dark Bites"/>
    <d v="2024-02-14T00:00:00"/>
    <x v="2693"/>
    <x v="2693"/>
    <n v="312"/>
  </r>
  <r>
    <x v="20"/>
    <x v="2"/>
    <s v="Milk Bars"/>
    <d v="2024-02-24T00:00:00"/>
    <x v="2694"/>
    <x v="2694"/>
    <n v="137"/>
  </r>
  <r>
    <x v="17"/>
    <x v="1"/>
    <s v="Orange Choco"/>
    <d v="2024-03-18T00:00:00"/>
    <x v="2695"/>
    <x v="2695"/>
    <n v="123"/>
  </r>
  <r>
    <x v="15"/>
    <x v="0"/>
    <s v="Eclairs"/>
    <d v="2024-08-30T00:00:00"/>
    <x v="2696"/>
    <x v="2696"/>
    <n v="250"/>
  </r>
  <r>
    <x v="2"/>
    <x v="4"/>
    <s v="Peanut Butter Cubes"/>
    <d v="2024-05-09T00:00:00"/>
    <x v="2697"/>
    <x v="2697"/>
    <n v="72"/>
  </r>
  <r>
    <x v="18"/>
    <x v="4"/>
    <s v="Smooth Sliky Salty"/>
    <d v="2024-01-18T00:00:00"/>
    <x v="2698"/>
    <x v="2698"/>
    <n v="86"/>
  </r>
  <r>
    <x v="14"/>
    <x v="1"/>
    <s v="White Choc"/>
    <d v="2024-07-04T00:00:00"/>
    <x v="2699"/>
    <x v="2699"/>
    <n v="347"/>
  </r>
  <r>
    <x v="4"/>
    <x v="3"/>
    <s v="Spicy Special Slims"/>
    <d v="2024-06-03T00:00:00"/>
    <x v="2700"/>
    <x v="2700"/>
    <n v="13"/>
  </r>
  <r>
    <x v="12"/>
    <x v="3"/>
    <s v="Peanut Butter Cubes"/>
    <d v="2024-02-23T00:00:00"/>
    <x v="2701"/>
    <x v="2701"/>
    <n v="30"/>
  </r>
  <r>
    <x v="23"/>
    <x v="3"/>
    <s v="99% Dark &amp; Pure"/>
    <d v="2024-05-09T00:00:00"/>
    <x v="2702"/>
    <x v="2702"/>
    <n v="223"/>
  </r>
  <r>
    <x v="20"/>
    <x v="1"/>
    <s v="70% Dark Bites"/>
    <d v="2024-06-06T00:00:00"/>
    <x v="2703"/>
    <x v="2703"/>
    <n v="108"/>
  </r>
  <r>
    <x v="20"/>
    <x v="1"/>
    <s v="Drinking Coco"/>
    <d v="2024-07-04T00:00:00"/>
    <x v="2704"/>
    <x v="2704"/>
    <n v="238"/>
  </r>
  <r>
    <x v="6"/>
    <x v="3"/>
    <s v="Drinking Coco"/>
    <d v="2024-06-06T00:00:00"/>
    <x v="2705"/>
    <x v="2705"/>
    <n v="98"/>
  </r>
  <r>
    <x v="23"/>
    <x v="2"/>
    <s v="Almond Choco"/>
    <d v="2024-05-13T00:00:00"/>
    <x v="2706"/>
    <x v="2706"/>
    <n v="95"/>
  </r>
  <r>
    <x v="18"/>
    <x v="3"/>
    <s v="Organic Choco Syrup"/>
    <d v="2024-01-31T00:00:00"/>
    <x v="2707"/>
    <x v="2707"/>
    <n v="274"/>
  </r>
  <r>
    <x v="24"/>
    <x v="3"/>
    <s v="Caramel Stuffed Bars"/>
    <d v="2024-06-30T00:00:00"/>
    <x v="2708"/>
    <x v="2708"/>
    <n v="41"/>
  </r>
  <r>
    <x v="8"/>
    <x v="5"/>
    <s v="Manuka Honey Choco"/>
    <d v="2024-08-25T00:00:00"/>
    <x v="2709"/>
    <x v="2709"/>
    <n v="274"/>
  </r>
  <r>
    <x v="2"/>
    <x v="3"/>
    <s v="Smooth Sliky Salty"/>
    <d v="2024-01-10T00:00:00"/>
    <x v="2710"/>
    <x v="2710"/>
    <n v="95"/>
  </r>
  <r>
    <x v="6"/>
    <x v="4"/>
    <s v="Manuka Honey Choco"/>
    <d v="2024-08-22T00:00:00"/>
    <x v="2711"/>
    <x v="2711"/>
    <n v="8"/>
  </r>
  <r>
    <x v="13"/>
    <x v="3"/>
    <s v="85% Dark Bars"/>
    <d v="2024-04-14T00:00:00"/>
    <x v="2712"/>
    <x v="2712"/>
    <n v="267"/>
  </r>
  <r>
    <x v="4"/>
    <x v="0"/>
    <s v="Smooth Sliky Salty"/>
    <d v="2024-05-31T00:00:00"/>
    <x v="2713"/>
    <x v="2713"/>
    <n v="340"/>
  </r>
  <r>
    <x v="4"/>
    <x v="0"/>
    <s v="Raspberry Choco"/>
    <d v="2024-04-08T00:00:00"/>
    <x v="2714"/>
    <x v="2714"/>
    <n v="341"/>
  </r>
  <r>
    <x v="13"/>
    <x v="4"/>
    <s v="Drinking Coco"/>
    <d v="2024-02-21T00:00:00"/>
    <x v="2715"/>
    <x v="2715"/>
    <n v="160"/>
  </r>
  <r>
    <x v="19"/>
    <x v="2"/>
    <s v="Manuka Honey Choco"/>
    <d v="2024-03-30T00:00:00"/>
    <x v="2716"/>
    <x v="2716"/>
    <n v="413"/>
  </r>
  <r>
    <x v="9"/>
    <x v="1"/>
    <s v="Raspberry Choco"/>
    <d v="2024-03-02T00:00:00"/>
    <x v="2717"/>
    <x v="2717"/>
    <n v="2"/>
  </r>
  <r>
    <x v="0"/>
    <x v="4"/>
    <s v="Orange Choco"/>
    <d v="2024-07-28T00:00:00"/>
    <x v="2718"/>
    <x v="2718"/>
    <n v="174"/>
  </r>
  <r>
    <x v="16"/>
    <x v="3"/>
    <s v="70% Dark Bites"/>
    <d v="2024-03-24T00:00:00"/>
    <x v="2719"/>
    <x v="2719"/>
    <n v="40"/>
  </r>
  <r>
    <x v="14"/>
    <x v="2"/>
    <s v="After Nines"/>
    <d v="2024-08-11T00:00:00"/>
    <x v="2720"/>
    <x v="2720"/>
    <n v="101"/>
  </r>
  <r>
    <x v="15"/>
    <x v="0"/>
    <s v="Almond Choco"/>
    <d v="2024-05-17T00:00:00"/>
    <x v="2721"/>
    <x v="2721"/>
    <n v="167"/>
  </r>
  <r>
    <x v="16"/>
    <x v="5"/>
    <s v="Choco Coated Almonds"/>
    <d v="2024-05-18T00:00:00"/>
    <x v="2722"/>
    <x v="2722"/>
    <n v="166"/>
  </r>
  <r>
    <x v="13"/>
    <x v="0"/>
    <s v="Peanut Butter Cubes"/>
    <d v="2024-08-17T00:00:00"/>
    <x v="2723"/>
    <x v="2723"/>
    <n v="173"/>
  </r>
  <r>
    <x v="24"/>
    <x v="3"/>
    <s v="Eclairs"/>
    <d v="2024-04-04T00:00:00"/>
    <x v="2724"/>
    <x v="2724"/>
    <n v="50"/>
  </r>
  <r>
    <x v="6"/>
    <x v="1"/>
    <s v="85% Dark Bars"/>
    <d v="2024-08-09T00:00:00"/>
    <x v="2725"/>
    <x v="2725"/>
    <n v="210"/>
  </r>
  <r>
    <x v="6"/>
    <x v="3"/>
    <s v="Organic Choco Syrup"/>
    <d v="2024-01-17T00:00:00"/>
    <x v="2726"/>
    <x v="2726"/>
    <n v="327"/>
  </r>
  <r>
    <x v="19"/>
    <x v="5"/>
    <s v="White Choc"/>
    <d v="2024-02-14T00:00:00"/>
    <x v="2727"/>
    <x v="2727"/>
    <n v="29"/>
  </r>
  <r>
    <x v="2"/>
    <x v="3"/>
    <s v="Orange Choco"/>
    <d v="2024-05-16T00:00:00"/>
    <x v="2728"/>
    <x v="2728"/>
    <n v="306"/>
  </r>
  <r>
    <x v="24"/>
    <x v="5"/>
    <s v="Smooth Sliky Salty"/>
    <d v="2024-03-16T00:00:00"/>
    <x v="2729"/>
    <x v="2729"/>
    <n v="125"/>
  </r>
  <r>
    <x v="15"/>
    <x v="5"/>
    <s v="70% Dark Bites"/>
    <d v="2024-01-31T00:00:00"/>
    <x v="2730"/>
    <x v="2730"/>
    <n v="284"/>
  </r>
  <r>
    <x v="8"/>
    <x v="5"/>
    <s v="Organic Choco Syrup"/>
    <d v="2024-03-10T00:00:00"/>
    <x v="2731"/>
    <x v="2731"/>
    <n v="200"/>
  </r>
  <r>
    <x v="4"/>
    <x v="0"/>
    <s v="Organic Choco Syrup"/>
    <d v="2024-06-30T00:00:00"/>
    <x v="2732"/>
    <x v="2732"/>
    <n v="162"/>
  </r>
  <r>
    <x v="1"/>
    <x v="3"/>
    <s v="Eclairs"/>
    <d v="2024-03-01T00:00:00"/>
    <x v="2733"/>
    <x v="2733"/>
    <n v="178"/>
  </r>
  <r>
    <x v="9"/>
    <x v="0"/>
    <s v="Drinking Coco"/>
    <d v="2024-05-27T00:00:00"/>
    <x v="2734"/>
    <x v="2734"/>
    <n v="97"/>
  </r>
  <r>
    <x v="4"/>
    <x v="0"/>
    <s v="Milk Bars"/>
    <d v="2024-07-11T00:00:00"/>
    <x v="2735"/>
    <x v="2735"/>
    <n v="243"/>
  </r>
  <r>
    <x v="10"/>
    <x v="3"/>
    <s v="Mint Chip Choco"/>
    <d v="2024-03-02T00:00:00"/>
    <x v="2736"/>
    <x v="2736"/>
    <n v="63"/>
  </r>
  <r>
    <x v="0"/>
    <x v="4"/>
    <s v="Raspberry Choco"/>
    <d v="2024-03-04T00:00:00"/>
    <x v="2737"/>
    <x v="2737"/>
    <n v="143"/>
  </r>
  <r>
    <x v="20"/>
    <x v="0"/>
    <s v="85% Dark Bars"/>
    <d v="2024-06-23T00:00:00"/>
    <x v="2738"/>
    <x v="2738"/>
    <n v="242"/>
  </r>
  <r>
    <x v="20"/>
    <x v="4"/>
    <s v="Almond Choco"/>
    <d v="2024-01-27T00:00:00"/>
    <x v="2739"/>
    <x v="2739"/>
    <n v="252"/>
  </r>
  <r>
    <x v="11"/>
    <x v="5"/>
    <s v="Orange Choco"/>
    <d v="2024-01-14T00:00:00"/>
    <x v="2740"/>
    <x v="2740"/>
    <n v="426"/>
  </r>
  <r>
    <x v="17"/>
    <x v="1"/>
    <s v="Fruit &amp; Nut Bars"/>
    <d v="2024-07-29T00:00:00"/>
    <x v="2741"/>
    <x v="2741"/>
    <n v="23"/>
  </r>
  <r>
    <x v="6"/>
    <x v="5"/>
    <s v="Smooth Sliky Salty"/>
    <d v="2024-05-13T00:00:00"/>
    <x v="2742"/>
    <x v="2742"/>
    <n v="490"/>
  </r>
  <r>
    <x v="8"/>
    <x v="5"/>
    <s v="Baker's Choco Chips"/>
    <d v="2024-02-03T00:00:00"/>
    <x v="2743"/>
    <x v="2743"/>
    <n v="162"/>
  </r>
  <r>
    <x v="6"/>
    <x v="1"/>
    <s v="Smooth Sliky Salty"/>
    <d v="2024-05-27T00:00:00"/>
    <x v="2744"/>
    <x v="2744"/>
    <n v="28"/>
  </r>
  <r>
    <x v="3"/>
    <x v="2"/>
    <s v="Drinking Coco"/>
    <d v="2024-02-18T00:00:00"/>
    <x v="2745"/>
    <x v="2745"/>
    <n v="25"/>
  </r>
  <r>
    <x v="6"/>
    <x v="1"/>
    <s v="Spicy Special Slims"/>
    <d v="2024-01-28T00:00:00"/>
    <x v="2746"/>
    <x v="2746"/>
    <n v="35"/>
  </r>
  <r>
    <x v="1"/>
    <x v="0"/>
    <s v="Eclairs"/>
    <d v="2024-06-29T00:00:00"/>
    <x v="2747"/>
    <x v="2747"/>
    <n v="114"/>
  </r>
  <r>
    <x v="18"/>
    <x v="1"/>
    <s v="Caramel Stuffed Bars"/>
    <d v="2024-01-13T00:00:00"/>
    <x v="2748"/>
    <x v="2748"/>
    <n v="274"/>
  </r>
  <r>
    <x v="0"/>
    <x v="0"/>
    <s v="After Nines"/>
    <d v="2024-06-27T00:00:00"/>
    <x v="2749"/>
    <x v="2749"/>
    <n v="172"/>
  </r>
  <r>
    <x v="8"/>
    <x v="5"/>
    <s v="White Choc"/>
    <d v="2024-03-29T00:00:00"/>
    <x v="2750"/>
    <x v="2750"/>
    <n v="1"/>
  </r>
  <r>
    <x v="5"/>
    <x v="1"/>
    <s v="Organic Choco Syrup"/>
    <d v="2024-06-03T00:00:00"/>
    <x v="2751"/>
    <x v="2751"/>
    <n v="162"/>
  </r>
  <r>
    <x v="9"/>
    <x v="5"/>
    <s v="Smooth Sliky Salty"/>
    <d v="2024-03-21T00:00:00"/>
    <x v="2752"/>
    <x v="2752"/>
    <n v="97"/>
  </r>
  <r>
    <x v="9"/>
    <x v="1"/>
    <s v="Eclairs"/>
    <d v="2024-04-12T00:00:00"/>
    <x v="2753"/>
    <x v="2753"/>
    <n v="48"/>
  </r>
  <r>
    <x v="7"/>
    <x v="2"/>
    <s v="Raspberry Choco"/>
    <d v="2024-01-19T00:00:00"/>
    <x v="2754"/>
    <x v="2754"/>
    <n v="266"/>
  </r>
  <r>
    <x v="10"/>
    <x v="0"/>
    <s v="50% Dark Bites"/>
    <d v="2024-04-06T00:00:00"/>
    <x v="2755"/>
    <x v="2755"/>
    <n v="303"/>
  </r>
  <r>
    <x v="16"/>
    <x v="2"/>
    <s v="50% Dark Bites"/>
    <d v="2024-08-02T00:00:00"/>
    <x v="2756"/>
    <x v="2756"/>
    <n v="84"/>
  </r>
  <r>
    <x v="2"/>
    <x v="2"/>
    <s v="Eclairs"/>
    <d v="2024-04-12T00:00:00"/>
    <x v="2757"/>
    <x v="2757"/>
    <n v="137"/>
  </r>
  <r>
    <x v="4"/>
    <x v="1"/>
    <s v="Drinking Coco"/>
    <d v="2024-07-21T00:00:00"/>
    <x v="2758"/>
    <x v="2758"/>
    <n v="141"/>
  </r>
  <r>
    <x v="1"/>
    <x v="3"/>
    <s v="Baker's Choco Chips"/>
    <d v="2024-03-22T00:00:00"/>
    <x v="2759"/>
    <x v="2759"/>
    <n v="24"/>
  </r>
  <r>
    <x v="15"/>
    <x v="1"/>
    <s v="Peanut Butter Cubes"/>
    <d v="2024-05-09T00:00:00"/>
    <x v="2760"/>
    <x v="2760"/>
    <n v="5"/>
  </r>
  <r>
    <x v="19"/>
    <x v="2"/>
    <s v="Baker's Choco Chips"/>
    <d v="2024-08-09T00:00:00"/>
    <x v="2761"/>
    <x v="2761"/>
    <n v="117"/>
  </r>
  <r>
    <x v="22"/>
    <x v="5"/>
    <s v="Choco Coated Almonds"/>
    <d v="2024-07-20T00:00:00"/>
    <x v="2762"/>
    <x v="2762"/>
    <n v="300"/>
  </r>
  <r>
    <x v="6"/>
    <x v="1"/>
    <s v="70% Dark Bites"/>
    <d v="2024-04-14T00:00:00"/>
    <x v="2763"/>
    <x v="2763"/>
    <n v="435"/>
  </r>
  <r>
    <x v="0"/>
    <x v="5"/>
    <s v="White Choc"/>
    <d v="2024-01-25T00:00:00"/>
    <x v="2764"/>
    <x v="2764"/>
    <n v="142"/>
  </r>
  <r>
    <x v="19"/>
    <x v="2"/>
    <s v="Almond Choco"/>
    <d v="2024-04-25T00:00:00"/>
    <x v="2765"/>
    <x v="2765"/>
    <n v="168"/>
  </r>
  <r>
    <x v="23"/>
    <x v="5"/>
    <s v="After Nines"/>
    <d v="2024-01-17T00:00:00"/>
    <x v="2766"/>
    <x v="2766"/>
    <n v="233"/>
  </r>
  <r>
    <x v="10"/>
    <x v="4"/>
    <s v="Eclairs"/>
    <d v="2024-08-15T00:00:00"/>
    <x v="2767"/>
    <x v="2767"/>
    <n v="123"/>
  </r>
  <r>
    <x v="10"/>
    <x v="5"/>
    <s v="Fruit &amp; Nut Bars"/>
    <d v="2024-06-02T00:00:00"/>
    <x v="2768"/>
    <x v="2768"/>
    <n v="17"/>
  </r>
  <r>
    <x v="5"/>
    <x v="4"/>
    <s v="85% Dark Bars"/>
    <d v="2024-06-30T00:00:00"/>
    <x v="2769"/>
    <x v="2769"/>
    <n v="138"/>
  </r>
  <r>
    <x v="23"/>
    <x v="3"/>
    <s v="Raspberry Choco"/>
    <d v="2024-02-10T00:00:00"/>
    <x v="2770"/>
    <x v="2770"/>
    <n v="88"/>
  </r>
  <r>
    <x v="11"/>
    <x v="5"/>
    <s v="Caramel Stuffed Bars"/>
    <d v="2024-02-23T00:00:00"/>
    <x v="2771"/>
    <x v="2771"/>
    <n v="674"/>
  </r>
  <r>
    <x v="17"/>
    <x v="1"/>
    <s v="Organic Choco Syrup"/>
    <d v="2024-01-27T00:00:00"/>
    <x v="2772"/>
    <x v="2772"/>
    <n v="225"/>
  </r>
  <r>
    <x v="21"/>
    <x v="0"/>
    <s v="Mint Chip Choco"/>
    <d v="2024-05-26T00:00:00"/>
    <x v="2773"/>
    <x v="2773"/>
    <n v="325"/>
  </r>
  <r>
    <x v="6"/>
    <x v="4"/>
    <s v="70% Dark Bites"/>
    <d v="2024-04-14T00:00:00"/>
    <x v="2774"/>
    <x v="2774"/>
    <n v="22"/>
  </r>
  <r>
    <x v="22"/>
    <x v="2"/>
    <s v="99% Dark &amp; Pure"/>
    <d v="2024-08-01T00:00:00"/>
    <x v="2775"/>
    <x v="2775"/>
    <n v="163"/>
  </r>
  <r>
    <x v="9"/>
    <x v="2"/>
    <s v="Eclairs"/>
    <d v="2024-08-22T00:00:00"/>
    <x v="2776"/>
    <x v="2776"/>
    <n v="219"/>
  </r>
  <r>
    <x v="11"/>
    <x v="1"/>
    <s v="99% Dark &amp; Pure"/>
    <d v="2024-07-22T00:00:00"/>
    <x v="2777"/>
    <x v="2777"/>
    <n v="161"/>
  </r>
  <r>
    <x v="15"/>
    <x v="4"/>
    <s v="Fruit &amp; Nut Bars"/>
    <d v="2024-04-28T00:00:00"/>
    <x v="2778"/>
    <x v="2778"/>
    <n v="28"/>
  </r>
  <r>
    <x v="20"/>
    <x v="2"/>
    <s v="Almond Choco"/>
    <d v="2024-05-30T00:00:00"/>
    <x v="2779"/>
    <x v="2779"/>
    <n v="354"/>
  </r>
  <r>
    <x v="24"/>
    <x v="4"/>
    <s v="Milk Bars"/>
    <d v="2024-07-21T00:00:00"/>
    <x v="2780"/>
    <x v="2780"/>
    <n v="159"/>
  </r>
  <r>
    <x v="3"/>
    <x v="0"/>
    <s v="Caramel Stuffed Bars"/>
    <d v="2024-08-02T00:00:00"/>
    <x v="2781"/>
    <x v="2781"/>
    <n v="494"/>
  </r>
  <r>
    <x v="6"/>
    <x v="3"/>
    <s v="70% Dark Bites"/>
    <d v="2024-06-15T00:00:00"/>
    <x v="2782"/>
    <x v="2782"/>
    <n v="139"/>
  </r>
  <r>
    <x v="4"/>
    <x v="1"/>
    <s v="85% Dark Bars"/>
    <d v="2024-07-05T00:00:00"/>
    <x v="2783"/>
    <x v="2783"/>
    <n v="130"/>
  </r>
  <r>
    <x v="16"/>
    <x v="3"/>
    <s v="Smooth Sliky Salty"/>
    <d v="2024-04-12T00:00:00"/>
    <x v="2784"/>
    <x v="2784"/>
    <n v="548"/>
  </r>
  <r>
    <x v="2"/>
    <x v="2"/>
    <s v="70% Dark Bites"/>
    <d v="2024-08-18T00:00:00"/>
    <x v="2785"/>
    <x v="2785"/>
    <n v="103"/>
  </r>
  <r>
    <x v="3"/>
    <x v="0"/>
    <s v="50% Dark Bites"/>
    <d v="2024-01-12T00:00:00"/>
    <x v="2786"/>
    <x v="2786"/>
    <n v="287"/>
  </r>
  <r>
    <x v="5"/>
    <x v="5"/>
    <s v="White Choc"/>
    <d v="2024-08-11T00:00:00"/>
    <x v="2787"/>
    <x v="2787"/>
    <n v="15"/>
  </r>
  <r>
    <x v="0"/>
    <x v="2"/>
    <s v="Spicy Special Slims"/>
    <d v="2024-01-13T00:00:00"/>
    <x v="2788"/>
    <x v="2788"/>
    <n v="372"/>
  </r>
  <r>
    <x v="15"/>
    <x v="0"/>
    <s v="Baker's Choco Chips"/>
    <d v="2024-04-29T00:00:00"/>
    <x v="2789"/>
    <x v="2789"/>
    <n v="133"/>
  </r>
  <r>
    <x v="7"/>
    <x v="3"/>
    <s v="After Nines"/>
    <d v="2024-07-07T00:00:00"/>
    <x v="2790"/>
    <x v="2790"/>
    <n v="90"/>
  </r>
  <r>
    <x v="22"/>
    <x v="3"/>
    <s v="Mint Chip Choco"/>
    <d v="2024-03-11T00:00:00"/>
    <x v="2791"/>
    <x v="2791"/>
    <n v="4"/>
  </r>
  <r>
    <x v="22"/>
    <x v="0"/>
    <s v="70% Dark Bites"/>
    <d v="2024-02-16T00:00:00"/>
    <x v="2792"/>
    <x v="2792"/>
    <n v="243"/>
  </r>
  <r>
    <x v="8"/>
    <x v="2"/>
    <s v="Organic Choco Syrup"/>
    <d v="2024-01-07T00:00:00"/>
    <x v="2793"/>
    <x v="2793"/>
    <n v="34"/>
  </r>
  <r>
    <x v="12"/>
    <x v="3"/>
    <s v="Drinking Coco"/>
    <d v="2024-01-12T00:00:00"/>
    <x v="2794"/>
    <x v="2794"/>
    <n v="560"/>
  </r>
  <r>
    <x v="12"/>
    <x v="1"/>
    <s v="Eclairs"/>
    <d v="2024-06-09T00:00:00"/>
    <x v="2795"/>
    <x v="2795"/>
    <n v="155"/>
  </r>
  <r>
    <x v="19"/>
    <x v="1"/>
    <s v="Eclairs"/>
    <d v="2024-05-16T00:00:00"/>
    <x v="2796"/>
    <x v="2796"/>
    <n v="82"/>
  </r>
  <r>
    <x v="2"/>
    <x v="0"/>
    <s v="85% Dark Bars"/>
    <d v="2024-06-23T00:00:00"/>
    <x v="2797"/>
    <x v="2797"/>
    <n v="90"/>
  </r>
  <r>
    <x v="13"/>
    <x v="0"/>
    <s v="Raspberry Choco"/>
    <d v="2024-01-28T00:00:00"/>
    <x v="2798"/>
    <x v="2798"/>
    <n v="211"/>
  </r>
  <r>
    <x v="23"/>
    <x v="0"/>
    <s v="Mint Chip Choco"/>
    <d v="2024-07-14T00:00:00"/>
    <x v="2799"/>
    <x v="2799"/>
    <n v="212"/>
  </r>
  <r>
    <x v="8"/>
    <x v="5"/>
    <s v="Drinking Coco"/>
    <d v="2024-04-18T00:00:00"/>
    <x v="2800"/>
    <x v="2800"/>
    <n v="259"/>
  </r>
  <r>
    <x v="4"/>
    <x v="4"/>
    <s v="Milk Bars"/>
    <d v="2024-06-14T00:00:00"/>
    <x v="2801"/>
    <x v="2801"/>
    <n v="79"/>
  </r>
  <r>
    <x v="4"/>
    <x v="0"/>
    <s v="Orange Choco"/>
    <d v="2024-04-15T00:00:00"/>
    <x v="2802"/>
    <x v="2802"/>
    <n v="228"/>
  </r>
  <r>
    <x v="14"/>
    <x v="5"/>
    <s v="Peanut Butter Cubes"/>
    <d v="2024-05-19T00:00:00"/>
    <x v="2803"/>
    <x v="2803"/>
    <n v="64"/>
  </r>
  <r>
    <x v="2"/>
    <x v="1"/>
    <s v="White Choc"/>
    <d v="2024-04-13T00:00:00"/>
    <x v="2804"/>
    <x v="2804"/>
    <n v="179"/>
  </r>
  <r>
    <x v="15"/>
    <x v="5"/>
    <s v="Choco Coated Almonds"/>
    <d v="2024-08-15T00:00:00"/>
    <x v="2805"/>
    <x v="2805"/>
    <n v="411"/>
  </r>
  <r>
    <x v="18"/>
    <x v="1"/>
    <s v="Choco Coated Almonds"/>
    <d v="2024-08-22T00:00:00"/>
    <x v="2806"/>
    <x v="2806"/>
    <n v="230"/>
  </r>
  <r>
    <x v="18"/>
    <x v="3"/>
    <s v="Baker's Choco Chips"/>
    <d v="2024-04-22T00:00:00"/>
    <x v="2807"/>
    <x v="2807"/>
    <n v="58"/>
  </r>
  <r>
    <x v="16"/>
    <x v="0"/>
    <s v="Choco Coated Almonds"/>
    <d v="2024-08-03T00:00:00"/>
    <x v="2808"/>
    <x v="2808"/>
    <n v="123"/>
  </r>
  <r>
    <x v="17"/>
    <x v="3"/>
    <s v="Organic Choco Syrup"/>
    <d v="2024-01-04T00:00:00"/>
    <x v="2809"/>
    <x v="2809"/>
    <n v="249"/>
  </r>
  <r>
    <x v="20"/>
    <x v="5"/>
    <s v="After Nines"/>
    <d v="2024-01-13T00:00:00"/>
    <x v="2810"/>
    <x v="2810"/>
    <n v="204"/>
  </r>
  <r>
    <x v="1"/>
    <x v="2"/>
    <s v="Baker's Choco Chips"/>
    <d v="2024-05-11T00:00:00"/>
    <x v="2811"/>
    <x v="2811"/>
    <n v="32"/>
  </r>
  <r>
    <x v="15"/>
    <x v="3"/>
    <s v="Peanut Butter Cubes"/>
    <d v="2024-02-16T00:00:00"/>
    <x v="2812"/>
    <x v="2812"/>
    <n v="231"/>
  </r>
  <r>
    <x v="16"/>
    <x v="0"/>
    <s v="Caramel Stuffed Bars"/>
    <d v="2024-05-20T00:00:00"/>
    <x v="2813"/>
    <x v="2813"/>
    <n v="72"/>
  </r>
  <r>
    <x v="0"/>
    <x v="0"/>
    <s v="Drinking Coco"/>
    <d v="2024-02-03T00:00:00"/>
    <x v="2814"/>
    <x v="2814"/>
    <n v="436"/>
  </r>
  <r>
    <x v="12"/>
    <x v="1"/>
    <s v="Manuka Honey Choco"/>
    <d v="2024-05-06T00:00:00"/>
    <x v="2815"/>
    <x v="2815"/>
    <n v="172"/>
  </r>
  <r>
    <x v="5"/>
    <x v="0"/>
    <s v="Choco Coated Almonds"/>
    <d v="2024-06-30T00:00:00"/>
    <x v="2816"/>
    <x v="2816"/>
    <n v="132"/>
  </r>
  <r>
    <x v="5"/>
    <x v="0"/>
    <s v="Smooth Sliky Salty"/>
    <d v="2024-03-22T00:00:00"/>
    <x v="2817"/>
    <x v="2817"/>
    <n v="143"/>
  </r>
  <r>
    <x v="21"/>
    <x v="5"/>
    <s v="Orange Choco"/>
    <d v="2024-02-17T00:00:00"/>
    <x v="2818"/>
    <x v="2818"/>
    <n v="58"/>
  </r>
  <r>
    <x v="0"/>
    <x v="0"/>
    <s v="85% Dark Bars"/>
    <d v="2024-07-07T00:00:00"/>
    <x v="2819"/>
    <x v="2819"/>
    <n v="66"/>
  </r>
  <r>
    <x v="4"/>
    <x v="0"/>
    <s v="70% Dark Bites"/>
    <d v="2024-03-16T00:00:00"/>
    <x v="2820"/>
    <x v="2820"/>
    <n v="180"/>
  </r>
  <r>
    <x v="20"/>
    <x v="0"/>
    <s v="99% Dark &amp; Pure"/>
    <d v="2024-08-12T00:00:00"/>
    <x v="2821"/>
    <x v="2821"/>
    <n v="124"/>
  </r>
  <r>
    <x v="2"/>
    <x v="3"/>
    <s v="After Nines"/>
    <d v="2024-01-21T00:00:00"/>
    <x v="2822"/>
    <x v="2822"/>
    <n v="189"/>
  </r>
  <r>
    <x v="4"/>
    <x v="2"/>
    <s v="50% Dark Bites"/>
    <d v="2024-05-06T00:00:00"/>
    <x v="2823"/>
    <x v="2823"/>
    <n v="163"/>
  </r>
  <r>
    <x v="4"/>
    <x v="5"/>
    <s v="50% Dark Bites"/>
    <d v="2024-06-24T00:00:00"/>
    <x v="2824"/>
    <x v="2824"/>
    <n v="134"/>
  </r>
  <r>
    <x v="8"/>
    <x v="4"/>
    <s v="White Choc"/>
    <d v="2024-05-05T00:00:00"/>
    <x v="2825"/>
    <x v="2825"/>
    <n v="171"/>
  </r>
  <r>
    <x v="7"/>
    <x v="3"/>
    <s v="99% Dark &amp; Pure"/>
    <d v="2024-03-25T00:00:00"/>
    <x v="2826"/>
    <x v="2826"/>
    <n v="85"/>
  </r>
  <r>
    <x v="14"/>
    <x v="2"/>
    <s v="Caramel Stuffed Bars"/>
    <d v="2024-02-14T00:00:00"/>
    <x v="2827"/>
    <x v="2827"/>
    <n v="139"/>
  </r>
  <r>
    <x v="14"/>
    <x v="3"/>
    <s v="85% Dark Bars"/>
    <d v="2024-05-12T00:00:00"/>
    <x v="2828"/>
    <x v="2828"/>
    <n v="206"/>
  </r>
  <r>
    <x v="8"/>
    <x v="3"/>
    <s v="Smooth Sliky Salty"/>
    <d v="2024-01-25T00:00:00"/>
    <x v="2829"/>
    <x v="2829"/>
    <n v="184"/>
  </r>
  <r>
    <x v="24"/>
    <x v="0"/>
    <s v="85% Dark Bars"/>
    <d v="2024-06-28T00:00:00"/>
    <x v="2830"/>
    <x v="2830"/>
    <n v="13"/>
  </r>
  <r>
    <x v="17"/>
    <x v="2"/>
    <s v="Drinking Coco"/>
    <d v="2024-07-13T00:00:00"/>
    <x v="2831"/>
    <x v="2831"/>
    <n v="184"/>
  </r>
  <r>
    <x v="13"/>
    <x v="4"/>
    <s v="Milk Bars"/>
    <d v="2024-05-16T00:00:00"/>
    <x v="2832"/>
    <x v="2832"/>
    <n v="245"/>
  </r>
  <r>
    <x v="3"/>
    <x v="1"/>
    <s v="After Nines"/>
    <d v="2024-03-14T00:00:00"/>
    <x v="2833"/>
    <x v="2833"/>
    <n v="177"/>
  </r>
  <r>
    <x v="5"/>
    <x v="4"/>
    <s v="After Nines"/>
    <d v="2024-08-15T00:00:00"/>
    <x v="2834"/>
    <x v="2834"/>
    <n v="280"/>
  </r>
  <r>
    <x v="24"/>
    <x v="1"/>
    <s v="Orange Choco"/>
    <d v="2024-02-16T00:00:00"/>
    <x v="2835"/>
    <x v="2835"/>
    <n v="278"/>
  </r>
  <r>
    <x v="9"/>
    <x v="0"/>
    <s v="Manuka Honey Choco"/>
    <d v="2024-06-15T00:00:00"/>
    <x v="2836"/>
    <x v="2836"/>
    <n v="43"/>
  </r>
  <r>
    <x v="8"/>
    <x v="2"/>
    <s v="Raspberry Choco"/>
    <d v="2024-05-27T00:00:00"/>
    <x v="2837"/>
    <x v="2837"/>
    <n v="105"/>
  </r>
  <r>
    <x v="18"/>
    <x v="4"/>
    <s v="Drinking Coco"/>
    <d v="2024-06-14T00:00:00"/>
    <x v="2838"/>
    <x v="2838"/>
    <n v="101"/>
  </r>
  <r>
    <x v="18"/>
    <x v="1"/>
    <s v="Eclairs"/>
    <d v="2024-02-25T00:00:00"/>
    <x v="2839"/>
    <x v="2839"/>
    <n v="80"/>
  </r>
  <r>
    <x v="18"/>
    <x v="1"/>
    <s v="After Nines"/>
    <d v="2024-08-04T00:00:00"/>
    <x v="2840"/>
    <x v="2840"/>
    <n v="270"/>
  </r>
  <r>
    <x v="20"/>
    <x v="1"/>
    <s v="99% Dark &amp; Pure"/>
    <d v="2024-06-28T00:00:00"/>
    <x v="2841"/>
    <x v="2841"/>
    <n v="248"/>
  </r>
  <r>
    <x v="5"/>
    <x v="5"/>
    <s v="Spicy Special Slims"/>
    <d v="2024-04-05T00:00:00"/>
    <x v="2842"/>
    <x v="2842"/>
    <n v="12"/>
  </r>
  <r>
    <x v="22"/>
    <x v="5"/>
    <s v="Peanut Butter Cubes"/>
    <d v="2024-07-05T00:00:00"/>
    <x v="2843"/>
    <x v="2843"/>
    <n v="120"/>
  </r>
  <r>
    <x v="16"/>
    <x v="3"/>
    <s v="Eclairs"/>
    <d v="2024-01-20T00:00:00"/>
    <x v="2844"/>
    <x v="2844"/>
    <n v="48"/>
  </r>
  <r>
    <x v="24"/>
    <x v="3"/>
    <s v="Drinking Coco"/>
    <d v="2024-02-16T00:00:00"/>
    <x v="2845"/>
    <x v="2845"/>
    <n v="144"/>
  </r>
  <r>
    <x v="14"/>
    <x v="0"/>
    <s v="Drinking Coco"/>
    <d v="2024-07-12T00:00:00"/>
    <x v="2846"/>
    <x v="2846"/>
    <n v="186"/>
  </r>
  <r>
    <x v="20"/>
    <x v="1"/>
    <s v="Raspberry Choco"/>
    <d v="2024-06-16T00:00:00"/>
    <x v="2847"/>
    <x v="2847"/>
    <n v="253"/>
  </r>
  <r>
    <x v="23"/>
    <x v="2"/>
    <s v="Choco Coated Almonds"/>
    <d v="2024-04-13T00:00:00"/>
    <x v="2848"/>
    <x v="2848"/>
    <n v="293"/>
  </r>
  <r>
    <x v="16"/>
    <x v="0"/>
    <s v="50% Dark Bites"/>
    <d v="2024-02-21T00:00:00"/>
    <x v="2849"/>
    <x v="2849"/>
    <n v="69"/>
  </r>
  <r>
    <x v="13"/>
    <x v="5"/>
    <s v="Choco Coated Almonds"/>
    <d v="2024-05-11T00:00:00"/>
    <x v="2850"/>
    <x v="2850"/>
    <n v="237"/>
  </r>
  <r>
    <x v="24"/>
    <x v="1"/>
    <s v="50% Dark Bites"/>
    <d v="2024-04-15T00:00:00"/>
    <x v="2851"/>
    <x v="2851"/>
    <n v="328"/>
  </r>
  <r>
    <x v="4"/>
    <x v="5"/>
    <s v="Peanut Butter Cubes"/>
    <d v="2024-06-07T00:00:00"/>
    <x v="2852"/>
    <x v="2852"/>
    <n v="179"/>
  </r>
  <r>
    <x v="4"/>
    <x v="0"/>
    <s v="White Choc"/>
    <d v="2024-06-27T00:00:00"/>
    <x v="2853"/>
    <x v="2853"/>
    <n v="303"/>
  </r>
  <r>
    <x v="8"/>
    <x v="1"/>
    <s v="After Nines"/>
    <d v="2024-07-29T00:00:00"/>
    <x v="2854"/>
    <x v="2854"/>
    <n v="117"/>
  </r>
  <r>
    <x v="18"/>
    <x v="5"/>
    <s v="Smooth Sliky Salty"/>
    <d v="2024-06-02T00:00:00"/>
    <x v="2855"/>
    <x v="2855"/>
    <n v="174"/>
  </r>
  <r>
    <x v="7"/>
    <x v="1"/>
    <s v="Mint Chip Choco"/>
    <d v="2024-01-26T00:00:00"/>
    <x v="2856"/>
    <x v="2856"/>
    <n v="84"/>
  </r>
  <r>
    <x v="7"/>
    <x v="5"/>
    <s v="99% Dark &amp; Pure"/>
    <d v="2024-03-02T00:00:00"/>
    <x v="2857"/>
    <x v="2857"/>
    <n v="139"/>
  </r>
  <r>
    <x v="1"/>
    <x v="2"/>
    <s v="70% Dark Bites"/>
    <d v="2024-01-10T00:00:00"/>
    <x v="2858"/>
    <x v="2858"/>
    <n v="108"/>
  </r>
  <r>
    <x v="12"/>
    <x v="4"/>
    <s v="70% Dark Bites"/>
    <d v="2024-06-27T00:00:00"/>
    <x v="2859"/>
    <x v="2859"/>
    <n v="110"/>
  </r>
  <r>
    <x v="8"/>
    <x v="5"/>
    <s v="Orange Choco"/>
    <d v="2024-06-30T00:00:00"/>
    <x v="2860"/>
    <x v="2860"/>
    <n v="18"/>
  </r>
  <r>
    <x v="13"/>
    <x v="2"/>
    <s v="85% Dark Bars"/>
    <d v="2024-07-08T00:00:00"/>
    <x v="2861"/>
    <x v="2861"/>
    <n v="78"/>
  </r>
  <r>
    <x v="4"/>
    <x v="1"/>
    <s v="Spicy Special Slims"/>
    <d v="2024-06-08T00:00:00"/>
    <x v="2862"/>
    <x v="2862"/>
    <n v="95"/>
  </r>
  <r>
    <x v="3"/>
    <x v="0"/>
    <s v="Manuka Honey Choco"/>
    <d v="2024-08-18T00:00:00"/>
    <x v="2863"/>
    <x v="2863"/>
    <n v="212"/>
  </r>
  <r>
    <x v="16"/>
    <x v="2"/>
    <s v="After Nines"/>
    <d v="2024-04-08T00:00:00"/>
    <x v="2864"/>
    <x v="2864"/>
    <n v="293"/>
  </r>
  <r>
    <x v="18"/>
    <x v="5"/>
    <s v="Fruit &amp; Nut Bars"/>
    <d v="2024-08-08T00:00:00"/>
    <x v="2865"/>
    <x v="2865"/>
    <n v="191"/>
  </r>
  <r>
    <x v="18"/>
    <x v="0"/>
    <s v="Milk Bars"/>
    <d v="2024-08-26T00:00:00"/>
    <x v="2866"/>
    <x v="2866"/>
    <n v="66"/>
  </r>
  <r>
    <x v="4"/>
    <x v="5"/>
    <s v="Fruit &amp; Nut Bars"/>
    <d v="2024-01-14T00:00:00"/>
    <x v="2867"/>
    <x v="2867"/>
    <n v="159"/>
  </r>
  <r>
    <x v="17"/>
    <x v="4"/>
    <s v="Baker's Choco Chips"/>
    <d v="2024-08-11T00:00:00"/>
    <x v="2868"/>
    <x v="2868"/>
    <n v="295"/>
  </r>
  <r>
    <x v="22"/>
    <x v="4"/>
    <s v="Almond Choco"/>
    <d v="2024-05-31T00:00:00"/>
    <x v="2869"/>
    <x v="2869"/>
    <n v="24"/>
  </r>
  <r>
    <x v="1"/>
    <x v="3"/>
    <s v="50% Dark Bites"/>
    <d v="2024-07-11T00:00:00"/>
    <x v="2870"/>
    <x v="2870"/>
    <n v="10"/>
  </r>
  <r>
    <x v="10"/>
    <x v="5"/>
    <s v="Caramel Stuffed Bars"/>
    <d v="2024-03-02T00:00:00"/>
    <x v="2871"/>
    <x v="2871"/>
    <n v="327"/>
  </r>
  <r>
    <x v="22"/>
    <x v="2"/>
    <s v="Raspberry Choco"/>
    <d v="2024-07-13T00:00:00"/>
    <x v="2872"/>
    <x v="2872"/>
    <n v="89"/>
  </r>
  <r>
    <x v="7"/>
    <x v="0"/>
    <s v="Spicy Special Slims"/>
    <d v="2024-08-03T00:00:00"/>
    <x v="2873"/>
    <x v="2873"/>
    <n v="132"/>
  </r>
  <r>
    <x v="14"/>
    <x v="0"/>
    <s v="Peanut Butter Cubes"/>
    <d v="2024-03-01T00:00:00"/>
    <x v="2874"/>
    <x v="2874"/>
    <n v="171"/>
  </r>
  <r>
    <x v="20"/>
    <x v="3"/>
    <s v="White Choc"/>
    <d v="2024-04-13T00:00:00"/>
    <x v="2875"/>
    <x v="2875"/>
    <n v="165"/>
  </r>
  <r>
    <x v="12"/>
    <x v="5"/>
    <s v="Fruit &amp; Nut Bars"/>
    <d v="2024-02-14T00:00:00"/>
    <x v="2876"/>
    <x v="2876"/>
    <n v="177"/>
  </r>
  <r>
    <x v="9"/>
    <x v="1"/>
    <s v="White Choc"/>
    <d v="2024-07-26T00:00:00"/>
    <x v="2877"/>
    <x v="2877"/>
    <n v="233"/>
  </r>
  <r>
    <x v="6"/>
    <x v="0"/>
    <s v="Drinking Coco"/>
    <d v="2024-01-27T00:00:00"/>
    <x v="2878"/>
    <x v="2878"/>
    <n v="143"/>
  </r>
  <r>
    <x v="0"/>
    <x v="1"/>
    <s v="Peanut Butter Cubes"/>
    <d v="2024-04-14T00:00:00"/>
    <x v="2879"/>
    <x v="2879"/>
    <n v="487"/>
  </r>
  <r>
    <x v="4"/>
    <x v="4"/>
    <s v="Almond Choco"/>
    <d v="2024-05-19T00:00:00"/>
    <x v="2880"/>
    <x v="2880"/>
    <n v="154"/>
  </r>
  <r>
    <x v="15"/>
    <x v="1"/>
    <s v="Eclairs"/>
    <d v="2024-02-09T00:00:00"/>
    <x v="2881"/>
    <x v="2881"/>
    <n v="62"/>
  </r>
  <r>
    <x v="6"/>
    <x v="0"/>
    <s v="Spicy Special Slims"/>
    <d v="2024-05-25T00:00:00"/>
    <x v="2882"/>
    <x v="2882"/>
    <n v="59"/>
  </r>
  <r>
    <x v="4"/>
    <x v="2"/>
    <s v="Manuka Honey Choco"/>
    <d v="2024-01-26T00:00:00"/>
    <x v="2883"/>
    <x v="2883"/>
    <n v="78"/>
  </r>
  <r>
    <x v="12"/>
    <x v="1"/>
    <s v="White Choc"/>
    <d v="2024-07-04T00:00:00"/>
    <x v="2884"/>
    <x v="2884"/>
    <n v="297"/>
  </r>
  <r>
    <x v="24"/>
    <x v="1"/>
    <s v="Almond Choco"/>
    <d v="2024-04-13T00:00:00"/>
    <x v="2885"/>
    <x v="2885"/>
    <n v="72"/>
  </r>
  <r>
    <x v="2"/>
    <x v="2"/>
    <s v="Smooth Sliky Salty"/>
    <d v="2024-01-25T00:00:00"/>
    <x v="2886"/>
    <x v="2886"/>
    <n v="121"/>
  </r>
  <r>
    <x v="21"/>
    <x v="4"/>
    <s v="85% Dark Bars"/>
    <d v="2024-04-25T00:00:00"/>
    <x v="2887"/>
    <x v="2887"/>
    <n v="83"/>
  </r>
  <r>
    <x v="21"/>
    <x v="4"/>
    <s v="Eclairs"/>
    <d v="2024-06-10T00:00:00"/>
    <x v="2888"/>
    <x v="2888"/>
    <n v="427"/>
  </r>
  <r>
    <x v="22"/>
    <x v="3"/>
    <s v="White Choc"/>
    <d v="2024-08-22T00:00:00"/>
    <x v="2889"/>
    <x v="2889"/>
    <n v="51"/>
  </r>
  <r>
    <x v="1"/>
    <x v="1"/>
    <s v="After Nines"/>
    <d v="2024-06-27T00:00:00"/>
    <x v="2890"/>
    <x v="2890"/>
    <n v="225"/>
  </r>
  <r>
    <x v="15"/>
    <x v="1"/>
    <s v="Orange Choco"/>
    <d v="2024-06-30T00:00:00"/>
    <x v="2891"/>
    <x v="2891"/>
    <n v="38"/>
  </r>
  <r>
    <x v="0"/>
    <x v="1"/>
    <s v="Almond Choco"/>
    <d v="2024-08-30T00:00:00"/>
    <x v="2892"/>
    <x v="2892"/>
    <n v="101"/>
  </r>
  <r>
    <x v="10"/>
    <x v="2"/>
    <s v="Raspberry Choco"/>
    <d v="2024-08-23T00:00:00"/>
    <x v="2893"/>
    <x v="2893"/>
    <n v="58"/>
  </r>
  <r>
    <x v="21"/>
    <x v="3"/>
    <s v="99% Dark &amp; Pure"/>
    <d v="2024-08-26T00:00:00"/>
    <x v="2894"/>
    <x v="2894"/>
    <n v="44"/>
  </r>
  <r>
    <x v="2"/>
    <x v="2"/>
    <s v="Orange Choco"/>
    <d v="2024-03-09T00:00:00"/>
    <x v="2895"/>
    <x v="2895"/>
    <n v="158"/>
  </r>
  <r>
    <x v="20"/>
    <x v="0"/>
    <s v="Drinking Coco"/>
    <d v="2024-04-20T00:00:00"/>
    <x v="2896"/>
    <x v="2896"/>
    <n v="23"/>
  </r>
  <r>
    <x v="9"/>
    <x v="5"/>
    <s v="Caramel Stuffed Bars"/>
    <d v="2024-06-10T00:00:00"/>
    <x v="2897"/>
    <x v="2897"/>
    <n v="524"/>
  </r>
  <r>
    <x v="15"/>
    <x v="2"/>
    <s v="Organic Choco Syrup"/>
    <d v="2024-02-08T00:00:00"/>
    <x v="2898"/>
    <x v="2898"/>
    <n v="157"/>
  </r>
  <r>
    <x v="6"/>
    <x v="2"/>
    <s v="White Choc"/>
    <d v="2024-08-25T00:00:00"/>
    <x v="2899"/>
    <x v="2899"/>
    <n v="23"/>
  </r>
  <r>
    <x v="23"/>
    <x v="1"/>
    <s v="Peanut Butter Cubes"/>
    <d v="2024-02-16T00:00:00"/>
    <x v="2900"/>
    <x v="2900"/>
    <n v="78"/>
  </r>
  <r>
    <x v="17"/>
    <x v="0"/>
    <s v="99% Dark &amp; Pure"/>
    <d v="2024-05-30T00:00:00"/>
    <x v="2901"/>
    <x v="2901"/>
    <n v="26"/>
  </r>
  <r>
    <x v="2"/>
    <x v="3"/>
    <s v="50% Dark Bites"/>
    <d v="2024-06-29T00:00:00"/>
    <x v="2902"/>
    <x v="2902"/>
    <n v="67"/>
  </r>
  <r>
    <x v="2"/>
    <x v="4"/>
    <s v="Milk Bars"/>
    <d v="2024-06-16T00:00:00"/>
    <x v="2903"/>
    <x v="2903"/>
    <n v="127"/>
  </r>
  <r>
    <x v="6"/>
    <x v="0"/>
    <s v="Caramel Stuffed Bars"/>
    <d v="2024-03-04T00:00:00"/>
    <x v="2904"/>
    <x v="2904"/>
    <n v="159"/>
  </r>
  <r>
    <x v="14"/>
    <x v="3"/>
    <s v="Peanut Butter Cubes"/>
    <d v="2024-03-15T00:00:00"/>
    <x v="2905"/>
    <x v="2905"/>
    <n v="419"/>
  </r>
  <r>
    <x v="14"/>
    <x v="3"/>
    <s v="50% Dark Bites"/>
    <d v="2024-01-27T00:00:00"/>
    <x v="2906"/>
    <x v="2906"/>
    <n v="84"/>
  </r>
  <r>
    <x v="12"/>
    <x v="5"/>
    <s v="Drinking Coco"/>
    <d v="2024-07-05T00:00:00"/>
    <x v="2907"/>
    <x v="2907"/>
    <n v="124"/>
  </r>
  <r>
    <x v="8"/>
    <x v="4"/>
    <s v="Caramel Stuffed Bars"/>
    <d v="2024-03-29T00:00:00"/>
    <x v="2908"/>
    <x v="2908"/>
    <n v="287"/>
  </r>
  <r>
    <x v="9"/>
    <x v="5"/>
    <s v="Almond Choco"/>
    <d v="2024-05-12T00:00:00"/>
    <x v="2909"/>
    <x v="2909"/>
    <n v="33"/>
  </r>
  <r>
    <x v="4"/>
    <x v="4"/>
    <s v="Drinking Coco"/>
    <d v="2024-03-11T00:00:00"/>
    <x v="2910"/>
    <x v="2910"/>
    <n v="48"/>
  </r>
  <r>
    <x v="6"/>
    <x v="3"/>
    <s v="Eclairs"/>
    <d v="2024-07-11T00:00:00"/>
    <x v="2911"/>
    <x v="2911"/>
    <n v="323"/>
  </r>
  <r>
    <x v="5"/>
    <x v="3"/>
    <s v="Choco Coated Almonds"/>
    <d v="2024-08-01T00:00:00"/>
    <x v="2912"/>
    <x v="2912"/>
    <n v="61"/>
  </r>
  <r>
    <x v="5"/>
    <x v="0"/>
    <s v="Spicy Special Slims"/>
    <d v="2024-02-16T00:00:00"/>
    <x v="2913"/>
    <x v="2913"/>
    <n v="197"/>
  </r>
  <r>
    <x v="14"/>
    <x v="4"/>
    <s v="After Nines"/>
    <d v="2024-04-13T00:00:00"/>
    <x v="2914"/>
    <x v="2914"/>
    <n v="248"/>
  </r>
  <r>
    <x v="4"/>
    <x v="1"/>
    <s v="Choco Coated Almonds"/>
    <d v="2024-02-14T00:00:00"/>
    <x v="2915"/>
    <x v="2915"/>
    <n v="371"/>
  </r>
  <r>
    <x v="24"/>
    <x v="2"/>
    <s v="Peanut Butter Cubes"/>
    <d v="2024-03-14T00:00:00"/>
    <x v="2916"/>
    <x v="2916"/>
    <n v="68"/>
  </r>
  <r>
    <x v="4"/>
    <x v="2"/>
    <s v="Spicy Special Slims"/>
    <d v="2024-04-26T00:00:00"/>
    <x v="2917"/>
    <x v="2917"/>
    <n v="25"/>
  </r>
  <r>
    <x v="0"/>
    <x v="5"/>
    <s v="Manuka Honey Choco"/>
    <d v="2024-04-05T00:00:00"/>
    <x v="2918"/>
    <x v="2918"/>
    <n v="214"/>
  </r>
  <r>
    <x v="21"/>
    <x v="5"/>
    <s v="Drinking Coco"/>
    <d v="2024-03-03T00:00:00"/>
    <x v="2919"/>
    <x v="2919"/>
    <n v="253"/>
  </r>
  <r>
    <x v="16"/>
    <x v="4"/>
    <s v="Spicy Special Slims"/>
    <d v="2024-06-13T00:00:00"/>
    <x v="2920"/>
    <x v="2920"/>
    <n v="189"/>
  </r>
  <r>
    <x v="11"/>
    <x v="3"/>
    <s v="70% Dark Bites"/>
    <d v="2024-02-14T00:00:00"/>
    <x v="2921"/>
    <x v="2921"/>
    <n v="377"/>
  </r>
  <r>
    <x v="13"/>
    <x v="3"/>
    <s v="99% Dark &amp; Pure"/>
    <d v="2024-04-18T00:00:00"/>
    <x v="2922"/>
    <x v="2922"/>
    <n v="201"/>
  </r>
  <r>
    <x v="4"/>
    <x v="3"/>
    <s v="85% Dark Bars"/>
    <d v="2024-02-01T00:00:00"/>
    <x v="2923"/>
    <x v="2923"/>
    <n v="423"/>
  </r>
  <r>
    <x v="23"/>
    <x v="3"/>
    <s v="Orange Choco"/>
    <d v="2024-08-04T00:00:00"/>
    <x v="2924"/>
    <x v="2924"/>
    <n v="145"/>
  </r>
  <r>
    <x v="19"/>
    <x v="3"/>
    <s v="Almond Choco"/>
    <d v="2024-04-05T00:00:00"/>
    <x v="2925"/>
    <x v="2925"/>
    <n v="172"/>
  </r>
  <r>
    <x v="10"/>
    <x v="2"/>
    <s v="99% Dark &amp; Pure"/>
    <d v="2024-01-26T00:00:00"/>
    <x v="2926"/>
    <x v="2926"/>
    <n v="175"/>
  </r>
  <r>
    <x v="16"/>
    <x v="0"/>
    <s v="After Nines"/>
    <d v="2024-01-21T00:00:00"/>
    <x v="2927"/>
    <x v="2927"/>
    <n v="183"/>
  </r>
  <r>
    <x v="16"/>
    <x v="5"/>
    <s v="After Nines"/>
    <d v="2024-08-22T00:00:00"/>
    <x v="2928"/>
    <x v="2928"/>
    <n v="187"/>
  </r>
  <r>
    <x v="16"/>
    <x v="0"/>
    <s v="Drinking Coco"/>
    <d v="2024-01-27T00:00:00"/>
    <x v="2929"/>
    <x v="2929"/>
    <n v="226"/>
  </r>
  <r>
    <x v="7"/>
    <x v="0"/>
    <s v="50% Dark Bites"/>
    <d v="2024-02-16T00:00:00"/>
    <x v="2930"/>
    <x v="2930"/>
    <n v="71"/>
  </r>
  <r>
    <x v="23"/>
    <x v="4"/>
    <s v="Raspberry Choco"/>
    <d v="2024-01-03T00:00:00"/>
    <x v="2931"/>
    <x v="2931"/>
    <n v="49"/>
  </r>
  <r>
    <x v="10"/>
    <x v="4"/>
    <s v="White Choc"/>
    <d v="2024-08-24T00:00:00"/>
    <x v="2932"/>
    <x v="2932"/>
    <n v="2"/>
  </r>
  <r>
    <x v="4"/>
    <x v="4"/>
    <s v="Spicy Special Slims"/>
    <d v="2024-02-07T00:00:00"/>
    <x v="2933"/>
    <x v="2933"/>
    <n v="418"/>
  </r>
  <r>
    <x v="9"/>
    <x v="2"/>
    <s v="Smooth Sliky Salty"/>
    <d v="2024-02-11T00:00:00"/>
    <x v="2934"/>
    <x v="2934"/>
    <n v="107"/>
  </r>
  <r>
    <x v="16"/>
    <x v="5"/>
    <s v="Organic Choco Syrup"/>
    <d v="2024-03-29T00:00:00"/>
    <x v="2935"/>
    <x v="2935"/>
    <n v="82"/>
  </r>
  <r>
    <x v="11"/>
    <x v="4"/>
    <s v="Peanut Butter Cubes"/>
    <d v="2024-06-15T00:00:00"/>
    <x v="2936"/>
    <x v="2936"/>
    <n v="348"/>
  </r>
  <r>
    <x v="17"/>
    <x v="0"/>
    <s v="Smooth Sliky Salty"/>
    <d v="2024-04-26T00:00:00"/>
    <x v="2937"/>
    <x v="2937"/>
    <n v="136"/>
  </r>
  <r>
    <x v="6"/>
    <x v="2"/>
    <s v="Organic Choco Syrup"/>
    <d v="2024-07-15T00:00:00"/>
    <x v="2938"/>
    <x v="2938"/>
    <n v="281"/>
  </r>
  <r>
    <x v="12"/>
    <x v="1"/>
    <s v="Organic Choco Syrup"/>
    <d v="2024-06-23T00:00:00"/>
    <x v="2939"/>
    <x v="2939"/>
    <n v="19"/>
  </r>
  <r>
    <x v="17"/>
    <x v="2"/>
    <s v="Baker's Choco Chips"/>
    <d v="2024-01-11T00:00:00"/>
    <x v="2940"/>
    <x v="2940"/>
    <n v="425"/>
  </r>
  <r>
    <x v="12"/>
    <x v="0"/>
    <s v="50% Dark Bites"/>
    <d v="2024-02-09T00:00:00"/>
    <x v="2941"/>
    <x v="2941"/>
    <n v="289"/>
  </r>
  <r>
    <x v="1"/>
    <x v="0"/>
    <s v="Almond Choco"/>
    <d v="2024-06-06T00:00:00"/>
    <x v="2942"/>
    <x v="2942"/>
    <n v="222"/>
  </r>
  <r>
    <x v="23"/>
    <x v="0"/>
    <s v="Caramel Stuffed Bars"/>
    <d v="2024-08-10T00:00:00"/>
    <x v="2943"/>
    <x v="2943"/>
    <n v="244"/>
  </r>
  <r>
    <x v="18"/>
    <x v="2"/>
    <s v="Smooth Sliky Salty"/>
    <d v="2024-01-04T00:00:00"/>
    <x v="2944"/>
    <x v="2944"/>
    <n v="44"/>
  </r>
  <r>
    <x v="19"/>
    <x v="5"/>
    <s v="70% Dark Bites"/>
    <d v="2024-04-08T00:00:00"/>
    <x v="2945"/>
    <x v="2945"/>
    <n v="16"/>
  </r>
  <r>
    <x v="8"/>
    <x v="0"/>
    <s v="Milk Bars"/>
    <d v="2024-03-02T00:00:00"/>
    <x v="2946"/>
    <x v="2946"/>
    <n v="467"/>
  </r>
  <r>
    <x v="1"/>
    <x v="5"/>
    <s v="Drinking Coco"/>
    <d v="2024-06-15T00:00:00"/>
    <x v="2947"/>
    <x v="2947"/>
    <n v="679"/>
  </r>
  <r>
    <x v="0"/>
    <x v="2"/>
    <s v="After Nines"/>
    <d v="2024-02-14T00:00:00"/>
    <x v="2948"/>
    <x v="2948"/>
    <n v="46"/>
  </r>
  <r>
    <x v="15"/>
    <x v="0"/>
    <s v="After Nines"/>
    <d v="2024-07-05T00:00:00"/>
    <x v="2949"/>
    <x v="2949"/>
    <n v="392"/>
  </r>
  <r>
    <x v="8"/>
    <x v="1"/>
    <s v="Mint Chip Choco"/>
    <d v="2024-01-12T00:00:00"/>
    <x v="2950"/>
    <x v="2950"/>
    <n v="461"/>
  </r>
  <r>
    <x v="14"/>
    <x v="1"/>
    <s v="Mint Chip Choco"/>
    <d v="2024-03-03T00:00:00"/>
    <x v="2951"/>
    <x v="2951"/>
    <n v="100"/>
  </r>
  <r>
    <x v="0"/>
    <x v="3"/>
    <s v="Milk Bars"/>
    <d v="2024-05-18T00:00:00"/>
    <x v="2952"/>
    <x v="2952"/>
    <n v="197"/>
  </r>
  <r>
    <x v="5"/>
    <x v="1"/>
    <s v="Caramel Stuffed Bars"/>
    <d v="2024-07-28T00:00:00"/>
    <x v="2953"/>
    <x v="2953"/>
    <n v="220"/>
  </r>
  <r>
    <x v="14"/>
    <x v="0"/>
    <s v="Manuka Honey Choco"/>
    <d v="2024-02-07T00:00:00"/>
    <x v="2954"/>
    <x v="2954"/>
    <n v="114"/>
  </r>
  <r>
    <x v="19"/>
    <x v="1"/>
    <s v="Orange Choco"/>
    <d v="2024-05-30T00:00:00"/>
    <x v="2955"/>
    <x v="2955"/>
    <n v="452"/>
  </r>
  <r>
    <x v="9"/>
    <x v="2"/>
    <s v="Raspberry Choco"/>
    <d v="2024-04-25T00:00:00"/>
    <x v="2956"/>
    <x v="2956"/>
    <n v="29"/>
  </r>
  <r>
    <x v="12"/>
    <x v="5"/>
    <s v="85% Dark Bars"/>
    <d v="2024-02-16T00:00:00"/>
    <x v="2957"/>
    <x v="2957"/>
    <n v="46"/>
  </r>
  <r>
    <x v="20"/>
    <x v="2"/>
    <s v="Drinking Coco"/>
    <d v="2024-05-04T00:00:00"/>
    <x v="2958"/>
    <x v="2958"/>
    <n v="58"/>
  </r>
  <r>
    <x v="1"/>
    <x v="5"/>
    <s v="70% Dark Bites"/>
    <d v="2024-06-02T00:00:00"/>
    <x v="2959"/>
    <x v="2959"/>
    <n v="77"/>
  </r>
  <r>
    <x v="17"/>
    <x v="4"/>
    <s v="Caramel Stuffed Bars"/>
    <d v="2024-07-11T00:00:00"/>
    <x v="2960"/>
    <x v="2960"/>
    <n v="463"/>
  </r>
  <r>
    <x v="12"/>
    <x v="3"/>
    <s v="Spicy Special Slims"/>
    <d v="2024-06-07T00:00:00"/>
    <x v="2961"/>
    <x v="2961"/>
    <n v="63"/>
  </r>
  <r>
    <x v="3"/>
    <x v="0"/>
    <s v="Almond Choco"/>
    <d v="2024-07-06T00:00:00"/>
    <x v="2962"/>
    <x v="2962"/>
    <n v="151"/>
  </r>
  <r>
    <x v="15"/>
    <x v="1"/>
    <s v="Raspberry Choco"/>
    <d v="2024-06-15T00:00:00"/>
    <x v="2963"/>
    <x v="2963"/>
    <n v="153"/>
  </r>
  <r>
    <x v="23"/>
    <x v="1"/>
    <s v="Mint Chip Choco"/>
    <d v="2024-04-14T00:00:00"/>
    <x v="2964"/>
    <x v="2964"/>
    <n v="231"/>
  </r>
  <r>
    <x v="21"/>
    <x v="1"/>
    <s v="Drinking Coco"/>
    <d v="2024-08-08T00:00:00"/>
    <x v="2965"/>
    <x v="2965"/>
    <n v="167"/>
  </r>
  <r>
    <x v="11"/>
    <x v="0"/>
    <s v="Drinking Coco"/>
    <d v="2024-03-29T00:00:00"/>
    <x v="2966"/>
    <x v="2966"/>
    <n v="27"/>
  </r>
  <r>
    <x v="13"/>
    <x v="2"/>
    <s v="Organic Choco Syrup"/>
    <d v="2024-07-04T00:00:00"/>
    <x v="2967"/>
    <x v="2967"/>
    <n v="79"/>
  </r>
  <r>
    <x v="24"/>
    <x v="1"/>
    <s v="99% Dark &amp; Pure"/>
    <d v="2024-02-16T00:00:00"/>
    <x v="2968"/>
    <x v="2968"/>
    <n v="102"/>
  </r>
  <r>
    <x v="7"/>
    <x v="5"/>
    <s v="Spicy Special Slims"/>
    <d v="2024-05-02T00:00:00"/>
    <x v="2969"/>
    <x v="2969"/>
    <n v="164"/>
  </r>
  <r>
    <x v="1"/>
    <x v="1"/>
    <s v="Eclairs"/>
    <d v="2024-07-21T00:00:00"/>
    <x v="2970"/>
    <x v="2970"/>
    <n v="104"/>
  </r>
  <r>
    <x v="5"/>
    <x v="2"/>
    <s v="99% Dark &amp; Pure"/>
    <d v="2024-08-18T00:00:00"/>
    <x v="2971"/>
    <x v="2971"/>
    <n v="226"/>
  </r>
  <r>
    <x v="16"/>
    <x v="4"/>
    <s v="85% Dark Bars"/>
    <d v="2024-06-22T00:00:00"/>
    <x v="2972"/>
    <x v="2972"/>
    <n v="256"/>
  </r>
  <r>
    <x v="21"/>
    <x v="0"/>
    <s v="Peanut Butter Cubes"/>
    <d v="2024-07-19T00:00:00"/>
    <x v="2973"/>
    <x v="2973"/>
    <n v="120"/>
  </r>
  <r>
    <x v="22"/>
    <x v="0"/>
    <s v="Peanut Butter Cubes"/>
    <d v="2024-08-12T00:00:00"/>
    <x v="2974"/>
    <x v="2974"/>
    <n v="89"/>
  </r>
  <r>
    <x v="22"/>
    <x v="4"/>
    <s v="Choco Coated Almonds"/>
    <d v="2024-06-07T00:00:00"/>
    <x v="2975"/>
    <x v="2975"/>
    <n v="137"/>
  </r>
  <r>
    <x v="11"/>
    <x v="5"/>
    <s v="Peanut Butter Cubes"/>
    <d v="2024-03-08T00:00:00"/>
    <x v="2976"/>
    <x v="2976"/>
    <n v="87"/>
  </r>
  <r>
    <x v="24"/>
    <x v="2"/>
    <s v="Choco Coated Almonds"/>
    <d v="2024-04-08T00:00:00"/>
    <x v="2977"/>
    <x v="2977"/>
    <n v="176"/>
  </r>
  <r>
    <x v="14"/>
    <x v="5"/>
    <s v="Eclairs"/>
    <d v="2024-05-06T00:00:00"/>
    <x v="2978"/>
    <x v="2978"/>
    <n v="197"/>
  </r>
  <r>
    <x v="13"/>
    <x v="1"/>
    <s v="Drinking Coco"/>
    <d v="2024-05-31T00:00:00"/>
    <x v="2979"/>
    <x v="2979"/>
    <n v="11"/>
  </r>
  <r>
    <x v="1"/>
    <x v="2"/>
    <s v="Mint Chip Choco"/>
    <d v="2024-01-13T00:00:00"/>
    <x v="2980"/>
    <x v="2980"/>
    <n v="295"/>
  </r>
  <r>
    <x v="17"/>
    <x v="4"/>
    <s v="70% Dark Bites"/>
    <d v="2024-03-15T00:00:00"/>
    <x v="2981"/>
    <x v="2981"/>
    <n v="78"/>
  </r>
  <r>
    <x v="19"/>
    <x v="5"/>
    <s v="Peanut Butter Cubes"/>
    <d v="2024-02-16T00:00:00"/>
    <x v="2982"/>
    <x v="2982"/>
    <n v="332"/>
  </r>
  <r>
    <x v="2"/>
    <x v="4"/>
    <s v="70% Dark Bites"/>
    <d v="2024-01-14T00:00:00"/>
    <x v="2983"/>
    <x v="2983"/>
    <n v="204"/>
  </r>
  <r>
    <x v="7"/>
    <x v="2"/>
    <s v="White Choc"/>
    <d v="2024-03-21T00:00:00"/>
    <x v="2984"/>
    <x v="2984"/>
    <n v="102"/>
  </r>
  <r>
    <x v="13"/>
    <x v="5"/>
    <s v="Drinking Coco"/>
    <d v="2024-05-17T00:00:00"/>
    <x v="2985"/>
    <x v="2985"/>
    <n v="340"/>
  </r>
  <r>
    <x v="21"/>
    <x v="3"/>
    <s v="85% Dark Bars"/>
    <d v="2024-08-08T00:00:00"/>
    <x v="2986"/>
    <x v="2986"/>
    <n v="53"/>
  </r>
  <r>
    <x v="22"/>
    <x v="5"/>
    <s v="Milk Bars"/>
    <d v="2024-04-26T00:00:00"/>
    <x v="2987"/>
    <x v="2987"/>
    <n v="87"/>
  </r>
  <r>
    <x v="22"/>
    <x v="2"/>
    <s v="70% Dark Bites"/>
    <d v="2024-04-15T00:00:00"/>
    <x v="2988"/>
    <x v="2988"/>
    <n v="256"/>
  </r>
  <r>
    <x v="4"/>
    <x v="5"/>
    <s v="Eclairs"/>
    <d v="2024-05-19T00:00:00"/>
    <x v="2989"/>
    <x v="2989"/>
    <n v="621"/>
  </r>
  <r>
    <x v="17"/>
    <x v="5"/>
    <s v="Drinking Coco"/>
    <d v="2024-01-10T00:00:00"/>
    <x v="2990"/>
    <x v="2990"/>
    <n v="24"/>
  </r>
  <r>
    <x v="9"/>
    <x v="3"/>
    <s v="After Nines"/>
    <d v="2024-05-04T00:00:00"/>
    <x v="2991"/>
    <x v="2991"/>
    <n v="225"/>
  </r>
  <r>
    <x v="13"/>
    <x v="5"/>
    <s v="White Choc"/>
    <d v="2024-04-05T00:00:00"/>
    <x v="2992"/>
    <x v="2992"/>
    <n v="292"/>
  </r>
  <r>
    <x v="19"/>
    <x v="1"/>
    <s v="After Nines"/>
    <d v="2024-01-17T00:00:00"/>
    <x v="2993"/>
    <x v="2993"/>
    <n v="69"/>
  </r>
  <r>
    <x v="13"/>
    <x v="1"/>
    <s v="Spicy Special Slims"/>
    <d v="2024-03-22T00:00:00"/>
    <x v="2994"/>
    <x v="2994"/>
    <n v="180"/>
  </r>
  <r>
    <x v="23"/>
    <x v="2"/>
    <s v="White Choc"/>
    <d v="2024-07-05T00:00:00"/>
    <x v="2995"/>
    <x v="2995"/>
    <n v="102"/>
  </r>
  <r>
    <x v="4"/>
    <x v="5"/>
    <s v="Orange Choco"/>
    <d v="2024-04-27T00:00:00"/>
    <x v="2996"/>
    <x v="2996"/>
    <n v="328"/>
  </r>
  <r>
    <x v="16"/>
    <x v="5"/>
    <s v="Almond Choco"/>
    <d v="2024-08-12T00:00:00"/>
    <x v="2997"/>
    <x v="2997"/>
    <n v="71"/>
  </r>
  <r>
    <x v="3"/>
    <x v="0"/>
    <s v="Baker's Choco Chips"/>
    <d v="2024-03-11T00:00:00"/>
    <x v="2998"/>
    <x v="2998"/>
    <n v="273"/>
  </r>
  <r>
    <x v="0"/>
    <x v="0"/>
    <s v="Fruit &amp; Nut Bars"/>
    <d v="2024-05-13T00:00:00"/>
    <x v="2999"/>
    <x v="2999"/>
    <n v="221"/>
  </r>
  <r>
    <x v="17"/>
    <x v="4"/>
    <s v="Smooth Sliky Salty"/>
    <d v="2024-05-12T00:00:00"/>
    <x v="3000"/>
    <x v="3000"/>
    <n v="99"/>
  </r>
  <r>
    <x v="6"/>
    <x v="4"/>
    <s v="Raspberry Choco"/>
    <d v="2024-01-12T00:00:00"/>
    <x v="3001"/>
    <x v="3001"/>
    <n v="198"/>
  </r>
  <r>
    <x v="22"/>
    <x v="3"/>
    <s v="Milk Bars"/>
    <d v="2024-03-29T00:00:00"/>
    <x v="3002"/>
    <x v="3002"/>
    <n v="434"/>
  </r>
  <r>
    <x v="13"/>
    <x v="1"/>
    <s v="50% Dark Bites"/>
    <d v="2024-03-14T00:00:00"/>
    <x v="3003"/>
    <x v="3003"/>
    <n v="12"/>
  </r>
  <r>
    <x v="8"/>
    <x v="3"/>
    <s v="99% Dark &amp; Pure"/>
    <d v="2024-05-24T00:00:00"/>
    <x v="3004"/>
    <x v="3004"/>
    <n v="208"/>
  </r>
  <r>
    <x v="17"/>
    <x v="5"/>
    <s v="Organic Choco Syrup"/>
    <d v="2024-01-28T00:00:00"/>
    <x v="3005"/>
    <x v="3005"/>
    <n v="79"/>
  </r>
  <r>
    <x v="12"/>
    <x v="1"/>
    <s v="Almond Choco"/>
    <d v="2024-05-24T00:00:00"/>
    <x v="3006"/>
    <x v="3006"/>
    <n v="100"/>
  </r>
  <r>
    <x v="6"/>
    <x v="2"/>
    <s v="Peanut Butter Cubes"/>
    <d v="2024-08-19T00:00:00"/>
    <x v="3007"/>
    <x v="3007"/>
    <n v="196"/>
  </r>
  <r>
    <x v="10"/>
    <x v="2"/>
    <s v="Spicy Special Slims"/>
    <d v="2024-05-17T00:00:00"/>
    <x v="3008"/>
    <x v="3008"/>
    <n v="354"/>
  </r>
  <r>
    <x v="0"/>
    <x v="4"/>
    <s v="White Choc"/>
    <d v="2024-06-07T00:00:00"/>
    <x v="3009"/>
    <x v="3009"/>
    <n v="121"/>
  </r>
  <r>
    <x v="24"/>
    <x v="5"/>
    <s v="Organic Choco Syrup"/>
    <d v="2024-07-26T00:00:00"/>
    <x v="3010"/>
    <x v="3010"/>
    <n v="238"/>
  </r>
  <r>
    <x v="23"/>
    <x v="1"/>
    <s v="Eclairs"/>
    <d v="2024-07-28T00:00:00"/>
    <x v="3011"/>
    <x v="3011"/>
    <n v="397"/>
  </r>
  <r>
    <x v="10"/>
    <x v="1"/>
    <s v="70% Dark Bites"/>
    <d v="2024-05-23T00:00:00"/>
    <x v="3012"/>
    <x v="3012"/>
    <n v="3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A4134-00B3-4437-AB69-57A279B337E2}" name="PivotTable1" cacheId="27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5" firstHeaderRow="1" firstDataRow="1" firstDataCol="1"/>
  <pivotFields count="7">
    <pivotField axis="axisRow" compact="0" outline="0" showAll="0" sortType="descending">
      <items count="26">
        <item h="1" x="19"/>
        <item h="1" x="8"/>
        <item h="1" x="12"/>
        <item h="1" x="6"/>
        <item h="1" x="21"/>
        <item h="1" x="24"/>
        <item h="1" x="14"/>
        <item h="1" x="17"/>
        <item h="1" x="23"/>
        <item h="1" x="2"/>
        <item h="1" x="5"/>
        <item h="1" x="15"/>
        <item h="1" x="3"/>
        <item h="1" x="0"/>
        <item h="1" x="16"/>
        <item h="1" x="10"/>
        <item h="1" x="20"/>
        <item h="1" x="22"/>
        <item x="9"/>
        <item h="1" x="11"/>
        <item h="1" x="4"/>
        <item h="1" x="7"/>
        <item h="1" x="13"/>
        <item h="1" x="1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/>
    <pivotField compact="0" numFmtId="14" outline="0" showAll="0"/>
    <pivotField compact="0" outline="0" showAll="0" sortType="descending">
      <items count="3014">
        <item x="366"/>
        <item x="1675"/>
        <item x="2634"/>
        <item x="321"/>
        <item x="333"/>
        <item x="1244"/>
        <item x="800"/>
        <item x="900"/>
        <item x="2877"/>
        <item x="368"/>
        <item x="1806"/>
        <item x="1901"/>
        <item x="70"/>
        <item x="652"/>
        <item x="1163"/>
        <item x="517"/>
        <item x="2257"/>
        <item x="879"/>
        <item x="38"/>
        <item x="1058"/>
        <item x="949"/>
        <item x="2078"/>
        <item x="2043"/>
        <item x="504"/>
        <item x="49"/>
        <item x="984"/>
        <item x="2132"/>
        <item x="2475"/>
        <item x="465"/>
        <item x="2622"/>
        <item x="1402"/>
        <item x="176"/>
        <item x="3003"/>
        <item x="2364"/>
        <item x="1012"/>
        <item x="1060"/>
        <item x="797"/>
        <item x="1513"/>
        <item x="2783"/>
        <item x="1167"/>
        <item x="1527"/>
        <item x="1781"/>
        <item x="2495"/>
        <item x="586"/>
        <item x="1563"/>
        <item x="2062"/>
        <item x="302"/>
        <item x="2728"/>
        <item x="1014"/>
        <item x="2721"/>
        <item x="2836"/>
        <item x="1907"/>
        <item x="1581"/>
        <item x="699"/>
        <item x="2474"/>
        <item x="1667"/>
        <item x="2951"/>
        <item x="1745"/>
        <item x="1808"/>
        <item x="1542"/>
        <item x="845"/>
        <item x="490"/>
        <item x="1972"/>
        <item x="2204"/>
        <item x="2311"/>
        <item x="762"/>
        <item x="2678"/>
        <item x="1583"/>
        <item x="2772"/>
        <item x="636"/>
        <item x="1419"/>
        <item x="43"/>
        <item x="1381"/>
        <item x="463"/>
        <item x="2416"/>
        <item x="1095"/>
        <item x="76"/>
        <item x="1185"/>
        <item x="196"/>
        <item x="1270"/>
        <item x="2468"/>
        <item x="2423"/>
        <item x="596"/>
        <item x="2085"/>
        <item x="896"/>
        <item x="1285"/>
        <item x="33"/>
        <item x="1330"/>
        <item x="2261"/>
        <item x="2854"/>
        <item x="1147"/>
        <item x="479"/>
        <item x="1462"/>
        <item x="605"/>
        <item x="676"/>
        <item x="1529"/>
        <item x="565"/>
        <item x="26"/>
        <item x="1558"/>
        <item x="1864"/>
        <item x="2381"/>
        <item x="2539"/>
        <item x="2510"/>
        <item x="2153"/>
        <item x="2345"/>
        <item x="987"/>
        <item x="571"/>
        <item x="2682"/>
        <item x="2149"/>
        <item x="159"/>
        <item x="2999"/>
        <item x="2310"/>
        <item x="248"/>
        <item x="2590"/>
        <item x="2808"/>
        <item x="2595"/>
        <item x="105"/>
        <item x="2101"/>
        <item x="1571"/>
        <item x="2028"/>
        <item x="991"/>
        <item x="739"/>
        <item x="580"/>
        <item x="2427"/>
        <item x="955"/>
        <item x="1417"/>
        <item x="2562"/>
        <item x="170"/>
        <item x="2663"/>
        <item x="2004"/>
        <item x="1251"/>
        <item x="178"/>
        <item x="2910"/>
        <item x="1497"/>
        <item x="1912"/>
        <item x="138"/>
        <item x="64"/>
        <item x="714"/>
        <item x="2241"/>
        <item x="3005"/>
        <item x="2374"/>
        <item x="316"/>
        <item x="2196"/>
        <item x="2444"/>
        <item x="619"/>
        <item x="343"/>
        <item x="1753"/>
        <item x="2077"/>
        <item x="2673"/>
        <item x="1334"/>
        <item x="1664"/>
        <item x="1389"/>
        <item x="3004"/>
        <item x="2675"/>
        <item x="1343"/>
        <item x="2847"/>
        <item x="2392"/>
        <item x="707"/>
        <item x="1636"/>
        <item x="1055"/>
        <item x="757"/>
        <item x="585"/>
        <item x="2555"/>
        <item x="2688"/>
        <item x="1691"/>
        <item x="1469"/>
        <item x="157"/>
        <item x="2189"/>
        <item x="2818"/>
        <item x="66"/>
        <item x="2921"/>
        <item x="386"/>
        <item x="1762"/>
        <item x="301"/>
        <item x="2288"/>
        <item x="1922"/>
        <item x="1998"/>
        <item x="1535"/>
        <item x="2628"/>
        <item x="2450"/>
        <item x="293"/>
        <item x="1038"/>
        <item x="2689"/>
        <item x="1541"/>
        <item x="1603"/>
        <item x="1785"/>
        <item x="1382"/>
        <item x="670"/>
        <item x="2817"/>
        <item x="1725"/>
        <item x="2978"/>
        <item x="119"/>
        <item x="2695"/>
        <item x="1597"/>
        <item x="298"/>
        <item x="590"/>
        <item x="624"/>
        <item x="743"/>
        <item x="2823"/>
        <item x="2522"/>
        <item x="3001"/>
        <item x="1906"/>
        <item x="1618"/>
        <item x="1565"/>
        <item x="2491"/>
        <item x="1692"/>
        <item x="1398"/>
        <item x="662"/>
        <item x="2025"/>
        <item x="680"/>
        <item x="2694"/>
        <item x="1829"/>
        <item x="2126"/>
        <item x="1216"/>
        <item x="2594"/>
        <item x="1935"/>
        <item x="425"/>
        <item x="2255"/>
        <item x="2371"/>
        <item x="931"/>
        <item x="2671"/>
        <item x="1007"/>
        <item x="255"/>
        <item x="153"/>
        <item x="1904"/>
        <item x="2922"/>
        <item x="487"/>
        <item x="125"/>
        <item x="1059"/>
        <item x="2791"/>
        <item x="216"/>
        <item x="1395"/>
        <item x="2454"/>
        <item x="2971"/>
        <item x="1200"/>
        <item x="2128"/>
        <item x="2214"/>
        <item x="499"/>
        <item x="1375"/>
        <item x="1640"/>
        <item x="1361"/>
        <item x="1629"/>
        <item x="1913"/>
        <item x="1277"/>
        <item x="2956"/>
        <item x="2294"/>
        <item x="1287"/>
        <item x="17"/>
        <item x="1102"/>
        <item x="2605"/>
        <item x="433"/>
        <item x="910"/>
        <item x="1579"/>
        <item x="518"/>
        <item x="2165"/>
        <item x="2367"/>
        <item x="1911"/>
        <item x="2064"/>
        <item x="2042"/>
        <item x="1298"/>
        <item x="610"/>
        <item x="485"/>
        <item x="2974"/>
        <item x="1680"/>
        <item x="904"/>
        <item x="249"/>
        <item x="1602"/>
        <item x="538"/>
        <item x="287"/>
        <item x="1726"/>
        <item x="2751"/>
        <item x="615"/>
        <item x="1590"/>
        <item x="1768"/>
        <item x="2269"/>
        <item x="602"/>
        <item x="342"/>
        <item x="1830"/>
        <item x="773"/>
        <item x="818"/>
        <item x="1032"/>
        <item x="2787"/>
        <item x="2875"/>
        <item x="48"/>
        <item x="1879"/>
        <item x="2983"/>
        <item x="878"/>
        <item x="2436"/>
        <item x="841"/>
        <item x="2567"/>
        <item x="2708"/>
        <item x="437"/>
        <item x="2825"/>
        <item x="1133"/>
        <item x="2008"/>
        <item x="1744"/>
        <item x="532"/>
        <item x="2201"/>
        <item x="1699"/>
        <item x="621"/>
        <item x="1280"/>
        <item x="970"/>
        <item x="824"/>
        <item x="2719"/>
        <item x="2482"/>
        <item x="245"/>
        <item x="2309"/>
        <item x="2732"/>
        <item x="473"/>
        <item x="616"/>
        <item x="1034"/>
        <item x="1859"/>
        <item x="2643"/>
        <item x="1710"/>
        <item x="674"/>
        <item x="2356"/>
        <item x="2621"/>
        <item x="2216"/>
        <item x="794"/>
        <item x="456"/>
        <item x="1161"/>
        <item x="1945"/>
        <item x="13"/>
        <item x="1596"/>
        <item x="1410"/>
        <item x="1546"/>
        <item x="2075"/>
        <item x="2769"/>
        <item x="2118"/>
        <item x="822"/>
        <item x="2232"/>
        <item x="2704"/>
        <item x="983"/>
        <item x="1858"/>
        <item x="640"/>
        <item x="720"/>
        <item x="2158"/>
        <item x="2860"/>
        <item x="871"/>
        <item x="1818"/>
        <item x="2009"/>
        <item x="2227"/>
        <item x="139"/>
        <item x="2234"/>
        <item x="2639"/>
        <item x="2378"/>
        <item x="2858"/>
        <item x="1351"/>
        <item x="1120"/>
        <item x="2802"/>
        <item x="1501"/>
        <item x="468"/>
        <item x="1941"/>
        <item x="1284"/>
        <item x="1755"/>
        <item x="400"/>
        <item x="297"/>
        <item x="2985"/>
        <item x="1965"/>
        <item x="727"/>
        <item x="1616"/>
        <item x="721"/>
        <item x="2757"/>
        <item x="559"/>
        <item x="948"/>
        <item x="1512"/>
        <item x="790"/>
        <item x="373"/>
        <item x="1263"/>
        <item x="2363"/>
        <item x="823"/>
        <item x="2205"/>
        <item x="2737"/>
        <item x="172"/>
        <item x="1766"/>
        <item x="1071"/>
        <item x="1448"/>
        <item x="101"/>
        <item x="1612"/>
        <item x="1954"/>
        <item x="613"/>
        <item x="329"/>
        <item x="1474"/>
        <item x="2503"/>
        <item x="1891"/>
        <item x="2611"/>
        <item x="828"/>
        <item x="195"/>
        <item x="1107"/>
        <item x="1716"/>
        <item x="1269"/>
        <item x="2588"/>
        <item x="253"/>
        <item x="2541"/>
        <item x="151"/>
        <item x="693"/>
        <item x="934"/>
        <item x="959"/>
        <item x="80"/>
        <item x="1041"/>
        <item x="2320"/>
        <item x="584"/>
        <item x="2710"/>
        <item x="201"/>
        <item x="2998"/>
        <item x="2936"/>
        <item x="2685"/>
        <item x="1357"/>
        <item x="453"/>
        <item x="1226"/>
        <item x="2424"/>
        <item x="2135"/>
        <item x="1429"/>
        <item x="2171"/>
        <item x="474"/>
        <item x="2683"/>
        <item x="2601"/>
        <item x="700"/>
        <item x="1886"/>
        <item x="1889"/>
        <item x="204"/>
        <item x="1731"/>
        <item x="1458"/>
        <item x="2981"/>
        <item x="2657"/>
        <item x="1508"/>
        <item x="1593"/>
        <item x="1591"/>
        <item x="1996"/>
        <item x="919"/>
        <item x="704"/>
        <item x="1331"/>
        <item x="2720"/>
        <item x="2003"/>
        <item x="2236"/>
        <item x="2013"/>
        <item x="1203"/>
        <item x="622"/>
        <item x="1077"/>
        <item x="2961"/>
        <item x="234"/>
        <item x="2784"/>
        <item x="486"/>
        <item x="916"/>
        <item x="1054"/>
        <item x="646"/>
        <item x="2490"/>
        <item x="1627"/>
        <item x="1175"/>
        <item x="2864"/>
        <item x="542"/>
        <item x="1482"/>
        <item x="803"/>
        <item x="2357"/>
        <item x="2053"/>
        <item x="1528"/>
        <item x="2389"/>
        <item x="1122"/>
        <item x="1111"/>
        <item x="2082"/>
        <item x="563"/>
        <item x="1262"/>
        <item x="2173"/>
        <item x="1882"/>
        <item x="2295"/>
        <item x="2560"/>
        <item x="1867"/>
        <item x="219"/>
        <item x="981"/>
        <item x="1733"/>
        <item x="1690"/>
        <item x="2421"/>
        <item x="1783"/>
        <item x="2950"/>
        <item x="2192"/>
        <item x="1"/>
        <item x="1772"/>
        <item x="1607"/>
        <item x="2754"/>
        <item x="277"/>
        <item x="1273"/>
        <item x="1024"/>
        <item x="2814"/>
        <item x="2425"/>
        <item x="2429"/>
        <item x="2148"/>
        <item x="842"/>
        <item x="915"/>
        <item x="1295"/>
        <item x="2098"/>
        <item x="1397"/>
        <item x="104"/>
        <item x="1518"/>
        <item x="1194"/>
        <item x="1662"/>
        <item x="1505"/>
        <item x="1098"/>
        <item x="701"/>
        <item x="393"/>
        <item x="2180"/>
        <item x="450"/>
        <item x="2625"/>
        <item x="1332"/>
        <item x="2959"/>
        <item x="228"/>
        <item x="988"/>
        <item x="1303"/>
        <item x="1739"/>
        <item x="389"/>
        <item x="2246"/>
        <item x="265"/>
        <item x="2272"/>
        <item x="874"/>
        <item x="860"/>
        <item x="2661"/>
        <item x="1645"/>
        <item x="1695"/>
        <item x="1336"/>
        <item x="1140"/>
        <item x="851"/>
        <item x="23"/>
        <item x="2117"/>
        <item x="2699"/>
        <item x="2404"/>
        <item x="2448"/>
        <item x="2649"/>
        <item x="2880"/>
        <item x="1665"/>
        <item x="1722"/>
        <item x="2782"/>
        <item x="2516"/>
        <item x="2136"/>
        <item x="385"/>
        <item x="2044"/>
        <item x="2104"/>
        <item x="914"/>
        <item x="1195"/>
        <item x="741"/>
        <item x="2598"/>
        <item x="42"/>
        <item x="74"/>
        <item x="1893"/>
        <item x="632"/>
        <item x="1677"/>
        <item x="2277"/>
        <item x="1966"/>
        <item x="2010"/>
        <item x="682"/>
        <item x="1544"/>
        <item x="2119"/>
        <item x="520"/>
        <item x="2616"/>
        <item x="2211"/>
        <item x="1884"/>
        <item x="493"/>
        <item x="2831"/>
        <item x="2800"/>
        <item x="267"/>
        <item x="2575"/>
        <item x="847"/>
        <item x="593"/>
        <item x="2397"/>
        <item x="2198"/>
        <item x="1064"/>
        <item x="1892"/>
        <item x="1968"/>
        <item x="307"/>
        <item x="2692"/>
        <item x="2501"/>
        <item x="1025"/>
        <item x="1250"/>
        <item x="1359"/>
        <item x="2665"/>
        <item x="439"/>
        <item x="2820"/>
        <item x="706"/>
        <item x="2398"/>
        <item x="685"/>
        <item x="398"/>
        <item x="2607"/>
        <item x="2289"/>
        <item x="1010"/>
        <item x="1138"/>
        <item x="1211"/>
        <item x="808"/>
        <item x="1364"/>
        <item x="1551"/>
        <item x="1023"/>
        <item x="197"/>
        <item x="1557"/>
        <item x="223"/>
        <item x="3009"/>
        <item x="2984"/>
        <item x="1355"/>
        <item x="691"/>
        <item x="2452"/>
        <item x="1079"/>
        <item x="1659"/>
        <item x="2824"/>
        <item x="2305"/>
        <item x="1201"/>
        <item x="256"/>
        <item x="174"/>
        <item x="118"/>
        <item x="1936"/>
        <item x="1178"/>
        <item x="1135"/>
        <item x="663"/>
        <item x="1408"/>
        <item x="188"/>
        <item x="1496"/>
        <item x="639"/>
        <item x="1514"/>
        <item x="1573"/>
        <item x="2997"/>
        <item x="1117"/>
        <item x="1184"/>
        <item x="2502"/>
        <item x="154"/>
        <item x="2400"/>
        <item x="659"/>
        <item x="2229"/>
        <item x="1833"/>
        <item x="2278"/>
        <item x="1215"/>
        <item x="2328"/>
        <item x="84"/>
        <item x="566"/>
        <item x="1328"/>
        <item x="2637"/>
        <item x="1732"/>
        <item x="215"/>
        <item x="86"/>
        <item x="1042"/>
        <item x="1523"/>
        <item x="1304"/>
        <item x="698"/>
        <item x="341"/>
        <item x="129"/>
        <item x="2188"/>
        <item x="380"/>
        <item x="2457"/>
        <item x="2121"/>
        <item x="1788"/>
        <item x="2548"/>
        <item x="1183"/>
        <item x="2744"/>
        <item x="710"/>
        <item x="1545"/>
        <item x="796"/>
        <item x="730"/>
        <item x="1495"/>
        <item x="2344"/>
        <item x="2036"/>
        <item x="1467"/>
        <item x="410"/>
        <item x="2925"/>
        <item x="1780"/>
        <item x="2976"/>
        <item x="2638"/>
        <item x="2872"/>
        <item x="379"/>
        <item x="1152"/>
        <item x="1310"/>
        <item x="672"/>
        <item x="1844"/>
        <item x="2551"/>
        <item x="780"/>
        <item x="1634"/>
        <item x="1909"/>
        <item x="2297"/>
        <item x="902"/>
        <item x="352"/>
        <item x="2726"/>
        <item x="2895"/>
        <item x="820"/>
        <item x="1299"/>
        <item x="2035"/>
        <item x="909"/>
        <item x="1869"/>
        <item x="529"/>
        <item x="1016"/>
        <item x="2937"/>
        <item x="434"/>
        <item x="623"/>
        <item x="2110"/>
        <item x="331"/>
        <item x="2393"/>
        <item x="89"/>
        <item x="1628"/>
        <item x="79"/>
        <item x="941"/>
        <item x="111"/>
        <item x="3010"/>
        <item x="72"/>
        <item x="1142"/>
        <item x="2556"/>
        <item x="284"/>
        <item x="2071"/>
        <item x="2576"/>
        <item x="1741"/>
        <item x="330"/>
        <item x="2645"/>
        <item x="324"/>
        <item x="1553"/>
        <item x="1035"/>
        <item x="1363"/>
        <item x="872"/>
        <item x="44"/>
        <item x="2633"/>
        <item x="574"/>
        <item x="2995"/>
        <item x="406"/>
        <item x="2459"/>
        <item x="2992"/>
        <item x="548"/>
        <item x="2407"/>
        <item x="455"/>
        <item x="1532"/>
        <item x="282"/>
        <item x="1027"/>
        <item x="2249"/>
        <item x="1086"/>
        <item x="19"/>
        <item x="2313"/>
        <item x="2032"/>
        <item x="85"/>
        <item x="2589"/>
        <item x="1260"/>
        <item x="2609"/>
        <item x="1455"/>
        <item x="2604"/>
        <item x="310"/>
        <item x="1905"/>
        <item x="1643"/>
        <item x="2850"/>
        <item x="31"/>
        <item x="2453"/>
        <item x="1423"/>
        <item x="120"/>
        <item x="2735"/>
        <item x="2957"/>
        <item x="2298"/>
        <item x="950"/>
        <item x="809"/>
        <item x="2354"/>
        <item x="1600"/>
        <item x="557"/>
        <item x="1728"/>
        <item x="2935"/>
        <item x="315"/>
        <item x="2833"/>
        <item x="2326"/>
        <item x="14"/>
        <item x="938"/>
        <item x="2262"/>
        <item x="810"/>
        <item x="2723"/>
        <item x="452"/>
        <item x="2331"/>
        <item x="2537"/>
        <item x="235"/>
        <item x="1004"/>
        <item x="917"/>
        <item x="2129"/>
        <item x="2902"/>
        <item x="1569"/>
        <item x="411"/>
        <item x="2928"/>
        <item x="1511"/>
        <item x="435"/>
        <item x="2011"/>
        <item x="1964"/>
        <item x="415"/>
        <item x="1313"/>
        <item x="1094"/>
        <item x="895"/>
        <item x="2933"/>
        <item x="431"/>
        <item x="1219"/>
        <item x="2268"/>
        <item x="2579"/>
        <item x="1917"/>
        <item x="2456"/>
        <item x="1724"/>
        <item x="1582"/>
        <item x="2258"/>
        <item x="705"/>
        <item x="1900"/>
        <item x="805"/>
        <item x="598"/>
        <item x="1155"/>
        <item x="1984"/>
        <item x="2693"/>
        <item x="2573"/>
        <item x="2819"/>
        <item x="536"/>
        <item x="1104"/>
        <item x="870"/>
        <item x="774"/>
        <item x="2359"/>
        <item x="1540"/>
        <item x="2527"/>
        <item x="1237"/>
        <item x="205"/>
        <item x="942"/>
        <item x="1306"/>
        <item x="2280"/>
        <item x="372"/>
        <item x="1708"/>
        <item x="459"/>
        <item x="2059"/>
        <item x="2878"/>
        <item x="711"/>
        <item x="169"/>
        <item x="2505"/>
        <item x="191"/>
        <item x="1989"/>
        <item x="187"/>
        <item x="2822"/>
        <item x="189"/>
        <item x="2943"/>
        <item x="412"/>
        <item x="558"/>
        <item x="1926"/>
        <item x="2221"/>
        <item x="492"/>
        <item x="1204"/>
        <item x="1650"/>
        <item x="2989"/>
        <item x="2270"/>
        <item x="1865"/>
        <item x="1176"/>
        <item x="1409"/>
        <item x="363"/>
        <item x="1127"/>
        <item x="2886"/>
        <item x="2574"/>
        <item x="1652"/>
        <item x="458"/>
        <item x="1921"/>
        <item x="1786"/>
        <item x="262"/>
        <item x="1046"/>
        <item x="2306"/>
        <item x="2350"/>
        <item x="738"/>
        <item x="1132"/>
        <item x="1168"/>
        <item x="1841"/>
        <item x="1481"/>
        <item x="2415"/>
        <item x="41"/>
        <item x="2786"/>
        <item x="1232"/>
        <item x="2770"/>
        <item x="2339"/>
        <item x="2473"/>
        <item x="526"/>
        <item x="1234"/>
        <item x="251"/>
        <item x="2224"/>
        <item x="2021"/>
        <item x="2089"/>
        <item x="977"/>
        <item x="592"/>
        <item x="1836"/>
        <item x="2624"/>
        <item x="570"/>
        <item x="1366"/>
        <item x="1897"/>
        <item x="1516"/>
        <item x="2079"/>
        <item x="1678"/>
        <item x="890"/>
        <item x="87"/>
        <item x="65"/>
        <item x="1851"/>
        <item x="2409"/>
        <item x="2329"/>
        <item x="2603"/>
        <item x="1053"/>
        <item x="377"/>
        <item x="2006"/>
        <item x="1174"/>
        <item x="1315"/>
        <item x="2816"/>
        <item x="2226"/>
        <item x="795"/>
        <item x="1068"/>
        <item x="1049"/>
        <item x="814"/>
        <item x="2033"/>
        <item x="1296"/>
        <item x="2362"/>
        <item x="1601"/>
        <item x="2674"/>
        <item x="2327"/>
        <item x="60"/>
        <item x="912"/>
        <item x="1212"/>
        <item x="1843"/>
        <item x="2023"/>
        <item x="547"/>
        <item x="1256"/>
        <item x="1903"/>
        <item x="1434"/>
        <item x="2143"/>
        <item x="198"/>
        <item x="1412"/>
        <item x="1631"/>
        <item x="2742"/>
        <item x="146"/>
        <item x="1164"/>
        <item x="898"/>
        <item x="332"/>
        <item x="1992"/>
        <item x="2483"/>
        <item x="2975"/>
        <item x="360"/>
        <item x="2140"/>
        <item x="1883"/>
        <item x="2515"/>
        <item x="2057"/>
        <item x="112"/>
        <item x="1803"/>
        <item x="2109"/>
        <item x="1918"/>
        <item x="408"/>
        <item x="180"/>
        <item x="755"/>
        <item x="1015"/>
        <item x="2652"/>
        <item x="2991"/>
        <item x="2972"/>
        <item x="2724"/>
        <item x="1845"/>
        <item x="1463"/>
        <item x="781"/>
        <item x="1632"/>
        <item x="2698"/>
        <item x="1880"/>
        <item x="2968"/>
        <item x="1823"/>
        <item x="2915"/>
        <item x="2903"/>
        <item x="1560"/>
        <item x="1811"/>
        <item x="2038"/>
        <item x="1606"/>
        <item x="2016"/>
        <item x="922"/>
        <item x="533"/>
        <item x="1876"/>
        <item x="2965"/>
        <item x="1899"/>
        <item x="927"/>
        <item x="358"/>
        <item x="1268"/>
        <item x="1758"/>
        <item x="2578"/>
        <item x="654"/>
        <item x="1700"/>
        <item x="2317"/>
        <item x="1736"/>
        <item x="292"/>
        <item x="1950"/>
        <item x="2353"/>
        <item x="2792"/>
        <item x="2739"/>
        <item x="1810"/>
        <item x="108"/>
        <item x="1321"/>
        <item x="1480"/>
        <item x="3012"/>
        <item x="1223"/>
        <item x="2162"/>
        <item x="461"/>
        <item x="2676"/>
        <item x="827"/>
        <item x="1483"/>
        <item x="627"/>
        <item x="1531"/>
        <item x="816"/>
        <item x="1794"/>
        <item x="1971"/>
        <item x="724"/>
        <item x="2779"/>
        <item x="1233"/>
        <item x="82"/>
        <item x="995"/>
        <item x="1655"/>
        <item x="417"/>
        <item x="673"/>
        <item x="999"/>
        <item x="1730"/>
        <item x="1638"/>
        <item x="965"/>
        <item x="1301"/>
        <item x="2147"/>
        <item x="1486"/>
        <item x="582"/>
        <item x="876"/>
        <item x="1130"/>
        <item x="308"/>
        <item x="1360"/>
        <item x="2093"/>
        <item x="2828"/>
        <item x="589"/>
        <item x="419"/>
        <item x="2747"/>
        <item x="345"/>
        <item x="1380"/>
        <item x="2733"/>
        <item x="856"/>
        <item x="832"/>
        <item x="751"/>
        <item x="1444"/>
        <item x="744"/>
        <item x="1422"/>
        <item x="1186"/>
        <item x="1641"/>
        <item x="382"/>
        <item x="1265"/>
        <item x="97"/>
        <item x="317"/>
        <item x="939"/>
        <item x="1963"/>
        <item x="550"/>
        <item x="2524"/>
        <item x="1001"/>
        <item x="1970"/>
        <item x="299"/>
        <item x="779"/>
        <item x="2536"/>
        <item x="516"/>
        <item x="1235"/>
        <item x="759"/>
        <item x="1431"/>
        <item x="135"/>
        <item x="1711"/>
        <item x="68"/>
        <item x="1036"/>
        <item x="1485"/>
        <item x="985"/>
        <item x="509"/>
        <item x="2899"/>
        <item x="2340"/>
        <item x="361"/>
        <item x="1943"/>
        <item x="2803"/>
        <item x="1856"/>
        <item x="703"/>
        <item x="2051"/>
        <item x="2881"/>
        <item x="2855"/>
        <item x="2027"/>
        <item x="276"/>
        <item x="2395"/>
        <item x="109"/>
        <item x="2443"/>
        <item x="2788"/>
        <item x="1765"/>
        <item x="214"/>
        <item x="272"/>
        <item x="2390"/>
        <item x="2857"/>
        <item x="2585"/>
        <item x="1727"/>
        <item x="2130"/>
        <item x="274"/>
        <item x="2619"/>
        <item x="2948"/>
        <item x="1681"/>
        <item x="1687"/>
        <item x="338"/>
        <item x="306"/>
        <item x="1694"/>
        <item x="1245"/>
        <item x="849"/>
        <item x="208"/>
        <item x="2714"/>
        <item x="2368"/>
        <item x="546"/>
        <item x="1789"/>
        <item x="2095"/>
        <item x="152"/>
        <item x="161"/>
        <item x="2730"/>
        <item x="2190"/>
        <item x="494"/>
        <item x="2139"/>
        <item x="1647"/>
        <item x="226"/>
        <item x="1373"/>
        <item x="1092"/>
        <item x="2773"/>
        <item x="708"/>
        <item x="2186"/>
        <item x="686"/>
        <item x="2243"/>
        <item x="2572"/>
        <item x="1510"/>
        <item x="5"/>
        <item x="1173"/>
        <item x="1390"/>
        <item x="1807"/>
        <item x="2286"/>
        <item x="869"/>
        <item x="929"/>
        <item x="99"/>
        <item x="1460"/>
        <item x="359"/>
        <item x="0"/>
        <item x="2156"/>
        <item x="2096"/>
        <item x="349"/>
        <item x="1149"/>
        <item x="2176"/>
        <item x="3008"/>
        <item x="2540"/>
        <item x="165"/>
        <item x="2553"/>
        <item x="2947"/>
        <item x="407"/>
        <item x="1259"/>
        <item x="1931"/>
        <item x="1999"/>
        <item x="375"/>
        <item x="2911"/>
        <item x="2973"/>
        <item x="1763"/>
        <item x="2466"/>
        <item x="1584"/>
        <item x="2242"/>
        <item x="681"/>
        <item x="2497"/>
        <item x="2351"/>
        <item x="46"/>
        <item x="1881"/>
        <item x="2199"/>
        <item x="2046"/>
        <item x="2764"/>
        <item x="647"/>
        <item x="424"/>
        <item x="2712"/>
        <item x="1447"/>
        <item x="1980"/>
        <item x="1840"/>
        <item x="2267"/>
        <item x="1805"/>
        <item x="167"/>
        <item x="1443"/>
        <item x="2760"/>
        <item x="2571"/>
        <item x="569"/>
        <item x="2632"/>
        <item x="651"/>
        <item x="502"/>
        <item x="1923"/>
        <item x="2932"/>
        <item x="480"/>
        <item x="877"/>
        <item x="1696"/>
        <item x="952"/>
        <item x="644"/>
        <item x="2360"/>
        <item x="199"/>
        <item x="2167"/>
        <item x="963"/>
        <item x="2170"/>
        <item x="133"/>
        <item x="1062"/>
        <item x="1620"/>
        <item x="729"/>
        <item x="1002"/>
        <item x="2897"/>
        <item x="886"/>
        <item x="2525"/>
        <item x="1920"/>
        <item x="2636"/>
        <item x="2074"/>
        <item x="221"/>
        <item x="2530"/>
        <item x="1671"/>
        <item x="933"/>
        <item x="1013"/>
        <item x="1274"/>
        <item x="27"/>
        <item x="2112"/>
        <item x="2107"/>
        <item x="2045"/>
        <item x="1091"/>
        <item x="2686"/>
        <item x="390"/>
        <item x="1190"/>
        <item x="1492"/>
        <item x="1796"/>
        <item x="951"/>
        <item x="1096"/>
        <item x="1526"/>
        <item x="507"/>
        <item x="179"/>
        <item x="2169"/>
        <item x="2846"/>
        <item x="2219"/>
        <item x="1873"/>
        <item x="642"/>
        <item x="92"/>
        <item x="944"/>
        <item x="1125"/>
        <item x="604"/>
        <item x="1153"/>
        <item x="114"/>
        <item x="1976"/>
        <item x="2203"/>
        <item x="799"/>
        <item x="2247"/>
        <item x="1075"/>
        <item x="882"/>
        <item x="1754"/>
        <item x="270"/>
        <item x="232"/>
        <item x="52"/>
        <item x="2718"/>
        <item x="2563"/>
        <item x="2060"/>
        <item x="1470"/>
        <item x="2809"/>
        <item x="1717"/>
        <item x="290"/>
        <item x="2157"/>
        <item x="1109"/>
        <item x="1148"/>
        <item x="980"/>
        <item x="2449"/>
        <item x="905"/>
        <item x="2054"/>
        <item x="728"/>
        <item x="1969"/>
        <item x="1819"/>
        <item x="1192"/>
        <item x="675"/>
        <item x="1350"/>
        <item x="746"/>
        <item x="957"/>
        <item x="1246"/>
        <item x="1257"/>
        <item x="369"/>
        <item x="2284"/>
        <item x="2480"/>
        <item x="1855"/>
        <item x="617"/>
        <item x="2775"/>
        <item x="1539"/>
        <item x="1266"/>
        <item x="2065"/>
        <item x="960"/>
        <item x="2377"/>
        <item x="789"/>
        <item x="2979"/>
        <item x="1478"/>
        <item x="2748"/>
        <item x="2763"/>
        <item x="2405"/>
        <item x="1479"/>
        <item x="2888"/>
        <item x="678"/>
        <item x="1076"/>
        <item x="804"/>
        <item x="2909"/>
        <item x="837"/>
        <item x="47"/>
        <item x="1937"/>
        <item x="2024"/>
        <item x="2626"/>
        <item x="449"/>
        <item x="1162"/>
        <item x="1121"/>
        <item x="634"/>
        <item x="2736"/>
        <item x="127"/>
        <item x="1543"/>
        <item x="1683"/>
        <item x="2336"/>
        <item x="519"/>
        <item x="2146"/>
        <item x="2441"/>
        <item x="2738"/>
        <item x="1404"/>
        <item x="515"/>
        <item x="1953"/>
        <item x="177"/>
        <item x="1916"/>
        <item x="2005"/>
        <item x="2934"/>
        <item x="2891"/>
        <item x="40"/>
        <item x="2185"/>
        <item x="2938"/>
        <item x="1105"/>
        <item x="2256"/>
        <item x="288"/>
        <item x="2012"/>
        <item x="1817"/>
        <item x="21"/>
        <item x="591"/>
        <item x="1594"/>
        <item x="2613"/>
        <item x="466"/>
        <item x="1432"/>
        <item x="2558"/>
        <item x="1668"/>
        <item x="1073"/>
        <item x="75"/>
        <item x="2215"/>
        <item x="1672"/>
        <item x="2260"/>
        <item x="9"/>
        <item x="103"/>
        <item x="1658"/>
        <item x="765"/>
        <item x="1018"/>
        <item x="1045"/>
        <item x="305"/>
        <item x="2477"/>
        <item x="2116"/>
        <item x="322"/>
        <item x="829"/>
        <item x="2384"/>
        <item x="2348"/>
        <item x="930"/>
        <item x="1187"/>
        <item x="668"/>
        <item x="669"/>
        <item x="2883"/>
        <item x="2281"/>
        <item x="1242"/>
        <item x="1622"/>
        <item x="2807"/>
        <item x="121"/>
        <item x="635"/>
        <item x="777"/>
        <item x="2543"/>
        <item x="1887"/>
        <item x="2750"/>
        <item x="2861"/>
        <item x="207"/>
        <item x="1311"/>
        <item x="843"/>
        <item x="1356"/>
        <item x="588"/>
        <item x="1533"/>
        <item x="2554"/>
        <item x="1737"/>
        <item x="383"/>
        <item x="835"/>
        <item x="1254"/>
        <item x="665"/>
        <item x="1799"/>
        <item x="416"/>
        <item x="1450"/>
        <item x="2"/>
        <item x="1401"/>
        <item x="2164"/>
        <item x="1283"/>
        <item x="512"/>
        <item x="875"/>
        <item x="2829"/>
        <item x="2394"/>
        <item x="1437"/>
        <item x="2946"/>
        <item x="1846"/>
        <item x="1082"/>
        <item x="122"/>
        <item x="1842"/>
        <item x="1465"/>
        <item x="1948"/>
        <item x="1769"/>
        <item x="859"/>
        <item x="56"/>
        <item x="1181"/>
        <item x="1635"/>
        <item x="826"/>
        <item x="918"/>
        <item x="230"/>
        <item x="1387"/>
        <item x="488"/>
        <item x="2414"/>
        <item x="238"/>
        <item x="1166"/>
        <item x="45"/>
        <item x="2967"/>
        <item x="1384"/>
        <item x="2727"/>
        <item x="1644"/>
        <item x="149"/>
        <item x="1929"/>
        <item x="1300"/>
        <item x="266"/>
        <item x="521"/>
        <item x="2592"/>
        <item x="182"/>
        <item x="2870"/>
        <item x="649"/>
        <item x="2275"/>
        <item x="318"/>
        <item x="1656"/>
        <item x="658"/>
        <item x="2987"/>
        <item x="30"/>
        <item x="2834"/>
        <item x="233"/>
        <item x="911"/>
        <item x="1742"/>
        <item x="2839"/>
        <item x="130"/>
        <item x="534"/>
        <item x="838"/>
        <item x="2494"/>
        <item x="971"/>
        <item x="1959"/>
        <item x="1932"/>
        <item x="1499"/>
        <item x="88"/>
        <item x="1538"/>
        <item x="764"/>
        <item x="1520"/>
        <item x="731"/>
        <item x="1022"/>
        <item x="2086"/>
        <item x="2988"/>
        <item x="1791"/>
        <item x="300"/>
        <item x="1646"/>
        <item x="397"/>
        <item x="1362"/>
        <item x="2318"/>
        <item x="656"/>
        <item x="2346"/>
        <item x="1214"/>
        <item x="854"/>
        <item x="1348"/>
        <item x="1778"/>
        <item x="778"/>
        <item x="1052"/>
        <item x="1290"/>
        <item x="2055"/>
        <item x="100"/>
        <item x="2451"/>
        <item x="478"/>
        <item x="2455"/>
        <item x="2445"/>
        <item x="1318"/>
        <item x="2631"/>
        <item x="140"/>
        <item x="2709"/>
        <item x="1875"/>
        <item x="313"/>
        <item x="476"/>
        <item x="1070"/>
        <item x="1329"/>
        <item x="403"/>
        <item x="1715"/>
        <item x="2259"/>
        <item x="15"/>
        <item x="2174"/>
        <item x="2292"/>
        <item x="2138"/>
        <item x="213"/>
        <item x="2308"/>
        <item x="1320"/>
        <item x="409"/>
        <item x="883"/>
        <item x="2923"/>
        <item x="961"/>
        <item x="81"/>
        <item x="1224"/>
        <item x="25"/>
        <item x="1589"/>
        <item x="186"/>
        <item x="2422"/>
        <item x="1854"/>
        <item x="2478"/>
        <item x="2218"/>
        <item x="1017"/>
        <item x="2347"/>
        <item x="1063"/>
        <item x="966"/>
        <item x="136"/>
        <item x="1626"/>
        <item x="539"/>
        <item x="222"/>
        <item x="694"/>
        <item x="638"/>
        <item x="3007"/>
        <item x="2761"/>
        <item x="1669"/>
        <item x="1456"/>
        <item x="2955"/>
        <item x="2549"/>
        <item x="2866"/>
        <item x="2879"/>
        <item x="666"/>
        <item x="2697"/>
        <item x="1605"/>
        <item x="2103"/>
        <item x="1863"/>
        <item x="2002"/>
        <item x="1915"/>
        <item x="1787"/>
        <item x="2489"/>
        <item x="527"/>
        <item x="888"/>
        <item x="1774"/>
        <item x="2142"/>
        <item x="2766"/>
        <item x="733"/>
        <item x="2805"/>
        <item x="650"/>
        <item x="7"/>
        <item x="1461"/>
        <item x="576"/>
        <item x="2668"/>
        <item x="1080"/>
        <item x="1611"/>
        <item x="1030"/>
        <item x="531"/>
        <item x="2301"/>
        <item x="2412"/>
        <item x="374"/>
        <item x="2319"/>
        <item x="1352"/>
        <item x="1449"/>
        <item x="1729"/>
        <item x="1271"/>
        <item x="2908"/>
        <item x="2334"/>
        <item x="1124"/>
        <item x="2332"/>
        <item x="1895"/>
        <item x="748"/>
        <item x="1489"/>
        <item x="1747"/>
        <item x="2365"/>
        <item x="1165"/>
        <item x="2703"/>
        <item x="1977"/>
        <item x="2918"/>
        <item x="788"/>
        <item x="1713"/>
        <item x="2755"/>
        <item x="1358"/>
        <item x="2159"/>
        <item x="561"/>
        <item x="1037"/>
        <item x="1663"/>
        <item x="454"/>
        <item x="432"/>
        <item x="1198"/>
        <item x="2826"/>
        <item x="457"/>
        <item x="2471"/>
        <item x="1252"/>
        <item x="1238"/>
        <item x="2349"/>
        <item x="2476"/>
        <item x="2467"/>
        <item x="1050"/>
        <item x="865"/>
        <item x="2765"/>
        <item x="1253"/>
        <item x="2734"/>
        <item x="587"/>
        <item x="2863"/>
        <item x="2681"/>
        <item x="2124"/>
        <item x="2762"/>
        <item x="2550"/>
        <item x="2931"/>
        <item x="227"/>
        <item x="1150"/>
        <item x="2200"/>
        <item x="236"/>
        <item x="2244"/>
        <item x="1896"/>
        <item x="712"/>
        <item x="1207"/>
        <item x="2646"/>
        <item x="1255"/>
        <item x="2113"/>
        <item x="340"/>
        <item x="1457"/>
        <item x="2111"/>
        <item x="2542"/>
        <item x="2131"/>
        <item x="813"/>
        <item x="2949"/>
        <item x="2535"/>
        <item x="10"/>
        <item x="1378"/>
        <item x="423"/>
        <item x="1442"/>
        <item x="2411"/>
        <item x="1240"/>
        <item x="2070"/>
        <item x="2821"/>
        <item x="1826"/>
        <item x="1642"/>
        <item x="2865"/>
        <item x="2582"/>
        <item x="36"/>
        <item x="2102"/>
        <item x="2871"/>
        <item x="992"/>
        <item x="661"/>
        <item x="269"/>
        <item x="1065"/>
        <item x="3006"/>
        <item x="1385"/>
        <item x="2094"/>
        <item x="736"/>
        <item x="327"/>
        <item x="2584"/>
        <item x="2581"/>
        <item x="1617"/>
        <item x="812"/>
        <item x="2141"/>
        <item x="2120"/>
        <item x="131"/>
        <item x="1983"/>
        <item x="1839"/>
        <item x="2144"/>
        <item x="1773"/>
        <item x="771"/>
        <item x="350"/>
        <item x="976"/>
        <item x="2406"/>
        <item x="2076"/>
        <item x="1857"/>
        <item x="1225"/>
        <item x="335"/>
        <item x="1944"/>
        <item x="1771"/>
        <item x="53"/>
        <item x="1734"/>
        <item x="158"/>
        <item x="1630"/>
        <item x="2781"/>
        <item x="2266"/>
        <item x="351"/>
        <item x="2519"/>
        <item x="2418"/>
        <item x="702"/>
        <item x="2642"/>
        <item x="528"/>
        <item x="1325"/>
        <item x="365"/>
        <item x="471"/>
        <item x="1074"/>
        <item x="200"/>
        <item x="1914"/>
        <item x="1317"/>
        <item x="181"/>
        <item x="1044"/>
        <item x="2722"/>
        <item x="2789"/>
        <item x="667"/>
        <item x="1670"/>
        <item x="1019"/>
        <item x="1312"/>
        <item x="1008"/>
        <item x="553"/>
        <item x="1426"/>
        <item x="1831"/>
        <item x="1673"/>
        <item x="1585"/>
        <item x="2479"/>
        <item x="1000"/>
        <item x="648"/>
        <item x="2137"/>
        <item x="1816"/>
        <item x="2849"/>
        <item x="387"/>
        <item x="2511"/>
        <item x="1928"/>
        <item x="1383"/>
        <item x="211"/>
        <item x="1554"/>
        <item x="2667"/>
        <item x="2715"/>
        <item x="224"/>
        <item x="2209"/>
        <item x="475"/>
        <item x="889"/>
        <item x="2231"/>
        <item x="289"/>
        <item x="2080"/>
        <item x="1043"/>
        <item x="1057"/>
        <item x="2168"/>
        <item x="1061"/>
        <item x="1779"/>
        <item x="1576"/>
        <item x="2151"/>
        <item x="1930"/>
        <item x="737"/>
        <item x="1386"/>
        <item x="428"/>
        <item x="183"/>
        <item x="2155"/>
        <item x="763"/>
        <item x="2596"/>
        <item x="599"/>
        <item x="1993"/>
        <item x="2492"/>
        <item x="145"/>
        <item x="1623"/>
        <item x="1549"/>
        <item x="2806"/>
        <item x="986"/>
        <item x="1757"/>
        <item x="2677"/>
        <item x="850"/>
        <item x="1374"/>
        <item x="173"/>
        <item x="1047"/>
        <item x="1491"/>
        <item x="834"/>
        <item x="2015"/>
        <item x="1172"/>
        <item x="1714"/>
        <item x="514"/>
        <item x="1115"/>
        <item x="166"/>
        <item x="1399"/>
        <item x="1193"/>
        <item x="206"/>
        <item x="2659"/>
        <item x="231"/>
        <item x="467"/>
        <item x="1418"/>
        <item x="304"/>
        <item x="1689"/>
        <item x="1938"/>
        <item x="2557"/>
        <item x="1106"/>
        <item x="218"/>
        <item x="2434"/>
        <item x="1503"/>
        <item x="2287"/>
        <item x="836"/>
        <item x="641"/>
        <item x="2745"/>
        <item x="2302"/>
        <item x="723"/>
        <item x="1154"/>
        <item x="2253"/>
        <item x="209"/>
        <item x="982"/>
        <item x="1477"/>
        <item x="2565"/>
        <item x="252"/>
        <item x="190"/>
        <item x="2382"/>
        <item x="1026"/>
        <item x="2084"/>
        <item x="220"/>
        <item x="2904"/>
        <item x="2410"/>
        <item x="1740"/>
        <item x="1206"/>
        <item x="421"/>
        <item x="1113"/>
        <item x="618"/>
        <item x="1208"/>
        <item x="2248"/>
        <item x="6"/>
        <item x="899"/>
        <item x="59"/>
        <item x="2432"/>
        <item x="1697"/>
        <item x="1137"/>
        <item x="825"/>
        <item x="2547"/>
        <item x="150"/>
        <item x="1279"/>
        <item x="1488"/>
        <item x="844"/>
        <item x="2740"/>
        <item x="2570"/>
        <item x="683"/>
        <item x="2832"/>
        <item x="1454"/>
        <item x="552"/>
        <item x="2069"/>
        <item x="1159"/>
        <item x="975"/>
        <item x="16"/>
        <item x="2265"/>
        <item x="1316"/>
        <item x="2990"/>
        <item x="280"/>
        <item x="22"/>
        <item x="1009"/>
        <item x="1396"/>
        <item x="1982"/>
        <item x="908"/>
        <item x="78"/>
        <item x="745"/>
        <item x="2370"/>
        <item x="58"/>
        <item x="1674"/>
        <item x="2463"/>
        <item x="1048"/>
        <item x="210"/>
        <item x="2768"/>
        <item x="392"/>
        <item x="1276"/>
        <item x="1370"/>
        <item x="2690"/>
        <item x="1987"/>
        <item x="962"/>
        <item x="2509"/>
        <item x="2056"/>
        <item x="2133"/>
        <item x="464"/>
        <item x="1676"/>
        <item x="671"/>
        <item x="2927"/>
        <item x="893"/>
        <item x="2355"/>
        <item x="1039"/>
        <item x="2725"/>
        <item x="1598"/>
        <item x="625"/>
        <item x="2670"/>
        <item x="1578"/>
        <item x="1261"/>
        <item x="2052"/>
        <item x="2517"/>
        <item x="336"/>
        <item x="1472"/>
        <item x="1464"/>
        <item x="595"/>
        <item x="2464"/>
        <item x="2207"/>
        <item x="477"/>
        <item x="1441"/>
        <item x="2300"/>
        <item x="921"/>
        <item x="1575"/>
        <item x="540"/>
        <item x="2534"/>
        <item x="2183"/>
        <item x="1089"/>
        <item x="2953"/>
        <item x="2321"/>
        <item x="2184"/>
        <item x="1229"/>
        <item x="607"/>
        <item x="1567"/>
        <item x="2508"/>
        <item x="1957"/>
        <item x="525"/>
        <item x="1898"/>
        <item x="2980"/>
        <item x="2941"/>
        <item x="958"/>
        <item x="91"/>
        <item x="260"/>
        <item x="323"/>
        <item x="2373"/>
        <item x="1288"/>
        <item x="564"/>
        <item x="1648"/>
        <item x="1877"/>
        <item x="1812"/>
        <item x="420"/>
        <item x="291"/>
        <item x="863"/>
        <item x="2210"/>
        <item x="2952"/>
        <item x="2105"/>
        <item x="2799"/>
        <item x="964"/>
        <item x="8"/>
        <item x="1394"/>
        <item x="990"/>
        <item x="1653"/>
        <item x="334"/>
        <item x="1341"/>
        <item x="2323"/>
        <item x="2175"/>
        <item x="1424"/>
        <item x="243"/>
        <item x="1081"/>
        <item x="69"/>
        <item x="2342"/>
        <item x="2532"/>
        <item x="2658"/>
        <item x="1090"/>
        <item x="2058"/>
        <item x="2296"/>
        <item x="442"/>
        <item x="156"/>
        <item x="1011"/>
        <item x="2780"/>
        <item x="2197"/>
        <item x="1339"/>
        <item x="128"/>
        <item x="1707"/>
        <item x="144"/>
        <item x="2960"/>
        <item x="2177"/>
        <item x="2402"/>
        <item x="441"/>
        <item x="545"/>
        <item x="1083"/>
        <item x="2687"/>
        <item x="497"/>
        <item x="1415"/>
        <item x="2050"/>
        <item x="1128"/>
        <item x="2212"/>
        <item x="1861"/>
        <item x="2969"/>
        <item x="815"/>
        <item x="1116"/>
        <item x="1960"/>
        <item x="1171"/>
        <item x="258"/>
        <item x="1888"/>
        <item x="760"/>
        <item x="1566"/>
        <item x="807"/>
        <item x="956"/>
        <item x="2303"/>
        <item x="1371"/>
        <item x="2222"/>
        <item x="2396"/>
        <item x="394"/>
        <item x="2191"/>
        <item x="34"/>
        <item x="2166"/>
        <item x="1860"/>
        <item x="2887"/>
        <item x="2882"/>
        <item x="1795"/>
        <item x="237"/>
        <item x="1324"/>
        <item x="2859"/>
        <item x="1118"/>
        <item x="261"/>
        <item x="2487"/>
        <item x="1248"/>
        <item x="2793"/>
        <item x="1227"/>
        <item x="1209"/>
        <item x="401"/>
        <item x="2580"/>
        <item x="239"/>
        <item x="355"/>
        <item x="2386"/>
        <item x="1197"/>
        <item x="2944"/>
        <item x="2073"/>
        <item x="1868"/>
        <item x="175"/>
        <item x="303"/>
        <item x="1595"/>
        <item x="1202"/>
        <item x="2291"/>
        <item x="1292"/>
        <item x="1975"/>
        <item x="134"/>
        <item x="503"/>
        <item x="1849"/>
        <item x="2435"/>
        <item x="263"/>
        <item x="1439"/>
        <item x="801"/>
        <item x="1802"/>
        <item x="2591"/>
        <item x="1487"/>
        <item x="2929"/>
        <item x="979"/>
        <item x="371"/>
        <item x="2679"/>
        <item x="3011"/>
        <item x="2894"/>
        <item x="784"/>
        <item x="2608"/>
        <item x="1852"/>
        <item x="2521"/>
        <item x="1428"/>
        <item x="1308"/>
        <item x="551"/>
        <item x="2523"/>
        <item x="866"/>
        <item x="484"/>
        <item x="1342"/>
        <item x="1701"/>
        <item x="791"/>
        <item x="792"/>
        <item x="1103"/>
        <item x="126"/>
        <item x="1790"/>
        <item x="2273"/>
        <item x="1072"/>
        <item x="1749"/>
        <item x="1704"/>
        <item x="2161"/>
        <item x="353"/>
        <item x="2660"/>
        <item x="1688"/>
        <item x="37"/>
        <item x="2217"/>
        <item x="881"/>
        <item x="2403"/>
        <item x="337"/>
        <item x="2684"/>
        <item x="1230"/>
        <item x="1302"/>
        <item x="250"/>
        <item x="1587"/>
        <item x="2796"/>
        <item x="2841"/>
        <item x="2324"/>
        <item x="679"/>
        <item x="752"/>
        <item x="2361"/>
        <item x="1067"/>
        <item x="2707"/>
        <item x="414"/>
        <item x="1592"/>
        <item x="427"/>
        <item x="1097"/>
        <item x="1146"/>
        <item x="1151"/>
        <item x="1267"/>
        <item x="405"/>
        <item x="1323"/>
        <item x="2566"/>
        <item x="747"/>
        <item x="2417"/>
        <item x="1919"/>
        <item x="326"/>
        <item x="1179"/>
        <item x="892"/>
        <item x="1767"/>
        <item x="1837"/>
        <item x="1828"/>
        <item x="505"/>
        <item x="1955"/>
        <item x="2920"/>
        <item x="1720"/>
        <item x="311"/>
        <item x="1568"/>
        <item x="1995"/>
        <item x="2240"/>
        <item x="443"/>
        <item x="229"/>
        <item x="1832"/>
        <item x="148"/>
        <item x="2066"/>
        <item x="1498"/>
        <item x="560"/>
        <item x="754"/>
        <item x="1430"/>
        <item x="1515"/>
        <item x="2812"/>
        <item x="2369"/>
        <item x="1986"/>
        <item x="246"/>
        <item x="972"/>
        <item x="786"/>
        <item x="2245"/>
        <item x="861"/>
        <item x="356"/>
        <item x="2181"/>
        <item x="2276"/>
        <item x="2115"/>
        <item x="51"/>
        <item x="2924"/>
        <item x="2752"/>
        <item x="384"/>
        <item x="2041"/>
        <item x="2867"/>
        <item x="1476"/>
        <item x="286"/>
        <item x="1021"/>
        <item x="32"/>
        <item x="426"/>
        <item x="1615"/>
        <item x="936"/>
        <item x="1087"/>
        <item x="688"/>
        <item x="2017"/>
        <item x="2569"/>
        <item x="1473"/>
        <item x="572"/>
        <item x="1123"/>
        <item x="1129"/>
        <item x="185"/>
        <item x="1275"/>
        <item x="2711"/>
        <item x="141"/>
        <item x="506"/>
        <item x="969"/>
        <item x="1182"/>
        <item x="1619"/>
        <item x="1309"/>
        <item x="901"/>
        <item x="268"/>
        <item x="1660"/>
        <item x="2504"/>
        <item x="2223"/>
        <item x="2030"/>
        <item x="2749"/>
        <item x="1657"/>
        <item x="608"/>
        <item x="947"/>
        <item x="1305"/>
        <item x="2063"/>
        <item x="62"/>
        <item x="631"/>
        <item x="2610"/>
        <item x="2653"/>
        <item x="2372"/>
        <item x="1951"/>
        <item x="2014"/>
        <item x="71"/>
        <item x="2182"/>
        <item x="1436"/>
        <item x="2040"/>
        <item x="132"/>
        <item x="612"/>
        <item x="63"/>
        <item x="2810"/>
        <item x="2758"/>
        <item x="498"/>
        <item x="1416"/>
        <item x="2529"/>
        <item x="852"/>
        <item x="2264"/>
        <item x="1934"/>
        <item x="1946"/>
        <item x="202"/>
        <item x="2514"/>
        <item x="1835"/>
        <item x="1633"/>
        <item x="775"/>
        <item x="1199"/>
        <item x="2293"/>
        <item x="1776"/>
        <item x="2868"/>
        <item x="2664"/>
        <item x="2358"/>
        <item x="2439"/>
        <item x="378"/>
        <item x="1666"/>
        <item x="643"/>
        <item x="1088"/>
        <item x="840"/>
        <item x="1958"/>
        <item x="2178"/>
        <item x="2383"/>
        <item x="2986"/>
        <item x="2843"/>
        <item x="1978"/>
        <item x="1157"/>
        <item x="884"/>
        <item x="2618"/>
        <item x="511"/>
        <item x="1346"/>
        <item x="2251"/>
        <item x="2506"/>
        <item x="734"/>
        <item x="2316"/>
        <item x="1222"/>
        <item x="2647"/>
        <item x="116"/>
        <item x="946"/>
        <item x="885"/>
        <item x="2830"/>
        <item x="1326"/>
        <item x="2047"/>
        <item x="2430"/>
        <item x="2513"/>
        <item x="1718"/>
        <item x="1051"/>
        <item x="1962"/>
        <item x="12"/>
        <item x="1170"/>
        <item x="242"/>
        <item x="328"/>
        <item x="2419"/>
        <item x="54"/>
        <item x="1421"/>
        <item x="1289"/>
        <item x="1337"/>
        <item x="2333"/>
        <item x="1084"/>
        <item x="953"/>
        <item x="695"/>
        <item x="2315"/>
        <item x="1979"/>
        <item x="240"/>
        <item x="2856"/>
        <item x="2648"/>
        <item x="1420"/>
        <item x="2874"/>
        <item x="2145"/>
        <item x="2940"/>
        <item x="1974"/>
        <item x="501"/>
        <item x="664"/>
        <item x="1413"/>
        <item x="1264"/>
        <item x="1530"/>
        <item x="348"/>
        <item x="1572"/>
        <item x="880"/>
        <item x="123"/>
        <item x="1085"/>
        <item x="2097"/>
        <item x="294"/>
        <item x="2469"/>
        <item x="2026"/>
        <item x="1738"/>
        <item x="1556"/>
        <item x="1927"/>
        <item x="1848"/>
        <item x="446"/>
        <item x="1525"/>
        <item x="1177"/>
        <item x="2179"/>
        <item x="2526"/>
        <item x="611"/>
        <item x="1822"/>
        <item x="2472"/>
        <item x="1782"/>
        <item x="402"/>
        <item x="2623"/>
        <item x="2890"/>
        <item x="2208"/>
        <item x="1468"/>
        <item x="1574"/>
        <item x="907"/>
        <item x="495"/>
        <item x="2018"/>
        <item x="2001"/>
        <item x="1221"/>
        <item x="2672"/>
        <item x="381"/>
        <item x="1764"/>
        <item x="55"/>
        <item x="2187"/>
        <item x="1894"/>
        <item x="868"/>
        <item x="2123"/>
        <item x="1555"/>
        <item x="600"/>
        <item x="440"/>
        <item x="2194"/>
        <item x="1751"/>
        <item x="2485"/>
        <item x="2559"/>
        <item x="811"/>
        <item x="579"/>
        <item x="1798"/>
        <item x="740"/>
        <item x="864"/>
        <item x="35"/>
        <item x="932"/>
        <item x="2433"/>
        <item x="429"/>
        <item x="2068"/>
        <item x="1029"/>
        <item x="1114"/>
        <item x="1392"/>
        <item x="212"/>
        <item x="709"/>
        <item x="259"/>
        <item x="1750"/>
        <item x="2914"/>
        <item x="50"/>
        <item x="1925"/>
        <item x="1239"/>
        <item x="718"/>
        <item x="39"/>
        <item x="2662"/>
        <item x="2912"/>
        <item x="1466"/>
        <item x="2314"/>
        <item x="833"/>
        <item x="241"/>
        <item x="1100"/>
        <item x="1580"/>
        <item x="2552"/>
        <item x="1093"/>
        <item x="2842"/>
        <item x="2271"/>
        <item x="924"/>
        <item x="2666"/>
        <item x="1319"/>
        <item x="364"/>
        <item x="1003"/>
        <item x="1570"/>
        <item x="581"/>
        <item x="77"/>
        <item x="2083"/>
        <item x="1376"/>
        <item x="1213"/>
        <item x="989"/>
        <item x="2385"/>
        <item x="2844"/>
        <item x="2498"/>
        <item x="500"/>
        <item x="469"/>
        <item x="2798"/>
        <item x="2852"/>
        <item x="347"/>
        <item x="193"/>
        <item x="2312"/>
        <item x="1220"/>
        <item x="2691"/>
        <item x="2561"/>
        <item x="831"/>
        <item x="1991"/>
        <item x="768"/>
        <item x="2811"/>
        <item x="830"/>
        <item x="2160"/>
        <item x="1952"/>
        <item x="2440"/>
        <item x="601"/>
        <item x="1910"/>
        <item x="2380"/>
        <item x="2020"/>
        <item x="1820"/>
        <item x="2493"/>
        <item x="1379"/>
        <item x="472"/>
        <item x="309"/>
        <item x="783"/>
        <item x="2840"/>
        <item x="2114"/>
        <item x="2307"/>
        <item x="614"/>
        <item x="168"/>
        <item x="2039"/>
        <item x="4"/>
        <item x="1433"/>
        <item x="2507"/>
        <item x="1719"/>
        <item x="535"/>
        <item x="1827"/>
        <item x="3002"/>
        <item x="1484"/>
        <item x="2919"/>
        <item x="1752"/>
        <item x="537"/>
        <item x="2413"/>
        <item x="508"/>
        <item x="247"/>
        <item x="2913"/>
        <item x="2091"/>
        <item x="1405"/>
        <item x="717"/>
        <item x="1924"/>
        <item x="1599"/>
        <item x="626"/>
        <item x="1706"/>
        <item x="2484"/>
        <item x="2885"/>
        <item x="1459"/>
        <item x="696"/>
        <item x="1340"/>
        <item x="1809"/>
        <item x="2862"/>
        <item x="1414"/>
        <item x="1347"/>
        <item x="2797"/>
        <item x="346"/>
        <item x="1821"/>
        <item x="155"/>
        <item x="2577"/>
        <item x="482"/>
        <item x="2437"/>
        <item x="2325"/>
        <item x="766"/>
        <item x="926"/>
        <item x="244"/>
        <item x="897"/>
        <item x="94"/>
        <item x="102"/>
        <item x="2602"/>
        <item x="2352"/>
        <item x="339"/>
        <item x="997"/>
        <item x="2917"/>
        <item x="719"/>
        <item x="2225"/>
        <item x="974"/>
        <item x="2496"/>
        <item x="2901"/>
        <item x="2283"/>
        <item x="1705"/>
        <item x="422"/>
        <item x="3000"/>
        <item x="2375"/>
        <item x="1344"/>
        <item x="3"/>
        <item x="609"/>
        <item x="858"/>
        <item x="690"/>
        <item x="2034"/>
        <item x="1345"/>
        <item x="163"/>
        <item x="2851"/>
        <item x="1291"/>
        <item x="530"/>
        <item x="2031"/>
        <item x="821"/>
        <item x="1281"/>
        <item x="1770"/>
        <item x="2202"/>
        <item x="143"/>
        <item x="1066"/>
        <item x="767"/>
        <item x="772"/>
        <item x="2322"/>
        <item x="1006"/>
        <item x="1354"/>
        <item x="29"/>
        <item x="725"/>
        <item x="1825"/>
        <item x="447"/>
        <item x="2777"/>
        <item x="1760"/>
        <item x="1108"/>
        <item x="689"/>
        <item x="1258"/>
        <item x="376"/>
        <item x="2061"/>
        <item x="67"/>
        <item x="2926"/>
        <item x="2743"/>
        <item x="444"/>
        <item x="2617"/>
        <item x="2702"/>
        <item x="404"/>
        <item x="1985"/>
        <item x="1131"/>
        <item x="2237"/>
        <item x="1748"/>
        <item x="2876"/>
        <item x="758"/>
        <item x="549"/>
        <item x="2228"/>
        <item x="2100"/>
        <item x="1609"/>
        <item x="1793"/>
        <item x="2942"/>
        <item x="2945"/>
        <item x="940"/>
        <item x="2568"/>
        <item x="1759"/>
        <item x="1218"/>
        <item x="489"/>
        <item x="2994"/>
        <item x="1400"/>
        <item x="1524"/>
        <item x="716"/>
        <item x="2531"/>
        <item x="1509"/>
        <item x="1286"/>
        <item x="399"/>
        <item x="2438"/>
        <item x="2442"/>
        <item x="496"/>
        <item x="2106"/>
        <item x="1020"/>
        <item x="1231"/>
        <item x="1403"/>
        <item x="2869"/>
        <item x="1878"/>
        <item x="225"/>
        <item x="1908"/>
        <item x="344"/>
        <item x="2458"/>
        <item x="1338"/>
        <item x="2892"/>
        <item x="750"/>
        <item x="2460"/>
        <item x="819"/>
        <item x="2916"/>
        <item x="1610"/>
        <item x="2007"/>
        <item x="2447"/>
        <item x="1435"/>
        <item x="2753"/>
        <item x="2401"/>
        <item x="184"/>
        <item x="2465"/>
        <item x="1349"/>
        <item x="913"/>
        <item x="2252"/>
        <item x="1143"/>
        <item x="1272"/>
        <item x="2500"/>
        <item x="254"/>
        <item x="2220"/>
        <item x="1519"/>
        <item x="945"/>
        <item x="2486"/>
        <item x="1391"/>
        <item x="994"/>
        <item x="2963"/>
        <item x="2889"/>
        <item x="96"/>
        <item x="395"/>
        <item x="2716"/>
        <item x="115"/>
        <item x="1475"/>
        <item x="2366"/>
        <item x="1797"/>
        <item x="2701"/>
        <item x="2431"/>
        <item x="2930"/>
        <item x="2815"/>
        <item x="2499"/>
        <item x="1247"/>
        <item x="1228"/>
        <item x="2528"/>
        <item x="1453"/>
        <item x="770"/>
        <item x="1126"/>
        <item x="1902"/>
        <item x="1307"/>
        <item x="2813"/>
        <item x="2546"/>
        <item x="357"/>
        <item x="2029"/>
        <item x="1834"/>
        <item x="445"/>
        <item x="2776"/>
        <item x="2713"/>
        <item x="1850"/>
        <item x="2195"/>
        <item x="1685"/>
        <item x="2341"/>
        <item x="967"/>
        <item x="2906"/>
        <item x="275"/>
        <item x="2612"/>
        <item x="732"/>
        <item x="1703"/>
        <item x="481"/>
        <item x="1777"/>
        <item x="1838"/>
        <item x="83"/>
        <item x="2970"/>
        <item x="2795"/>
        <item x="1661"/>
        <item x="937"/>
        <item x="2644"/>
        <item x="1438"/>
        <item x="1973"/>
        <item x="513"/>
        <item x="1871"/>
        <item x="271"/>
        <item x="451"/>
        <item x="137"/>
        <item x="653"/>
        <item x="1651"/>
        <item x="1853"/>
        <item x="862"/>
        <item x="2000"/>
        <item x="2087"/>
        <item x="110"/>
        <item x="2597"/>
        <item x="2238"/>
        <item x="891"/>
        <item x="107"/>
        <item x="2072"/>
        <item x="906"/>
        <item x="413"/>
        <item x="1624"/>
        <item x="2279"/>
        <item x="1824"/>
        <item x="1684"/>
        <item x="1407"/>
        <item x="1393"/>
        <item x="1189"/>
        <item x="171"/>
        <item x="629"/>
        <item x="2962"/>
        <item x="320"/>
        <item x="448"/>
        <item x="1388"/>
        <item x="543"/>
        <item x="1814"/>
        <item x="2462"/>
        <item x="1800"/>
        <item x="2263"/>
        <item x="1967"/>
        <item x="2630"/>
        <item x="677"/>
        <item x="978"/>
        <item x="2088"/>
        <item x="2099"/>
        <item x="2837"/>
        <item x="1721"/>
        <item x="630"/>
        <item x="2729"/>
        <item x="2620"/>
        <item x="1158"/>
        <item x="2512"/>
        <item x="785"/>
        <item x="1550"/>
        <item x="1870"/>
        <item x="817"/>
        <item x="1784"/>
        <item x="578"/>
        <item x="1169"/>
        <item x="2629"/>
        <item x="855"/>
        <item x="1988"/>
        <item x="935"/>
        <item x="354"/>
        <item x="2127"/>
        <item x="1621"/>
        <item x="2154"/>
        <item x="894"/>
        <item x="2081"/>
        <item x="388"/>
        <item x="802"/>
        <item x="510"/>
        <item x="295"/>
        <item x="1990"/>
        <item x="2900"/>
        <item x="491"/>
        <item x="1586"/>
        <item x="660"/>
        <item x="2606"/>
        <item x="1537"/>
        <item x="1406"/>
        <item x="1367"/>
        <item x="2108"/>
        <item x="1005"/>
        <item x="1637"/>
        <item x="1504"/>
        <item x="1365"/>
        <item x="2650"/>
        <item x="1552"/>
        <item x="742"/>
        <item x="687"/>
        <item x="2049"/>
        <item x="1134"/>
        <item x="1101"/>
        <item x="1536"/>
        <item x="160"/>
        <item x="1735"/>
        <item x="873"/>
        <item x="1144"/>
        <item x="1372"/>
        <item x="787"/>
        <item x="2996"/>
        <item x="61"/>
        <item x="1956"/>
        <item x="278"/>
        <item x="993"/>
        <item x="575"/>
        <item x="2827"/>
        <item x="483"/>
        <item x="2635"/>
        <item x="769"/>
        <item x="2759"/>
        <item x="697"/>
        <item x="1110"/>
        <item x="285"/>
        <item x="460"/>
        <item x="1723"/>
        <item x="462"/>
        <item x="776"/>
        <item x="735"/>
        <item x="2379"/>
        <item x="1939"/>
        <item x="2756"/>
        <item x="753"/>
        <item x="1949"/>
        <item x="968"/>
        <item x="147"/>
        <item x="1322"/>
        <item x="1369"/>
        <item x="2488"/>
        <item x="1502"/>
        <item x="1217"/>
        <item x="2481"/>
        <item x="524"/>
        <item x="1446"/>
        <item x="597"/>
        <item x="370"/>
        <item x="2655"/>
        <item x="2845"/>
        <item x="2873"/>
        <item x="1033"/>
        <item x="2853"/>
        <item x="2583"/>
        <item x="1792"/>
        <item x="1506"/>
        <item x="541"/>
        <item x="2954"/>
        <item x="2399"/>
        <item x="2282"/>
        <item x="1236"/>
        <item x="391"/>
        <item x="2193"/>
        <item x="2696"/>
        <item x="314"/>
        <item x="657"/>
        <item x="2330"/>
        <item x="1564"/>
        <item x="2408"/>
        <item x="106"/>
        <item x="1561"/>
        <item x="1490"/>
        <item x="2544"/>
        <item x="1451"/>
        <item x="2656"/>
        <item x="1604"/>
        <item x="633"/>
        <item x="1314"/>
        <item x="2884"/>
        <item x="2774"/>
        <item x="544"/>
        <item x="1775"/>
        <item x="920"/>
        <item x="1517"/>
        <item x="1293"/>
        <item x="1411"/>
        <item x="2896"/>
        <item x="273"/>
        <item x="1188"/>
        <item x="554"/>
        <item x="1709"/>
        <item x="1756"/>
        <item x="1682"/>
        <item x="573"/>
        <item x="2172"/>
        <item x="2599"/>
        <item x="1804"/>
        <item x="2092"/>
        <item x="2387"/>
        <item x="117"/>
        <item x="2614"/>
        <item x="857"/>
        <item x="1099"/>
        <item x="923"/>
        <item x="1078"/>
        <item x="2337"/>
        <item x="93"/>
        <item x="2700"/>
        <item x="1507"/>
        <item x="2801"/>
        <item x="749"/>
        <item x="2037"/>
        <item x="1947"/>
        <item x="522"/>
        <item x="1981"/>
        <item x="1608"/>
        <item x="756"/>
        <item x="1145"/>
        <item x="1139"/>
        <item x="1160"/>
        <item x="2627"/>
        <item x="2706"/>
        <item x="2848"/>
        <item x="418"/>
        <item x="1761"/>
        <item x="2600"/>
        <item x="90"/>
        <item x="2304"/>
        <item x="2420"/>
        <item x="362"/>
        <item x="1278"/>
        <item x="998"/>
        <item x="567"/>
        <item x="1534"/>
        <item x="28"/>
        <item x="2518"/>
        <item x="726"/>
        <item x="1112"/>
        <item x="1862"/>
        <item x="606"/>
        <item x="164"/>
        <item x="2905"/>
        <item x="1521"/>
        <item x="2239"/>
        <item x="2254"/>
        <item x="2717"/>
        <item x="2213"/>
        <item x="1933"/>
        <item x="2705"/>
        <item x="793"/>
        <item x="2125"/>
        <item x="853"/>
        <item x="887"/>
        <item x="839"/>
        <item x="24"/>
        <item x="2426"/>
        <item x="722"/>
        <item x="1210"/>
        <item x="2048"/>
        <item x="1500"/>
        <item x="1031"/>
        <item x="319"/>
        <item x="1813"/>
        <item x="2233"/>
        <item x="1119"/>
        <item x="2785"/>
        <item x="2206"/>
        <item x="628"/>
        <item x="1613"/>
        <item x="1614"/>
        <item x="2533"/>
        <item x="1333"/>
        <item x="1327"/>
        <item x="57"/>
        <item x="1243"/>
        <item x="1885"/>
        <item x="568"/>
        <item x="2593"/>
        <item x="928"/>
        <item x="1335"/>
        <item x="583"/>
        <item x="1440"/>
        <item x="296"/>
        <item x="2977"/>
        <item x="2804"/>
        <item x="124"/>
        <item x="954"/>
        <item x="367"/>
        <item x="1693"/>
        <item x="577"/>
        <item x="1425"/>
        <item x="2771"/>
        <item x="943"/>
        <item x="2428"/>
        <item x="281"/>
        <item x="2391"/>
        <item x="2022"/>
        <item x="761"/>
        <item x="2680"/>
        <item x="257"/>
        <item x="2134"/>
        <item x="1625"/>
        <item x="2640"/>
        <item x="2163"/>
        <item x="430"/>
        <item x="1056"/>
        <item x="1679"/>
        <item x="2778"/>
        <item x="113"/>
        <item x="2564"/>
        <item x="1712"/>
        <item x="806"/>
        <item x="2654"/>
        <item x="1654"/>
        <item x="562"/>
        <item x="1377"/>
        <item x="98"/>
        <item x="2230"/>
        <item x="1040"/>
        <item x="2235"/>
        <item x="2150"/>
        <item x="1588"/>
        <item x="11"/>
        <item x="1942"/>
        <item x="2376"/>
        <item x="2274"/>
        <item x="438"/>
        <item x="194"/>
        <item x="1297"/>
        <item x="436"/>
        <item x="2290"/>
        <item x="1136"/>
        <item x="264"/>
        <item x="1997"/>
        <item x="2835"/>
        <item x="1141"/>
        <item x="2746"/>
        <item x="1282"/>
        <item x="637"/>
        <item x="692"/>
        <item x="2388"/>
        <item x="1686"/>
        <item x="2470"/>
        <item x="2586"/>
        <item x="279"/>
        <item x="2964"/>
        <item x="203"/>
        <item x="2958"/>
        <item x="1353"/>
        <item x="2651"/>
        <item x="1180"/>
        <item x="396"/>
        <item x="620"/>
        <item x="1866"/>
        <item x="217"/>
        <item x="1493"/>
        <item x="2982"/>
        <item x="848"/>
        <item x="1522"/>
        <item x="1196"/>
        <item x="470"/>
        <item x="2731"/>
        <item x="2446"/>
        <item x="903"/>
        <item x="1547"/>
        <item x="1294"/>
        <item x="594"/>
        <item x="1562"/>
        <item x="655"/>
        <item x="2122"/>
        <item x="1548"/>
        <item x="325"/>
        <item x="2794"/>
        <item x="1559"/>
        <item x="73"/>
        <item x="1702"/>
        <item x="20"/>
        <item x="1069"/>
        <item x="1471"/>
        <item x="2615"/>
        <item x="798"/>
        <item x="1872"/>
        <item x="2641"/>
        <item x="2790"/>
        <item x="283"/>
        <item x="1639"/>
        <item x="2545"/>
        <item x="555"/>
        <item x="2587"/>
        <item x="312"/>
        <item x="1743"/>
        <item x="2838"/>
        <item x="1940"/>
        <item x="2461"/>
        <item x="603"/>
        <item x="713"/>
        <item x="1494"/>
        <item x="1028"/>
        <item x="996"/>
        <item x="2907"/>
        <item x="192"/>
        <item x="1452"/>
        <item x="1890"/>
        <item x="2343"/>
        <item x="556"/>
        <item x="1801"/>
        <item x="2338"/>
        <item x="645"/>
        <item x="2966"/>
        <item x="846"/>
        <item x="1698"/>
        <item x="523"/>
        <item x="2741"/>
        <item x="973"/>
        <item x="1241"/>
        <item x="2939"/>
        <item x="1994"/>
        <item x="2019"/>
        <item x="2285"/>
        <item x="925"/>
        <item x="2538"/>
        <item x="2067"/>
        <item x="1191"/>
        <item x="2090"/>
        <item x="684"/>
        <item x="1847"/>
        <item x="1815"/>
        <item x="2520"/>
        <item x="18"/>
        <item x="2669"/>
        <item x="1961"/>
        <item x="2335"/>
        <item x="2299"/>
        <item x="1649"/>
        <item x="1746"/>
        <item x="95"/>
        <item x="1368"/>
        <item x="2893"/>
        <item x="1205"/>
        <item x="1249"/>
        <item x="162"/>
        <item x="1445"/>
        <item x="2250"/>
        <item x="782"/>
        <item x="2152"/>
        <item x="715"/>
        <item x="1156"/>
        <item x="867"/>
        <item x="2898"/>
        <item x="2767"/>
        <item x="1874"/>
        <item x="142"/>
        <item x="1577"/>
        <item x="2993"/>
        <item x="1427"/>
        <item t="default"/>
      </items>
    </pivotField>
    <pivotField dataField="1" compact="0" numFmtId="164" outline="0" showAll="0">
      <items count="3014">
        <item x="486"/>
        <item x="2784"/>
        <item x="1398"/>
        <item x="1692"/>
        <item x="2491"/>
        <item x="745"/>
        <item x="1787"/>
        <item x="2879"/>
        <item x="92"/>
        <item x="922"/>
        <item x="2016"/>
        <item x="2915"/>
        <item x="1823"/>
        <item x="79"/>
        <item x="1628"/>
        <item x="1869"/>
        <item x="909"/>
        <item x="234"/>
        <item x="2961"/>
        <item x="1077"/>
        <item x="2003"/>
        <item x="2720"/>
        <item x="2657"/>
        <item x="474"/>
        <item x="2171"/>
        <item x="1565"/>
        <item x="590"/>
        <item x="1382"/>
        <item x="1541"/>
        <item x="2475"/>
        <item x="49"/>
        <item x="879"/>
        <item x="2634"/>
        <item x="513"/>
        <item x="1973"/>
        <item x="1438"/>
        <item x="399"/>
        <item x="1286"/>
        <item x="1509"/>
        <item x="2531"/>
        <item x="2602"/>
        <item x="102"/>
        <item x="2380"/>
        <item x="932"/>
        <item x="35"/>
        <item x="864"/>
        <item x="2026"/>
        <item x="242"/>
        <item x="1170"/>
        <item x="12"/>
        <item x="1958"/>
        <item x="840"/>
        <item x="1088"/>
        <item x="1946"/>
        <item x="1934"/>
        <item x="2264"/>
        <item x="852"/>
        <item x="2182"/>
        <item x="625"/>
        <item x="1598"/>
        <item x="671"/>
        <item x="1676"/>
        <item x="2690"/>
        <item x="1276"/>
        <item x="392"/>
        <item x="2768"/>
        <item x="210"/>
        <item x="1048"/>
        <item x="1674"/>
        <item x="58"/>
        <item x="2370"/>
        <item x="78"/>
        <item x="908"/>
        <item x="1982"/>
        <item x="1396"/>
        <item x="1009"/>
        <item x="733"/>
        <item x="2766"/>
        <item x="2142"/>
        <item x="1774"/>
        <item x="888"/>
        <item x="527"/>
        <item x="2489"/>
        <item x="1915"/>
        <item x="2002"/>
        <item x="1863"/>
        <item x="2103"/>
        <item x="1605"/>
        <item x="2697"/>
        <item x="666"/>
        <item x="2866"/>
        <item x="2549"/>
        <item x="2955"/>
        <item x="1456"/>
        <item x="1669"/>
        <item x="2761"/>
        <item x="3007"/>
        <item x="638"/>
        <item x="694"/>
        <item x="222"/>
        <item x="539"/>
        <item x="1626"/>
        <item x="136"/>
        <item x="966"/>
        <item x="1063"/>
        <item x="1109"/>
        <item x="2157"/>
        <item x="290"/>
        <item x="1717"/>
        <item x="2809"/>
        <item x="1470"/>
        <item x="2060"/>
        <item x="2563"/>
        <item x="2718"/>
        <item x="52"/>
        <item x="232"/>
        <item x="270"/>
        <item x="1754"/>
        <item x="882"/>
        <item x="1075"/>
        <item x="2247"/>
        <item x="799"/>
        <item x="2203"/>
        <item x="1976"/>
        <item x="114"/>
        <item x="1153"/>
        <item x="604"/>
        <item x="1125"/>
        <item x="944"/>
        <item x="642"/>
        <item x="1873"/>
        <item x="2219"/>
        <item x="2846"/>
        <item x="2169"/>
        <item x="179"/>
        <item x="1899"/>
        <item x="2965"/>
        <item x="1876"/>
        <item x="533"/>
        <item x="1606"/>
        <item x="2038"/>
        <item x="1811"/>
        <item x="1560"/>
        <item x="2903"/>
        <item x="2968"/>
        <item x="1880"/>
        <item x="2698"/>
        <item x="1632"/>
        <item x="781"/>
        <item x="1463"/>
        <item x="1845"/>
        <item x="2724"/>
        <item x="2972"/>
        <item x="2991"/>
        <item x="2652"/>
        <item x="1015"/>
        <item x="755"/>
        <item x="180"/>
        <item x="408"/>
        <item x="1918"/>
        <item x="2109"/>
        <item x="1803"/>
        <item x="284"/>
        <item x="2556"/>
        <item x="1142"/>
        <item x="72"/>
        <item x="3010"/>
        <item x="111"/>
        <item x="941"/>
        <item x="89"/>
        <item x="2393"/>
        <item x="331"/>
        <item x="2110"/>
        <item x="623"/>
        <item x="434"/>
        <item x="2937"/>
        <item x="1016"/>
        <item x="529"/>
        <item x="2035"/>
        <item x="1299"/>
        <item x="820"/>
        <item x="2895"/>
        <item x="2726"/>
        <item x="352"/>
        <item x="902"/>
        <item x="2297"/>
        <item x="1909"/>
        <item x="1634"/>
        <item x="780"/>
        <item x="2551"/>
        <item x="1844"/>
        <item x="622"/>
        <item x="1203"/>
        <item x="2013"/>
        <item x="2236"/>
        <item x="1331"/>
        <item x="704"/>
        <item x="919"/>
        <item x="1996"/>
        <item x="1591"/>
        <item x="1593"/>
        <item x="1508"/>
        <item x="2981"/>
        <item x="1458"/>
        <item x="1731"/>
        <item x="204"/>
        <item x="1889"/>
        <item x="1886"/>
        <item x="700"/>
        <item x="2601"/>
        <item x="2683"/>
        <item x="1429"/>
        <item x="2135"/>
        <item x="2424"/>
        <item x="1226"/>
        <item x="453"/>
        <item x="1357"/>
        <item x="2685"/>
        <item x="2936"/>
        <item x="2998"/>
        <item x="201"/>
        <item x="2710"/>
        <item x="584"/>
        <item x="2320"/>
        <item x="1041"/>
        <item x="1618"/>
        <item x="1906"/>
        <item x="3001"/>
        <item x="2522"/>
        <item x="2823"/>
        <item x="743"/>
        <item x="624"/>
        <item x="298"/>
        <item x="1597"/>
        <item x="2695"/>
        <item x="119"/>
        <item x="2978"/>
        <item x="1725"/>
        <item x="2817"/>
        <item x="670"/>
        <item x="1785"/>
        <item x="1603"/>
        <item x="2689"/>
        <item x="1038"/>
        <item x="293"/>
        <item x="2450"/>
        <item x="2628"/>
        <item x="1535"/>
        <item x="2132"/>
        <item x="984"/>
        <item x="504"/>
        <item x="2043"/>
        <item x="2078"/>
        <item x="949"/>
        <item x="1058"/>
        <item x="38"/>
        <item x="2257"/>
        <item x="517"/>
        <item x="1163"/>
        <item x="652"/>
        <item x="70"/>
        <item x="1901"/>
        <item x="1806"/>
        <item x="368"/>
        <item x="2877"/>
        <item x="900"/>
        <item x="800"/>
        <item x="1244"/>
        <item x="333"/>
        <item x="321"/>
        <item x="1675"/>
        <item x="366"/>
        <item x="1427"/>
        <item x="2993"/>
        <item x="1577"/>
        <item x="142"/>
        <item x="1874"/>
        <item x="2767"/>
        <item x="2898"/>
        <item x="867"/>
        <item x="1156"/>
        <item x="715"/>
        <item x="2152"/>
        <item x="782"/>
        <item x="2250"/>
        <item x="1445"/>
        <item x="162"/>
        <item x="1249"/>
        <item x="1205"/>
        <item x="2893"/>
        <item x="1368"/>
        <item x="95"/>
        <item x="1746"/>
        <item x="1649"/>
        <item x="2299"/>
        <item x="2335"/>
        <item x="1961"/>
        <item x="2669"/>
        <item x="18"/>
        <item x="2520"/>
        <item x="1815"/>
        <item x="1847"/>
        <item x="684"/>
        <item x="2090"/>
        <item x="1191"/>
        <item x="2067"/>
        <item x="2538"/>
        <item x="925"/>
        <item x="2285"/>
        <item x="2019"/>
        <item x="1994"/>
        <item x="2939"/>
        <item x="1241"/>
        <item x="973"/>
        <item x="2741"/>
        <item x="523"/>
        <item x="1698"/>
        <item x="846"/>
        <item x="2966"/>
        <item x="645"/>
        <item x="2338"/>
        <item x="1801"/>
        <item x="556"/>
        <item x="2343"/>
        <item x="1890"/>
        <item x="1452"/>
        <item x="192"/>
        <item x="2907"/>
        <item x="996"/>
        <item x="1028"/>
        <item x="1494"/>
        <item x="713"/>
        <item x="603"/>
        <item x="2461"/>
        <item x="1940"/>
        <item x="2838"/>
        <item x="1743"/>
        <item x="312"/>
        <item x="2587"/>
        <item x="555"/>
        <item x="2545"/>
        <item x="1639"/>
        <item x="283"/>
        <item x="2790"/>
        <item x="2641"/>
        <item x="1872"/>
        <item x="798"/>
        <item x="2615"/>
        <item x="1471"/>
        <item x="1069"/>
        <item x="20"/>
        <item x="1702"/>
        <item x="73"/>
        <item x="1559"/>
        <item x="2794"/>
        <item x="325"/>
        <item x="1548"/>
        <item x="2122"/>
        <item x="655"/>
        <item x="1562"/>
        <item x="594"/>
        <item x="1294"/>
        <item x="1547"/>
        <item x="903"/>
        <item x="2446"/>
        <item x="2731"/>
        <item x="470"/>
        <item x="1196"/>
        <item x="1522"/>
        <item x="848"/>
        <item x="2982"/>
        <item x="1493"/>
        <item x="217"/>
        <item x="1866"/>
        <item x="620"/>
        <item x="396"/>
        <item x="1180"/>
        <item x="2651"/>
        <item x="1353"/>
        <item x="2958"/>
        <item x="203"/>
        <item x="2964"/>
        <item x="279"/>
        <item x="2586"/>
        <item x="2470"/>
        <item x="1686"/>
        <item x="2388"/>
        <item x="692"/>
        <item x="637"/>
        <item x="1282"/>
        <item x="2746"/>
        <item x="1141"/>
        <item x="2835"/>
        <item x="1997"/>
        <item x="264"/>
        <item x="1136"/>
        <item x="2290"/>
        <item x="436"/>
        <item x="1297"/>
        <item x="194"/>
        <item x="438"/>
        <item x="2274"/>
        <item x="2376"/>
        <item x="1942"/>
        <item x="11"/>
        <item x="1588"/>
        <item x="2150"/>
        <item x="2235"/>
        <item x="1040"/>
        <item x="2230"/>
        <item x="98"/>
        <item x="1377"/>
        <item x="562"/>
        <item x="1654"/>
        <item x="2654"/>
        <item x="806"/>
        <item x="1712"/>
        <item x="2564"/>
        <item x="113"/>
        <item x="2778"/>
        <item x="1679"/>
        <item x="1056"/>
        <item x="430"/>
        <item x="2163"/>
        <item x="2640"/>
        <item x="1625"/>
        <item x="2134"/>
        <item x="257"/>
        <item x="2680"/>
        <item x="761"/>
        <item x="2022"/>
        <item x="2391"/>
        <item x="281"/>
        <item x="2428"/>
        <item x="943"/>
        <item x="2771"/>
        <item x="1425"/>
        <item x="577"/>
        <item x="1693"/>
        <item x="367"/>
        <item x="954"/>
        <item x="124"/>
        <item x="2804"/>
        <item x="2977"/>
        <item x="296"/>
        <item x="1440"/>
        <item x="583"/>
        <item x="1335"/>
        <item x="928"/>
        <item x="2593"/>
        <item x="568"/>
        <item x="1885"/>
        <item x="1243"/>
        <item x="57"/>
        <item x="1327"/>
        <item x="1333"/>
        <item x="2533"/>
        <item x="1614"/>
        <item x="1613"/>
        <item x="628"/>
        <item x="2206"/>
        <item x="2785"/>
        <item x="1119"/>
        <item x="2233"/>
        <item x="1813"/>
        <item x="319"/>
        <item x="1031"/>
        <item x="1500"/>
        <item x="2048"/>
        <item x="1210"/>
        <item x="722"/>
        <item x="2426"/>
        <item x="24"/>
        <item x="839"/>
        <item x="887"/>
        <item x="853"/>
        <item x="2125"/>
        <item x="793"/>
        <item x="2705"/>
        <item x="1933"/>
        <item x="2213"/>
        <item x="2717"/>
        <item x="2254"/>
        <item x="2239"/>
        <item x="1521"/>
        <item x="2905"/>
        <item x="164"/>
        <item x="606"/>
        <item x="1862"/>
        <item x="1112"/>
        <item x="726"/>
        <item x="2518"/>
        <item x="28"/>
        <item x="1534"/>
        <item x="567"/>
        <item x="998"/>
        <item x="1278"/>
        <item x="362"/>
        <item x="2420"/>
        <item x="2304"/>
        <item x="90"/>
        <item x="2600"/>
        <item x="1761"/>
        <item x="418"/>
        <item x="2848"/>
        <item x="2706"/>
        <item x="2627"/>
        <item x="1160"/>
        <item x="1139"/>
        <item x="1145"/>
        <item x="756"/>
        <item x="1608"/>
        <item x="1981"/>
        <item x="522"/>
        <item x="1947"/>
        <item x="2037"/>
        <item x="749"/>
        <item x="2801"/>
        <item x="1507"/>
        <item x="2700"/>
        <item x="93"/>
        <item x="2337"/>
        <item x="1078"/>
        <item x="923"/>
        <item x="1099"/>
        <item x="857"/>
        <item x="2614"/>
        <item x="117"/>
        <item x="2387"/>
        <item x="2092"/>
        <item x="1804"/>
        <item x="2599"/>
        <item x="2172"/>
        <item x="573"/>
        <item x="1682"/>
        <item x="1756"/>
        <item x="1709"/>
        <item x="554"/>
        <item x="1188"/>
        <item x="273"/>
        <item x="2896"/>
        <item x="1411"/>
        <item x="1293"/>
        <item x="1517"/>
        <item x="920"/>
        <item x="1775"/>
        <item x="544"/>
        <item x="2774"/>
        <item x="2884"/>
        <item x="1314"/>
        <item x="633"/>
        <item x="1604"/>
        <item x="2656"/>
        <item x="1451"/>
        <item x="2544"/>
        <item x="1490"/>
        <item x="1561"/>
        <item x="106"/>
        <item x="2408"/>
        <item x="1564"/>
        <item x="2330"/>
        <item x="657"/>
        <item x="314"/>
        <item x="2696"/>
        <item x="2193"/>
        <item x="391"/>
        <item x="1236"/>
        <item x="2282"/>
        <item x="2399"/>
        <item x="2954"/>
        <item x="541"/>
        <item x="1506"/>
        <item x="1792"/>
        <item x="2583"/>
        <item x="2853"/>
        <item x="71"/>
        <item x="2014"/>
        <item x="1951"/>
        <item x="2372"/>
        <item x="2653"/>
        <item x="2610"/>
        <item x="631"/>
        <item x="62"/>
        <item x="2063"/>
        <item x="1305"/>
        <item x="947"/>
        <item x="608"/>
        <item x="1657"/>
        <item x="2749"/>
        <item x="2030"/>
        <item x="2223"/>
        <item x="2504"/>
        <item x="1660"/>
        <item x="268"/>
        <item x="901"/>
        <item x="1309"/>
        <item x="1619"/>
        <item x="1182"/>
        <item x="969"/>
        <item x="506"/>
        <item x="141"/>
        <item x="2711"/>
        <item x="1275"/>
        <item x="185"/>
        <item x="1129"/>
        <item x="1123"/>
        <item x="572"/>
        <item x="1473"/>
        <item x="2569"/>
        <item x="2017"/>
        <item x="688"/>
        <item x="1087"/>
        <item x="936"/>
        <item x="1615"/>
        <item x="426"/>
        <item x="32"/>
        <item x="1021"/>
        <item x="286"/>
        <item x="1476"/>
        <item x="2867"/>
        <item x="2041"/>
        <item x="384"/>
        <item x="2752"/>
        <item x="2924"/>
        <item x="51"/>
        <item x="2115"/>
        <item x="2276"/>
        <item x="2181"/>
        <item x="356"/>
        <item x="861"/>
        <item x="2245"/>
        <item x="786"/>
        <item x="972"/>
        <item x="246"/>
        <item x="1986"/>
        <item x="2369"/>
        <item x="2812"/>
        <item x="1515"/>
        <item x="1430"/>
        <item x="754"/>
        <item x="560"/>
        <item x="1498"/>
        <item x="2066"/>
        <item x="148"/>
        <item x="1832"/>
        <item x="229"/>
        <item x="443"/>
        <item x="2240"/>
        <item x="1995"/>
        <item x="1568"/>
        <item x="311"/>
        <item x="1720"/>
        <item x="2920"/>
        <item x="1955"/>
        <item x="505"/>
        <item x="1828"/>
        <item x="1837"/>
        <item x="1767"/>
        <item x="892"/>
        <item x="1179"/>
        <item x="326"/>
        <item x="1919"/>
        <item x="2417"/>
        <item x="747"/>
        <item x="2566"/>
        <item x="1323"/>
        <item x="405"/>
        <item x="1267"/>
        <item x="1151"/>
        <item x="1146"/>
        <item x="1097"/>
        <item x="427"/>
        <item x="1592"/>
        <item x="414"/>
        <item x="2707"/>
        <item x="1067"/>
        <item x="2361"/>
        <item x="752"/>
        <item x="679"/>
        <item x="2324"/>
        <item x="2841"/>
        <item x="2796"/>
        <item x="1587"/>
        <item x="250"/>
        <item x="1302"/>
        <item x="1230"/>
        <item x="2684"/>
        <item x="337"/>
        <item x="2403"/>
        <item x="881"/>
        <item x="2217"/>
        <item x="37"/>
        <item x="1688"/>
        <item x="2660"/>
        <item x="353"/>
        <item x="2161"/>
        <item x="1704"/>
        <item x="1749"/>
        <item x="1072"/>
        <item x="2273"/>
        <item x="1790"/>
        <item x="126"/>
        <item x="1103"/>
        <item x="792"/>
        <item x="791"/>
        <item x="1701"/>
        <item x="1342"/>
        <item x="484"/>
        <item x="866"/>
        <item x="2523"/>
        <item x="551"/>
        <item x="1308"/>
        <item x="1428"/>
        <item x="2521"/>
        <item x="1852"/>
        <item x="2608"/>
        <item x="784"/>
        <item x="2894"/>
        <item x="3011"/>
        <item x="2679"/>
        <item x="371"/>
        <item x="979"/>
        <item x="2929"/>
        <item x="1487"/>
        <item x="2591"/>
        <item x="1802"/>
        <item x="801"/>
        <item x="1439"/>
        <item x="263"/>
        <item x="2435"/>
        <item x="1849"/>
        <item x="503"/>
        <item x="134"/>
        <item x="1975"/>
        <item x="1292"/>
        <item x="2291"/>
        <item x="1202"/>
        <item x="1595"/>
        <item x="303"/>
        <item x="175"/>
        <item x="1868"/>
        <item x="2073"/>
        <item x="2944"/>
        <item x="1197"/>
        <item x="2386"/>
        <item x="355"/>
        <item x="239"/>
        <item x="2580"/>
        <item x="401"/>
        <item x="1209"/>
        <item x="1227"/>
        <item x="2793"/>
        <item x="1248"/>
        <item x="2487"/>
        <item x="261"/>
        <item x="1118"/>
        <item x="2859"/>
        <item x="1324"/>
        <item x="237"/>
        <item x="1795"/>
        <item x="2882"/>
        <item x="2887"/>
        <item x="1860"/>
        <item x="2166"/>
        <item x="34"/>
        <item x="2191"/>
        <item x="394"/>
        <item x="2396"/>
        <item x="2222"/>
        <item x="1371"/>
        <item x="2303"/>
        <item x="956"/>
        <item x="807"/>
        <item x="1566"/>
        <item x="760"/>
        <item x="1888"/>
        <item x="258"/>
        <item x="1171"/>
        <item x="1960"/>
        <item x="1116"/>
        <item x="815"/>
        <item x="2969"/>
        <item x="1861"/>
        <item x="2212"/>
        <item x="1128"/>
        <item x="2050"/>
        <item x="1415"/>
        <item x="497"/>
        <item x="2687"/>
        <item x="1083"/>
        <item x="545"/>
        <item x="441"/>
        <item x="2402"/>
        <item x="2177"/>
        <item x="2960"/>
        <item x="144"/>
        <item x="1707"/>
        <item x="128"/>
        <item x="1339"/>
        <item x="2197"/>
        <item x="2780"/>
        <item x="1011"/>
        <item x="156"/>
        <item x="442"/>
        <item x="2296"/>
        <item x="2058"/>
        <item x="1090"/>
        <item x="2658"/>
        <item x="2532"/>
        <item x="2342"/>
        <item x="69"/>
        <item x="1081"/>
        <item x="243"/>
        <item x="1424"/>
        <item x="2175"/>
        <item x="2323"/>
        <item x="1341"/>
        <item x="334"/>
        <item x="1653"/>
        <item x="990"/>
        <item x="1394"/>
        <item x="8"/>
        <item x="964"/>
        <item x="2799"/>
        <item x="2105"/>
        <item x="2952"/>
        <item x="2210"/>
        <item x="863"/>
        <item x="291"/>
        <item x="420"/>
        <item x="1812"/>
        <item x="1877"/>
        <item x="1648"/>
        <item x="564"/>
        <item x="1288"/>
        <item x="2373"/>
        <item x="323"/>
        <item x="260"/>
        <item x="91"/>
        <item x="958"/>
        <item x="2941"/>
        <item x="2980"/>
        <item x="1898"/>
        <item x="525"/>
        <item x="1957"/>
        <item x="2508"/>
        <item x="1567"/>
        <item x="607"/>
        <item x="1229"/>
        <item x="2184"/>
        <item x="2321"/>
        <item x="2953"/>
        <item x="1089"/>
        <item x="2183"/>
        <item x="2534"/>
        <item x="540"/>
        <item x="1575"/>
        <item x="921"/>
        <item x="2300"/>
        <item x="1441"/>
        <item x="477"/>
        <item x="2207"/>
        <item x="2464"/>
        <item x="595"/>
        <item x="1464"/>
        <item x="1472"/>
        <item x="336"/>
        <item x="2517"/>
        <item x="2052"/>
        <item x="22"/>
        <item x="280"/>
        <item x="2990"/>
        <item x="1316"/>
        <item x="2265"/>
        <item x="16"/>
        <item x="975"/>
        <item x="1159"/>
        <item x="2069"/>
        <item x="552"/>
        <item x="1454"/>
        <item x="2832"/>
        <item x="683"/>
        <item x="2570"/>
        <item x="2740"/>
        <item x="844"/>
        <item x="1488"/>
        <item x="1279"/>
        <item x="150"/>
        <item x="2547"/>
        <item x="825"/>
        <item x="1137"/>
        <item x="1697"/>
        <item x="2432"/>
        <item x="59"/>
        <item x="899"/>
        <item x="6"/>
        <item x="2248"/>
        <item x="1208"/>
        <item x="618"/>
        <item x="1113"/>
        <item x="421"/>
        <item x="1206"/>
        <item x="1740"/>
        <item x="2410"/>
        <item x="2904"/>
        <item x="220"/>
        <item x="2084"/>
        <item x="1026"/>
        <item x="2382"/>
        <item x="190"/>
        <item x="252"/>
        <item x="2565"/>
        <item x="1477"/>
        <item x="982"/>
        <item x="209"/>
        <item x="2253"/>
        <item x="1154"/>
        <item x="723"/>
        <item x="2302"/>
        <item x="2745"/>
        <item x="641"/>
        <item x="836"/>
        <item x="2287"/>
        <item x="1503"/>
        <item x="2434"/>
        <item x="218"/>
        <item x="1106"/>
        <item x="2557"/>
        <item x="1938"/>
        <item x="1689"/>
        <item x="304"/>
        <item x="1418"/>
        <item x="467"/>
        <item x="231"/>
        <item x="2659"/>
        <item x="206"/>
        <item x="1193"/>
        <item x="1399"/>
        <item x="166"/>
        <item x="1115"/>
        <item x="514"/>
        <item x="1714"/>
        <item x="1172"/>
        <item x="2015"/>
        <item x="834"/>
        <item x="1491"/>
        <item x="1047"/>
        <item x="173"/>
        <item x="1374"/>
        <item x="850"/>
        <item x="2677"/>
        <item x="1757"/>
        <item x="986"/>
        <item x="2806"/>
        <item x="1549"/>
        <item x="1623"/>
        <item x="145"/>
        <item x="2492"/>
        <item x="1993"/>
        <item x="599"/>
        <item x="2596"/>
        <item x="763"/>
        <item x="2155"/>
        <item x="183"/>
        <item x="428"/>
        <item x="1386"/>
        <item x="737"/>
        <item x="1930"/>
        <item x="2151"/>
        <item x="1576"/>
        <item x="1779"/>
        <item x="1061"/>
        <item x="2168"/>
        <item x="1057"/>
        <item x="1043"/>
        <item x="2080"/>
        <item x="289"/>
        <item x="2231"/>
        <item x="889"/>
        <item x="475"/>
        <item x="2209"/>
        <item x="224"/>
        <item x="2715"/>
        <item x="2667"/>
        <item x="1554"/>
        <item x="211"/>
        <item x="1383"/>
        <item x="1928"/>
        <item x="2511"/>
        <item x="387"/>
        <item x="2849"/>
        <item x="1816"/>
        <item x="2137"/>
        <item x="648"/>
        <item x="1000"/>
        <item x="2479"/>
        <item x="1585"/>
        <item x="1673"/>
        <item x="1831"/>
        <item x="1426"/>
        <item x="553"/>
        <item x="1008"/>
        <item x="1312"/>
        <item x="1019"/>
        <item x="1670"/>
        <item x="667"/>
        <item x="2789"/>
        <item x="2722"/>
        <item x="1044"/>
        <item x="181"/>
        <item x="1317"/>
        <item x="1914"/>
        <item x="200"/>
        <item x="1074"/>
        <item x="471"/>
        <item x="365"/>
        <item x="1325"/>
        <item x="528"/>
        <item x="2642"/>
        <item x="702"/>
        <item x="2418"/>
        <item x="2519"/>
        <item x="351"/>
        <item x="2266"/>
        <item x="2781"/>
        <item x="1630"/>
        <item x="158"/>
        <item x="1734"/>
        <item x="53"/>
        <item x="1771"/>
        <item x="1944"/>
        <item x="335"/>
        <item x="1225"/>
        <item x="1857"/>
        <item x="2076"/>
        <item x="2406"/>
        <item x="976"/>
        <item x="350"/>
        <item x="771"/>
        <item x="1773"/>
        <item x="2144"/>
        <item x="1839"/>
        <item x="1983"/>
        <item x="131"/>
        <item x="2120"/>
        <item x="2141"/>
        <item x="812"/>
        <item x="1617"/>
        <item x="2581"/>
        <item x="2584"/>
        <item x="327"/>
        <item x="736"/>
        <item x="2094"/>
        <item x="1385"/>
        <item x="3006"/>
        <item x="1065"/>
        <item x="269"/>
        <item x="661"/>
        <item x="992"/>
        <item x="2871"/>
        <item x="2102"/>
        <item x="36"/>
        <item x="2582"/>
        <item x="2865"/>
        <item x="1642"/>
        <item x="1826"/>
        <item x="2821"/>
        <item x="2070"/>
        <item x="1240"/>
        <item x="2411"/>
        <item x="1442"/>
        <item x="423"/>
        <item x="1378"/>
        <item x="10"/>
        <item x="2535"/>
        <item x="2949"/>
        <item x="813"/>
        <item x="2131"/>
        <item x="2542"/>
        <item x="2111"/>
        <item x="1457"/>
        <item x="340"/>
        <item x="2113"/>
        <item x="1255"/>
        <item x="2646"/>
        <item x="1207"/>
        <item x="712"/>
        <item x="1896"/>
        <item x="2244"/>
        <item x="236"/>
        <item x="2200"/>
        <item x="1150"/>
        <item x="227"/>
        <item x="2931"/>
        <item x="2550"/>
        <item x="2762"/>
        <item x="2124"/>
        <item x="2681"/>
        <item x="2863"/>
        <item x="587"/>
        <item x="2734"/>
        <item x="1253"/>
        <item x="2765"/>
        <item x="865"/>
        <item x="1050"/>
        <item x="2467"/>
        <item x="2476"/>
        <item x="2349"/>
        <item x="1238"/>
        <item x="1252"/>
        <item x="2471"/>
        <item x="457"/>
        <item x="2826"/>
        <item x="1198"/>
        <item x="432"/>
        <item x="454"/>
        <item x="1663"/>
        <item x="1037"/>
        <item x="561"/>
        <item x="2159"/>
        <item x="1358"/>
        <item x="2755"/>
        <item x="1713"/>
        <item x="788"/>
        <item x="2918"/>
        <item x="1977"/>
        <item x="2703"/>
        <item x="1165"/>
        <item x="2365"/>
        <item x="1747"/>
        <item x="1489"/>
        <item x="748"/>
        <item x="1895"/>
        <item x="2332"/>
        <item x="1124"/>
        <item x="2334"/>
        <item x="2908"/>
        <item x="1271"/>
        <item x="1729"/>
        <item x="1449"/>
        <item x="1352"/>
        <item x="2319"/>
        <item x="374"/>
        <item x="2412"/>
        <item x="2301"/>
        <item x="531"/>
        <item x="1030"/>
        <item x="1611"/>
        <item x="1080"/>
        <item x="2668"/>
        <item x="576"/>
        <item x="1461"/>
        <item x="7"/>
        <item x="650"/>
        <item x="2805"/>
        <item x="2347"/>
        <item x="1017"/>
        <item x="2218"/>
        <item x="2478"/>
        <item x="1854"/>
        <item x="2422"/>
        <item x="186"/>
        <item x="1589"/>
        <item x="25"/>
        <item x="1224"/>
        <item x="81"/>
        <item x="961"/>
        <item x="2923"/>
        <item x="883"/>
        <item x="409"/>
        <item x="1320"/>
        <item x="2308"/>
        <item x="213"/>
        <item x="2138"/>
        <item x="2292"/>
        <item x="2174"/>
        <item x="15"/>
        <item x="2259"/>
        <item x="1715"/>
        <item x="403"/>
        <item x="1329"/>
        <item x="1070"/>
        <item x="476"/>
        <item x="313"/>
        <item x="1875"/>
        <item x="2709"/>
        <item x="140"/>
        <item x="2631"/>
        <item x="1318"/>
        <item x="2445"/>
        <item x="2455"/>
        <item x="478"/>
        <item x="2451"/>
        <item x="100"/>
        <item x="2055"/>
        <item x="1290"/>
        <item x="1052"/>
        <item x="778"/>
        <item x="1778"/>
        <item x="1348"/>
        <item x="854"/>
        <item x="1214"/>
        <item x="2346"/>
        <item x="656"/>
        <item x="2318"/>
        <item x="1362"/>
        <item x="397"/>
        <item x="1646"/>
        <item x="300"/>
        <item x="1791"/>
        <item x="2988"/>
        <item x="2086"/>
        <item x="1022"/>
        <item x="731"/>
        <item x="1520"/>
        <item x="764"/>
        <item x="1538"/>
        <item x="88"/>
        <item x="1499"/>
        <item x="1932"/>
        <item x="1959"/>
        <item x="971"/>
        <item x="2494"/>
        <item x="838"/>
        <item x="534"/>
        <item x="130"/>
        <item x="2839"/>
        <item x="1742"/>
        <item x="911"/>
        <item x="233"/>
        <item x="2834"/>
        <item x="30"/>
        <item x="2987"/>
        <item x="658"/>
        <item x="1656"/>
        <item x="318"/>
        <item x="2275"/>
        <item x="649"/>
        <item x="2870"/>
        <item x="182"/>
        <item x="2592"/>
        <item x="521"/>
        <item x="266"/>
        <item x="1300"/>
        <item x="1929"/>
        <item x="149"/>
        <item x="1644"/>
        <item x="2727"/>
        <item x="1384"/>
        <item x="2967"/>
        <item x="45"/>
        <item x="1166"/>
        <item x="238"/>
        <item x="2414"/>
        <item x="488"/>
        <item x="1387"/>
        <item x="230"/>
        <item x="918"/>
        <item x="826"/>
        <item x="1635"/>
        <item x="1181"/>
        <item x="56"/>
        <item x="859"/>
        <item x="1769"/>
        <item x="1948"/>
        <item x="1465"/>
        <item x="1842"/>
        <item x="122"/>
        <item x="1082"/>
        <item x="1846"/>
        <item x="2946"/>
        <item x="1437"/>
        <item x="2394"/>
        <item x="2829"/>
        <item x="875"/>
        <item x="512"/>
        <item x="1283"/>
        <item x="2164"/>
        <item x="1401"/>
        <item x="2"/>
        <item x="1450"/>
        <item x="416"/>
        <item x="1799"/>
        <item x="665"/>
        <item x="1254"/>
        <item x="835"/>
        <item x="383"/>
        <item x="1737"/>
        <item x="2554"/>
        <item x="1533"/>
        <item x="588"/>
        <item x="1356"/>
        <item x="843"/>
        <item x="1311"/>
        <item x="207"/>
        <item x="2861"/>
        <item x="2750"/>
        <item x="1887"/>
        <item x="2543"/>
        <item x="777"/>
        <item x="635"/>
        <item x="121"/>
        <item x="2807"/>
        <item x="1622"/>
        <item x="1242"/>
        <item x="2281"/>
        <item x="2883"/>
        <item x="669"/>
        <item x="668"/>
        <item x="1187"/>
        <item x="930"/>
        <item x="2348"/>
        <item x="2384"/>
        <item x="829"/>
        <item x="322"/>
        <item x="2116"/>
        <item x="2477"/>
        <item x="305"/>
        <item x="1045"/>
        <item x="1018"/>
        <item x="765"/>
        <item x="1658"/>
        <item x="103"/>
        <item x="9"/>
        <item x="2260"/>
        <item x="1672"/>
        <item x="2215"/>
        <item x="75"/>
        <item x="1073"/>
        <item x="1668"/>
        <item x="2558"/>
        <item x="1432"/>
        <item x="466"/>
        <item x="2613"/>
        <item x="1594"/>
        <item x="591"/>
        <item x="21"/>
        <item x="1817"/>
        <item x="2012"/>
        <item x="288"/>
        <item x="2256"/>
        <item x="1105"/>
        <item x="2938"/>
        <item x="2185"/>
        <item x="40"/>
        <item x="2891"/>
        <item x="2934"/>
        <item x="2005"/>
        <item x="1916"/>
        <item x="177"/>
        <item x="1953"/>
        <item x="515"/>
        <item x="1404"/>
        <item x="2738"/>
        <item x="2441"/>
        <item x="2146"/>
        <item x="519"/>
        <item x="2336"/>
        <item x="1683"/>
        <item x="1543"/>
        <item x="127"/>
        <item x="2736"/>
        <item x="634"/>
        <item x="1121"/>
        <item x="1162"/>
        <item x="449"/>
        <item x="2626"/>
        <item x="2024"/>
        <item x="1937"/>
        <item x="47"/>
        <item x="837"/>
        <item x="2909"/>
        <item x="804"/>
        <item x="1076"/>
        <item x="678"/>
        <item x="2888"/>
        <item x="1479"/>
        <item x="2405"/>
        <item x="2763"/>
        <item x="2748"/>
        <item x="1478"/>
        <item x="2979"/>
        <item x="789"/>
        <item x="2377"/>
        <item x="960"/>
        <item x="2065"/>
        <item x="1266"/>
        <item x="1539"/>
        <item x="2775"/>
        <item x="617"/>
        <item x="1855"/>
        <item x="2480"/>
        <item x="2284"/>
        <item x="369"/>
        <item x="1257"/>
        <item x="1246"/>
        <item x="957"/>
        <item x="746"/>
        <item x="1350"/>
        <item x="675"/>
        <item x="1192"/>
        <item x="1819"/>
        <item x="1969"/>
        <item x="728"/>
        <item x="2054"/>
        <item x="905"/>
        <item x="2449"/>
        <item x="980"/>
        <item x="1148"/>
        <item x="507"/>
        <item x="1526"/>
        <item x="1096"/>
        <item x="951"/>
        <item x="1796"/>
        <item x="1492"/>
        <item x="1190"/>
        <item x="390"/>
        <item x="2686"/>
        <item x="1091"/>
        <item x="2045"/>
        <item x="2107"/>
        <item x="2112"/>
        <item x="27"/>
        <item x="1274"/>
        <item x="1013"/>
        <item x="933"/>
        <item x="1671"/>
        <item x="2530"/>
        <item x="221"/>
        <item x="2074"/>
        <item x="2636"/>
        <item x="1920"/>
        <item x="2525"/>
        <item x="886"/>
        <item x="2897"/>
        <item x="1002"/>
        <item x="729"/>
        <item x="1620"/>
        <item x="1062"/>
        <item x="133"/>
        <item x="2170"/>
        <item x="963"/>
        <item x="2167"/>
        <item x="199"/>
        <item x="2360"/>
        <item x="644"/>
        <item x="952"/>
        <item x="1696"/>
        <item x="877"/>
        <item x="480"/>
        <item x="2932"/>
        <item x="1923"/>
        <item x="502"/>
        <item x="651"/>
        <item x="2632"/>
        <item x="569"/>
        <item x="2571"/>
        <item x="2760"/>
        <item x="1443"/>
        <item x="167"/>
        <item x="1805"/>
        <item x="2267"/>
        <item x="1840"/>
        <item x="1980"/>
        <item x="1447"/>
        <item x="2712"/>
        <item x="424"/>
        <item x="647"/>
        <item x="2764"/>
        <item x="2046"/>
        <item x="2199"/>
        <item x="1881"/>
        <item x="46"/>
        <item x="2351"/>
        <item x="2497"/>
        <item x="681"/>
        <item x="2242"/>
        <item x="1584"/>
        <item x="2466"/>
        <item x="1763"/>
        <item x="2973"/>
        <item x="2911"/>
        <item x="375"/>
        <item x="1999"/>
        <item x="1931"/>
        <item x="1259"/>
        <item x="407"/>
        <item x="2947"/>
        <item x="2553"/>
        <item x="165"/>
        <item x="2540"/>
        <item x="3008"/>
        <item x="2176"/>
        <item x="1149"/>
        <item x="349"/>
        <item x="2096"/>
        <item x="2156"/>
        <item x="0"/>
        <item x="359"/>
        <item x="1460"/>
        <item x="99"/>
        <item x="929"/>
        <item x="869"/>
        <item x="2286"/>
        <item x="1807"/>
        <item x="1390"/>
        <item x="1173"/>
        <item x="5"/>
        <item x="1510"/>
        <item x="2572"/>
        <item x="2243"/>
        <item x="686"/>
        <item x="2186"/>
        <item x="708"/>
        <item x="2773"/>
        <item x="1092"/>
        <item x="1373"/>
        <item x="226"/>
        <item x="1647"/>
        <item x="2139"/>
        <item x="494"/>
        <item x="2190"/>
        <item x="2730"/>
        <item x="161"/>
        <item x="152"/>
        <item x="2095"/>
        <item x="1789"/>
        <item x="546"/>
        <item x="2368"/>
        <item x="2714"/>
        <item x="208"/>
        <item x="849"/>
        <item x="1245"/>
        <item x="1694"/>
        <item x="306"/>
        <item x="338"/>
        <item x="1687"/>
        <item x="1681"/>
        <item x="2948"/>
        <item x="2619"/>
        <item x="274"/>
        <item x="2130"/>
        <item x="1727"/>
        <item x="2585"/>
        <item x="2857"/>
        <item x="2390"/>
        <item x="272"/>
        <item x="214"/>
        <item x="1765"/>
        <item x="2788"/>
        <item x="2443"/>
        <item x="109"/>
        <item x="2395"/>
        <item x="276"/>
        <item x="2027"/>
        <item x="2855"/>
        <item x="2881"/>
        <item x="2051"/>
        <item x="703"/>
        <item x="1856"/>
        <item x="2803"/>
        <item x="1943"/>
        <item x="361"/>
        <item x="2340"/>
        <item x="2899"/>
        <item x="509"/>
        <item x="985"/>
        <item x="1485"/>
        <item x="1036"/>
        <item x="68"/>
        <item x="1711"/>
        <item x="135"/>
        <item x="1431"/>
        <item x="759"/>
        <item x="1235"/>
        <item x="516"/>
        <item x="2536"/>
        <item x="779"/>
        <item x="299"/>
        <item x="1970"/>
        <item x="1001"/>
        <item x="2524"/>
        <item x="550"/>
        <item x="1963"/>
        <item x="939"/>
        <item x="317"/>
        <item x="97"/>
        <item x="1265"/>
        <item x="382"/>
        <item x="1641"/>
        <item x="1186"/>
        <item x="1422"/>
        <item x="744"/>
        <item x="1444"/>
        <item x="751"/>
        <item x="832"/>
        <item x="856"/>
        <item x="2733"/>
        <item x="1380"/>
        <item x="345"/>
        <item x="2747"/>
        <item x="419"/>
        <item x="589"/>
        <item x="2828"/>
        <item x="2093"/>
        <item x="1360"/>
        <item x="308"/>
        <item x="1130"/>
        <item x="876"/>
        <item x="582"/>
        <item x="1486"/>
        <item x="2147"/>
        <item x="1301"/>
        <item x="965"/>
        <item x="1638"/>
        <item x="1730"/>
        <item x="999"/>
        <item x="673"/>
        <item x="417"/>
        <item x="1655"/>
        <item x="995"/>
        <item x="82"/>
        <item x="1233"/>
        <item x="2779"/>
        <item x="724"/>
        <item x="1971"/>
        <item x="1794"/>
        <item x="816"/>
        <item x="1531"/>
        <item x="627"/>
        <item x="1483"/>
        <item x="827"/>
        <item x="2676"/>
        <item x="461"/>
        <item x="2162"/>
        <item x="1223"/>
        <item x="3012"/>
        <item x="1480"/>
        <item x="1321"/>
        <item x="108"/>
        <item x="1810"/>
        <item x="2739"/>
        <item x="2792"/>
        <item x="2353"/>
        <item x="1950"/>
        <item x="292"/>
        <item x="1736"/>
        <item x="2317"/>
        <item x="1700"/>
        <item x="654"/>
        <item x="2578"/>
        <item x="1758"/>
        <item x="1268"/>
        <item x="358"/>
        <item x="927"/>
        <item x="112"/>
        <item x="2057"/>
        <item x="2515"/>
        <item x="1883"/>
        <item x="2140"/>
        <item x="360"/>
        <item x="2975"/>
        <item x="2483"/>
        <item x="1992"/>
        <item x="332"/>
        <item x="898"/>
        <item x="1164"/>
        <item x="146"/>
        <item x="2742"/>
        <item x="1631"/>
        <item x="1412"/>
        <item x="198"/>
        <item x="2143"/>
        <item x="1434"/>
        <item x="1903"/>
        <item x="1256"/>
        <item x="547"/>
        <item x="2023"/>
        <item x="1843"/>
        <item x="1212"/>
        <item x="912"/>
        <item x="60"/>
        <item x="2327"/>
        <item x="2674"/>
        <item x="1601"/>
        <item x="2362"/>
        <item x="1296"/>
        <item x="2033"/>
        <item x="814"/>
        <item x="1049"/>
        <item x="1068"/>
        <item x="795"/>
        <item x="2226"/>
        <item x="2816"/>
        <item x="1315"/>
        <item x="1174"/>
        <item x="2006"/>
        <item x="377"/>
        <item x="1053"/>
        <item x="2603"/>
        <item x="2329"/>
        <item x="2409"/>
        <item x="1851"/>
        <item x="65"/>
        <item x="87"/>
        <item x="890"/>
        <item x="1678"/>
        <item x="2079"/>
        <item x="1516"/>
        <item x="1897"/>
        <item x="1366"/>
        <item x="570"/>
        <item x="2624"/>
        <item x="1836"/>
        <item x="592"/>
        <item x="977"/>
        <item x="2089"/>
        <item x="2021"/>
        <item x="2224"/>
        <item x="251"/>
        <item x="1234"/>
        <item x="526"/>
        <item x="2473"/>
        <item x="2339"/>
        <item x="2770"/>
        <item x="1232"/>
        <item x="2786"/>
        <item x="41"/>
        <item x="2415"/>
        <item x="1481"/>
        <item x="1841"/>
        <item x="1168"/>
        <item x="1132"/>
        <item x="738"/>
        <item x="2350"/>
        <item x="2306"/>
        <item x="1046"/>
        <item x="262"/>
        <item x="1786"/>
        <item x="1921"/>
        <item x="458"/>
        <item x="1652"/>
        <item x="2574"/>
        <item x="2886"/>
        <item x="1127"/>
        <item x="363"/>
        <item x="1409"/>
        <item x="1176"/>
        <item x="1865"/>
        <item x="2270"/>
        <item x="2989"/>
        <item x="1650"/>
        <item x="1204"/>
        <item x="492"/>
        <item x="2221"/>
        <item x="1926"/>
        <item x="558"/>
        <item x="412"/>
        <item x="2943"/>
        <item x="189"/>
        <item x="2822"/>
        <item x="187"/>
        <item x="1989"/>
        <item x="191"/>
        <item x="2505"/>
        <item x="169"/>
        <item x="711"/>
        <item x="2878"/>
        <item x="2059"/>
        <item x="459"/>
        <item x="1708"/>
        <item x="372"/>
        <item x="2280"/>
        <item x="1306"/>
        <item x="942"/>
        <item x="205"/>
        <item x="1237"/>
        <item x="2527"/>
        <item x="1540"/>
        <item x="2359"/>
        <item x="774"/>
        <item x="870"/>
        <item x="1104"/>
        <item x="536"/>
        <item x="2819"/>
        <item x="2573"/>
        <item x="2693"/>
        <item x="1984"/>
        <item x="1155"/>
        <item x="598"/>
        <item x="805"/>
        <item x="1900"/>
        <item x="705"/>
        <item x="2258"/>
        <item x="1582"/>
        <item x="1724"/>
        <item x="2456"/>
        <item x="1917"/>
        <item x="2579"/>
        <item x="2268"/>
        <item x="1219"/>
        <item x="431"/>
        <item x="2933"/>
        <item x="895"/>
        <item x="1094"/>
        <item x="1313"/>
        <item x="415"/>
        <item x="1964"/>
        <item x="2011"/>
        <item x="435"/>
        <item x="1511"/>
        <item x="2928"/>
        <item x="411"/>
        <item x="1569"/>
        <item x="2902"/>
        <item x="2129"/>
        <item x="917"/>
        <item x="1004"/>
        <item x="235"/>
        <item x="2537"/>
        <item x="2331"/>
        <item x="452"/>
        <item x="2723"/>
        <item x="810"/>
        <item x="2262"/>
        <item x="938"/>
        <item x="14"/>
        <item x="2326"/>
        <item x="2833"/>
        <item x="315"/>
        <item x="2935"/>
        <item x="1728"/>
        <item x="557"/>
        <item x="1600"/>
        <item x="2354"/>
        <item x="809"/>
        <item x="950"/>
        <item x="2298"/>
        <item x="2957"/>
        <item x="2735"/>
        <item x="120"/>
        <item x="1423"/>
        <item x="2453"/>
        <item x="31"/>
        <item x="2850"/>
        <item x="1643"/>
        <item x="1905"/>
        <item x="310"/>
        <item x="2604"/>
        <item x="1455"/>
        <item x="2609"/>
        <item x="1260"/>
        <item x="2589"/>
        <item x="85"/>
        <item x="2032"/>
        <item x="2313"/>
        <item x="19"/>
        <item x="1086"/>
        <item x="2249"/>
        <item x="1027"/>
        <item x="282"/>
        <item x="1532"/>
        <item x="455"/>
        <item x="2407"/>
        <item x="548"/>
        <item x="2992"/>
        <item x="2459"/>
        <item x="406"/>
        <item x="2995"/>
        <item x="574"/>
        <item x="2633"/>
        <item x="44"/>
        <item x="872"/>
        <item x="1363"/>
        <item x="1035"/>
        <item x="1553"/>
        <item x="324"/>
        <item x="2645"/>
        <item x="330"/>
        <item x="1741"/>
        <item x="2576"/>
        <item x="2071"/>
        <item x="672"/>
        <item x="1310"/>
        <item x="1152"/>
        <item x="379"/>
        <item x="2872"/>
        <item x="2638"/>
        <item x="2976"/>
        <item x="1780"/>
        <item x="2925"/>
        <item x="410"/>
        <item x="1467"/>
        <item x="2036"/>
        <item x="2344"/>
        <item x="1495"/>
        <item x="730"/>
        <item x="796"/>
        <item x="1545"/>
        <item x="710"/>
        <item x="2744"/>
        <item x="1183"/>
        <item x="2548"/>
        <item x="1788"/>
        <item x="2121"/>
        <item x="2457"/>
        <item x="380"/>
        <item x="2188"/>
        <item x="129"/>
        <item x="341"/>
        <item x="698"/>
        <item x="1304"/>
        <item x="1523"/>
        <item x="1042"/>
        <item x="86"/>
        <item x="215"/>
        <item x="1732"/>
        <item x="2637"/>
        <item x="1328"/>
        <item x="566"/>
        <item x="84"/>
        <item x="2328"/>
        <item x="1215"/>
        <item x="2278"/>
        <item x="1833"/>
        <item x="2229"/>
        <item x="659"/>
        <item x="2400"/>
        <item x="154"/>
        <item x="2502"/>
        <item x="1184"/>
        <item x="1117"/>
        <item x="2997"/>
        <item x="1573"/>
        <item x="1514"/>
        <item x="639"/>
        <item x="1496"/>
        <item x="188"/>
        <item x="1408"/>
        <item x="663"/>
        <item x="1135"/>
        <item x="1178"/>
        <item x="1936"/>
        <item x="118"/>
        <item x="174"/>
        <item x="256"/>
        <item x="1201"/>
        <item x="2305"/>
        <item x="2824"/>
        <item x="1659"/>
        <item x="1079"/>
        <item x="2452"/>
        <item x="691"/>
        <item x="1355"/>
        <item x="2984"/>
        <item x="3009"/>
        <item x="223"/>
        <item x="1557"/>
        <item x="197"/>
        <item x="1023"/>
        <item x="1551"/>
        <item x="1364"/>
        <item x="808"/>
        <item x="1211"/>
        <item x="1138"/>
        <item x="1010"/>
        <item x="2289"/>
        <item x="2607"/>
        <item x="398"/>
        <item x="685"/>
        <item x="2398"/>
        <item x="706"/>
        <item x="2820"/>
        <item x="439"/>
        <item x="2665"/>
        <item x="1359"/>
        <item x="1250"/>
        <item x="1025"/>
        <item x="2501"/>
        <item x="2692"/>
        <item x="307"/>
        <item x="1968"/>
        <item x="1892"/>
        <item x="1064"/>
        <item x="2198"/>
        <item x="2397"/>
        <item x="593"/>
        <item x="847"/>
        <item x="2575"/>
        <item x="267"/>
        <item x="2800"/>
        <item x="2831"/>
        <item x="493"/>
        <item x="1884"/>
        <item x="2211"/>
        <item x="2616"/>
        <item x="520"/>
        <item x="2119"/>
        <item x="1544"/>
        <item x="682"/>
        <item x="2010"/>
        <item x="1966"/>
        <item x="2277"/>
        <item x="1677"/>
        <item x="632"/>
        <item x="1893"/>
        <item x="74"/>
        <item x="42"/>
        <item x="2598"/>
        <item x="741"/>
        <item x="1195"/>
        <item x="914"/>
        <item x="2104"/>
        <item x="2044"/>
        <item x="385"/>
        <item x="2136"/>
        <item x="2516"/>
        <item x="2782"/>
        <item x="1722"/>
        <item x="1665"/>
        <item x="2880"/>
        <item x="2649"/>
        <item x="2448"/>
        <item x="2404"/>
        <item x="2699"/>
        <item x="2117"/>
        <item x="23"/>
        <item x="851"/>
        <item x="1140"/>
        <item x="1336"/>
        <item x="1695"/>
        <item x="1645"/>
        <item x="2661"/>
        <item x="860"/>
        <item x="874"/>
        <item x="2272"/>
        <item x="265"/>
        <item x="2246"/>
        <item x="389"/>
        <item x="1739"/>
        <item x="1303"/>
        <item x="988"/>
        <item x="228"/>
        <item x="2959"/>
        <item x="1332"/>
        <item x="2625"/>
        <item x="450"/>
        <item x="2180"/>
        <item x="393"/>
        <item x="701"/>
        <item x="1098"/>
        <item x="1505"/>
        <item x="1662"/>
        <item x="1194"/>
        <item x="1518"/>
        <item x="104"/>
        <item x="1397"/>
        <item x="2098"/>
        <item x="1295"/>
        <item x="915"/>
        <item x="842"/>
        <item x="2148"/>
        <item x="2429"/>
        <item x="2425"/>
        <item x="2814"/>
        <item x="1024"/>
        <item x="1273"/>
        <item x="277"/>
        <item x="2754"/>
        <item x="1607"/>
        <item x="1772"/>
        <item x="1"/>
        <item x="2192"/>
        <item x="2950"/>
        <item x="1783"/>
        <item x="2421"/>
        <item x="1690"/>
        <item x="1733"/>
        <item x="981"/>
        <item x="219"/>
        <item x="1867"/>
        <item x="2560"/>
        <item x="2295"/>
        <item x="1882"/>
        <item x="2173"/>
        <item x="1262"/>
        <item x="563"/>
        <item x="2082"/>
        <item x="1111"/>
        <item x="1122"/>
        <item x="2389"/>
        <item x="1528"/>
        <item x="2053"/>
        <item x="2357"/>
        <item x="803"/>
        <item x="1482"/>
        <item x="542"/>
        <item x="2864"/>
        <item x="1175"/>
        <item x="1627"/>
        <item x="2490"/>
        <item x="646"/>
        <item x="1054"/>
        <item x="916"/>
        <item x="80"/>
        <item x="959"/>
        <item x="934"/>
        <item x="693"/>
        <item x="151"/>
        <item x="2541"/>
        <item x="253"/>
        <item x="2588"/>
        <item x="1269"/>
        <item x="1716"/>
        <item x="1107"/>
        <item x="195"/>
        <item x="828"/>
        <item x="2611"/>
        <item x="1891"/>
        <item x="2503"/>
        <item x="1474"/>
        <item x="329"/>
        <item x="613"/>
        <item x="1954"/>
        <item x="1612"/>
        <item x="101"/>
        <item x="1448"/>
        <item x="1071"/>
        <item x="1766"/>
        <item x="172"/>
        <item x="2737"/>
        <item x="2205"/>
        <item x="823"/>
        <item x="2363"/>
        <item x="1263"/>
        <item x="373"/>
        <item x="790"/>
        <item x="1512"/>
        <item x="948"/>
        <item x="559"/>
        <item x="2757"/>
        <item x="721"/>
        <item x="1616"/>
        <item x="727"/>
        <item x="1965"/>
        <item x="2985"/>
        <item x="297"/>
        <item x="400"/>
        <item x="1755"/>
        <item x="1284"/>
        <item x="1941"/>
        <item x="468"/>
        <item x="1501"/>
        <item x="2802"/>
        <item x="1120"/>
        <item x="1351"/>
        <item x="2858"/>
        <item x="2378"/>
        <item x="2639"/>
        <item x="2234"/>
        <item x="139"/>
        <item x="2227"/>
        <item x="2009"/>
        <item x="1818"/>
        <item x="871"/>
        <item x="2860"/>
        <item x="2158"/>
        <item x="720"/>
        <item x="640"/>
        <item x="1858"/>
        <item x="983"/>
        <item x="2704"/>
        <item x="2232"/>
        <item x="822"/>
        <item x="2118"/>
        <item x="2769"/>
        <item x="2075"/>
        <item x="1546"/>
        <item x="1410"/>
        <item x="1596"/>
        <item x="13"/>
        <item x="1945"/>
        <item x="1161"/>
        <item x="456"/>
        <item x="794"/>
        <item x="2216"/>
        <item x="2621"/>
        <item x="2356"/>
        <item x="674"/>
        <item x="1710"/>
        <item x="2643"/>
        <item x="1859"/>
        <item x="1034"/>
        <item x="616"/>
        <item x="473"/>
        <item x="2732"/>
        <item x="2309"/>
        <item x="245"/>
        <item x="2482"/>
        <item x="2719"/>
        <item x="824"/>
        <item x="970"/>
        <item x="1280"/>
        <item x="621"/>
        <item x="1699"/>
        <item x="2201"/>
        <item x="532"/>
        <item x="1744"/>
        <item x="2008"/>
        <item x="1133"/>
        <item x="2825"/>
        <item x="437"/>
        <item x="2708"/>
        <item x="2567"/>
        <item x="841"/>
        <item x="2436"/>
        <item x="878"/>
        <item x="2983"/>
        <item x="1879"/>
        <item x="48"/>
        <item x="2875"/>
        <item x="2787"/>
        <item x="1032"/>
        <item x="818"/>
        <item x="773"/>
        <item x="1830"/>
        <item x="342"/>
        <item x="602"/>
        <item x="2269"/>
        <item x="1768"/>
        <item x="1590"/>
        <item x="615"/>
        <item x="2751"/>
        <item x="1726"/>
        <item x="287"/>
        <item x="538"/>
        <item x="1602"/>
        <item x="249"/>
        <item x="904"/>
        <item x="1680"/>
        <item x="2974"/>
        <item x="485"/>
        <item x="610"/>
        <item x="1298"/>
        <item x="2042"/>
        <item x="2064"/>
        <item x="1911"/>
        <item x="2367"/>
        <item x="2165"/>
        <item x="518"/>
        <item x="1579"/>
        <item x="910"/>
        <item x="433"/>
        <item x="2605"/>
        <item x="1102"/>
        <item x="17"/>
        <item x="1287"/>
        <item x="2294"/>
        <item x="2956"/>
        <item x="1277"/>
        <item x="1913"/>
        <item x="1629"/>
        <item x="1361"/>
        <item x="1640"/>
        <item x="1375"/>
        <item x="499"/>
        <item x="2214"/>
        <item x="2128"/>
        <item x="1200"/>
        <item x="2971"/>
        <item x="2454"/>
        <item x="1395"/>
        <item x="216"/>
        <item x="2791"/>
        <item x="1059"/>
        <item x="125"/>
        <item x="487"/>
        <item x="2922"/>
        <item x="1904"/>
        <item x="153"/>
        <item x="255"/>
        <item x="1007"/>
        <item x="2671"/>
        <item x="931"/>
        <item x="2371"/>
        <item x="2255"/>
        <item x="425"/>
        <item x="1935"/>
        <item x="2594"/>
        <item x="1216"/>
        <item x="2126"/>
        <item x="1829"/>
        <item x="2694"/>
        <item x="680"/>
        <item x="2025"/>
        <item x="662"/>
        <item x="1998"/>
        <item x="1922"/>
        <item x="2288"/>
        <item x="301"/>
        <item x="1762"/>
        <item x="386"/>
        <item x="2921"/>
        <item x="66"/>
        <item x="2818"/>
        <item x="2189"/>
        <item x="157"/>
        <item x="1469"/>
        <item x="1691"/>
        <item x="2688"/>
        <item x="2555"/>
        <item x="585"/>
        <item x="757"/>
        <item x="1055"/>
        <item x="1636"/>
        <item x="707"/>
        <item x="2392"/>
        <item x="2847"/>
        <item x="1343"/>
        <item x="2675"/>
        <item x="3004"/>
        <item x="1389"/>
        <item x="1664"/>
        <item x="1334"/>
        <item x="2673"/>
        <item x="2077"/>
        <item x="1753"/>
        <item x="343"/>
        <item x="619"/>
        <item x="2444"/>
        <item x="2196"/>
        <item x="316"/>
        <item x="2374"/>
        <item x="3005"/>
        <item x="2241"/>
        <item x="714"/>
        <item x="64"/>
        <item x="138"/>
        <item x="1912"/>
        <item x="1497"/>
        <item x="2910"/>
        <item x="178"/>
        <item x="1251"/>
        <item x="2004"/>
        <item x="2663"/>
        <item x="170"/>
        <item x="2562"/>
        <item x="1417"/>
        <item x="955"/>
        <item x="2427"/>
        <item x="580"/>
        <item x="739"/>
        <item x="991"/>
        <item x="2028"/>
        <item x="1571"/>
        <item x="2101"/>
        <item x="105"/>
        <item x="2595"/>
        <item x="2808"/>
        <item x="2590"/>
        <item x="248"/>
        <item x="2310"/>
        <item x="2999"/>
        <item x="159"/>
        <item x="2149"/>
        <item x="2682"/>
        <item x="571"/>
        <item x="987"/>
        <item x="2345"/>
        <item x="2153"/>
        <item x="2510"/>
        <item x="2539"/>
        <item x="2381"/>
        <item x="1864"/>
        <item x="1558"/>
        <item x="26"/>
        <item x="565"/>
        <item x="1529"/>
        <item x="676"/>
        <item x="605"/>
        <item x="1462"/>
        <item x="479"/>
        <item x="1147"/>
        <item x="2854"/>
        <item x="2261"/>
        <item x="1330"/>
        <item x="33"/>
        <item x="1285"/>
        <item x="896"/>
        <item x="2085"/>
        <item x="596"/>
        <item x="2423"/>
        <item x="2468"/>
        <item x="1270"/>
        <item x="196"/>
        <item x="1185"/>
        <item x="76"/>
        <item x="1095"/>
        <item x="2416"/>
        <item x="463"/>
        <item x="1381"/>
        <item x="43"/>
        <item x="1419"/>
        <item x="636"/>
        <item x="2772"/>
        <item x="1583"/>
        <item x="2678"/>
        <item x="762"/>
        <item x="2311"/>
        <item x="2204"/>
        <item x="1972"/>
        <item x="490"/>
        <item x="845"/>
        <item x="1542"/>
        <item x="1808"/>
        <item x="1745"/>
        <item x="2951"/>
        <item x="1667"/>
        <item x="2474"/>
        <item x="699"/>
        <item x="1581"/>
        <item x="1907"/>
        <item x="2836"/>
        <item x="2721"/>
        <item x="1014"/>
        <item x="2728"/>
        <item x="302"/>
        <item x="2062"/>
        <item x="1563"/>
        <item x="586"/>
        <item x="2495"/>
        <item x="1781"/>
        <item x="1527"/>
        <item x="1167"/>
        <item x="2783"/>
        <item x="1513"/>
        <item x="797"/>
        <item x="1060"/>
        <item x="1012"/>
        <item x="2364"/>
        <item x="3003"/>
        <item x="176"/>
        <item x="1402"/>
        <item x="2622"/>
        <item x="465"/>
        <item x="1033"/>
        <item x="2873"/>
        <item x="2845"/>
        <item x="2655"/>
        <item x="370"/>
        <item x="597"/>
        <item x="1446"/>
        <item x="524"/>
        <item x="2481"/>
        <item x="1217"/>
        <item x="1502"/>
        <item x="2488"/>
        <item x="1369"/>
        <item x="1322"/>
        <item x="147"/>
        <item x="968"/>
        <item x="1949"/>
        <item x="753"/>
        <item x="2756"/>
        <item x="1939"/>
        <item x="2379"/>
        <item x="735"/>
        <item x="776"/>
        <item x="462"/>
        <item x="1723"/>
        <item x="460"/>
        <item x="285"/>
        <item x="1110"/>
        <item x="697"/>
        <item x="2759"/>
        <item x="769"/>
        <item x="2635"/>
        <item x="483"/>
        <item x="2827"/>
        <item x="575"/>
        <item x="993"/>
        <item x="278"/>
        <item x="1956"/>
        <item x="61"/>
        <item x="2996"/>
        <item x="787"/>
        <item x="1372"/>
        <item x="1144"/>
        <item x="873"/>
        <item x="1735"/>
        <item x="160"/>
        <item x="1536"/>
        <item x="1101"/>
        <item x="1134"/>
        <item x="2049"/>
        <item x="687"/>
        <item x="742"/>
        <item x="1552"/>
        <item x="2650"/>
        <item x="1365"/>
        <item x="1504"/>
        <item x="1637"/>
        <item x="1005"/>
        <item x="2108"/>
        <item x="1367"/>
        <item x="1406"/>
        <item x="1537"/>
        <item x="2606"/>
        <item x="660"/>
        <item x="1586"/>
        <item x="491"/>
        <item x="2900"/>
        <item x="1990"/>
        <item x="295"/>
        <item x="510"/>
        <item x="802"/>
        <item x="388"/>
        <item x="2081"/>
        <item x="894"/>
        <item x="2154"/>
        <item x="1621"/>
        <item x="2127"/>
        <item x="354"/>
        <item x="935"/>
        <item x="1988"/>
        <item x="855"/>
        <item x="2629"/>
        <item x="1169"/>
        <item x="578"/>
        <item x="1784"/>
        <item x="817"/>
        <item x="1870"/>
        <item x="1550"/>
        <item x="785"/>
        <item x="2512"/>
        <item x="1158"/>
        <item x="2620"/>
        <item x="2729"/>
        <item x="630"/>
        <item x="1721"/>
        <item x="2837"/>
        <item x="2099"/>
        <item x="2088"/>
        <item x="978"/>
        <item x="677"/>
        <item x="2630"/>
        <item x="1967"/>
        <item x="2263"/>
        <item x="1800"/>
        <item x="2462"/>
        <item x="1814"/>
        <item x="543"/>
        <item x="1388"/>
        <item x="448"/>
        <item x="320"/>
        <item x="2962"/>
        <item x="629"/>
        <item x="171"/>
        <item x="1189"/>
        <item x="1393"/>
        <item x="1407"/>
        <item x="1684"/>
        <item x="1824"/>
        <item x="2279"/>
        <item x="1624"/>
        <item x="413"/>
        <item x="906"/>
        <item x="2072"/>
        <item x="107"/>
        <item x="891"/>
        <item x="2238"/>
        <item x="2597"/>
        <item x="110"/>
        <item x="2087"/>
        <item x="2000"/>
        <item x="862"/>
        <item x="1853"/>
        <item x="1651"/>
        <item x="653"/>
        <item x="137"/>
        <item x="451"/>
        <item x="271"/>
        <item x="1871"/>
        <item x="2644"/>
        <item x="937"/>
        <item x="1661"/>
        <item x="2795"/>
        <item x="2970"/>
        <item x="83"/>
        <item x="1838"/>
        <item x="1777"/>
        <item x="481"/>
        <item x="1703"/>
        <item x="732"/>
        <item x="2612"/>
        <item x="275"/>
        <item x="2906"/>
        <item x="967"/>
        <item x="2341"/>
        <item x="1685"/>
        <item x="2195"/>
        <item x="1850"/>
        <item x="2713"/>
        <item x="2776"/>
        <item x="445"/>
        <item x="1834"/>
        <item x="2029"/>
        <item x="357"/>
        <item x="2546"/>
        <item x="2813"/>
        <item x="1307"/>
        <item x="1902"/>
        <item x="1126"/>
        <item x="770"/>
        <item x="1453"/>
        <item x="2528"/>
        <item x="1228"/>
        <item x="1247"/>
        <item x="2499"/>
        <item x="2815"/>
        <item x="2930"/>
        <item x="2431"/>
        <item x="2701"/>
        <item x="1797"/>
        <item x="2366"/>
        <item x="1475"/>
        <item x="115"/>
        <item x="2716"/>
        <item x="395"/>
        <item x="96"/>
        <item x="2889"/>
        <item x="2963"/>
        <item x="994"/>
        <item x="1391"/>
        <item x="2486"/>
        <item x="945"/>
        <item x="1519"/>
        <item x="2220"/>
        <item x="254"/>
        <item x="2500"/>
        <item x="1272"/>
        <item x="1143"/>
        <item x="2252"/>
        <item x="913"/>
        <item x="1349"/>
        <item x="2465"/>
        <item x="184"/>
        <item x="2401"/>
        <item x="2753"/>
        <item x="1435"/>
        <item x="2447"/>
        <item x="2007"/>
        <item x="1610"/>
        <item x="2916"/>
        <item x="819"/>
        <item x="2460"/>
        <item x="750"/>
        <item x="2892"/>
        <item x="1338"/>
        <item x="2458"/>
        <item x="344"/>
        <item x="1908"/>
        <item x="225"/>
        <item x="1878"/>
        <item x="2869"/>
        <item x="1403"/>
        <item x="1231"/>
        <item x="1020"/>
        <item x="2106"/>
        <item x="496"/>
        <item x="2442"/>
        <item x="2438"/>
        <item x="716"/>
        <item x="1524"/>
        <item x="1400"/>
        <item x="2994"/>
        <item x="489"/>
        <item x="1218"/>
        <item x="1759"/>
        <item x="2568"/>
        <item x="940"/>
        <item x="2945"/>
        <item x="2942"/>
        <item x="1793"/>
        <item x="1609"/>
        <item x="2100"/>
        <item x="2228"/>
        <item x="549"/>
        <item x="758"/>
        <item x="2876"/>
        <item x="1748"/>
        <item x="2237"/>
        <item x="1131"/>
        <item x="1985"/>
        <item x="404"/>
        <item x="2702"/>
        <item x="2617"/>
        <item x="444"/>
        <item x="2743"/>
        <item x="2926"/>
        <item x="67"/>
        <item x="2061"/>
        <item x="376"/>
        <item x="1258"/>
        <item x="689"/>
        <item x="1108"/>
        <item x="1760"/>
        <item x="2777"/>
        <item x="447"/>
        <item x="1825"/>
        <item x="725"/>
        <item x="29"/>
        <item x="1354"/>
        <item x="1006"/>
        <item x="2322"/>
        <item x="772"/>
        <item x="767"/>
        <item x="1066"/>
        <item x="143"/>
        <item x="2202"/>
        <item x="1770"/>
        <item x="1281"/>
        <item x="821"/>
        <item x="2031"/>
        <item x="530"/>
        <item x="1291"/>
        <item x="2851"/>
        <item x="163"/>
        <item x="1345"/>
        <item x="2034"/>
        <item x="690"/>
        <item x="858"/>
        <item x="609"/>
        <item x="3"/>
        <item x="1344"/>
        <item x="2375"/>
        <item x="3000"/>
        <item x="422"/>
        <item x="1705"/>
        <item x="2283"/>
        <item x="2901"/>
        <item x="2496"/>
        <item x="974"/>
        <item x="2225"/>
        <item x="719"/>
        <item x="2917"/>
        <item x="997"/>
        <item x="339"/>
        <item x="2352"/>
        <item x="94"/>
        <item x="897"/>
        <item x="244"/>
        <item x="926"/>
        <item x="766"/>
        <item x="2325"/>
        <item x="2437"/>
        <item x="482"/>
        <item x="2577"/>
        <item x="155"/>
        <item x="1821"/>
        <item x="346"/>
        <item x="2797"/>
        <item x="1347"/>
        <item x="1414"/>
        <item x="2862"/>
        <item x="1809"/>
        <item x="1340"/>
        <item x="696"/>
        <item x="1459"/>
        <item x="2885"/>
        <item x="2484"/>
        <item x="1706"/>
        <item x="626"/>
        <item x="1599"/>
        <item x="1924"/>
        <item x="717"/>
        <item x="1405"/>
        <item x="2091"/>
        <item x="2913"/>
        <item x="247"/>
        <item x="508"/>
        <item x="2413"/>
        <item x="537"/>
        <item x="1752"/>
        <item x="2919"/>
        <item x="1484"/>
        <item x="3002"/>
        <item x="1827"/>
        <item x="535"/>
        <item x="1719"/>
        <item x="2507"/>
        <item x="1433"/>
        <item x="4"/>
        <item x="2039"/>
        <item x="168"/>
        <item x="614"/>
        <item x="2307"/>
        <item x="2114"/>
        <item x="2840"/>
        <item x="783"/>
        <item x="309"/>
        <item x="472"/>
        <item x="1379"/>
        <item x="2493"/>
        <item x="1820"/>
        <item x="2020"/>
        <item x="1910"/>
        <item x="601"/>
        <item x="2440"/>
        <item x="1952"/>
        <item x="2160"/>
        <item x="830"/>
        <item x="2811"/>
        <item x="768"/>
        <item x="1991"/>
        <item x="831"/>
        <item x="2561"/>
        <item x="2691"/>
        <item x="1220"/>
        <item x="2312"/>
        <item x="193"/>
        <item x="347"/>
        <item x="2852"/>
        <item x="2798"/>
        <item x="469"/>
        <item x="500"/>
        <item x="2498"/>
        <item x="2844"/>
        <item x="2385"/>
        <item x="989"/>
        <item x="1213"/>
        <item x="1376"/>
        <item x="2083"/>
        <item x="77"/>
        <item x="581"/>
        <item x="1570"/>
        <item x="1003"/>
        <item x="364"/>
        <item x="1319"/>
        <item x="2666"/>
        <item x="924"/>
        <item x="2271"/>
        <item x="2842"/>
        <item x="1093"/>
        <item x="2552"/>
        <item x="1580"/>
        <item x="1100"/>
        <item x="241"/>
        <item x="833"/>
        <item x="2314"/>
        <item x="1466"/>
        <item x="2912"/>
        <item x="2662"/>
        <item x="39"/>
        <item x="718"/>
        <item x="1239"/>
        <item x="1925"/>
        <item x="50"/>
        <item x="2914"/>
        <item x="1750"/>
        <item x="259"/>
        <item x="709"/>
        <item x="212"/>
        <item x="1392"/>
        <item x="1114"/>
        <item x="1029"/>
        <item x="2068"/>
        <item x="429"/>
        <item x="2433"/>
        <item x="740"/>
        <item x="1798"/>
        <item x="579"/>
        <item x="811"/>
        <item x="2559"/>
        <item x="2485"/>
        <item x="1751"/>
        <item x="2194"/>
        <item x="440"/>
        <item x="600"/>
        <item x="1555"/>
        <item x="2123"/>
        <item x="868"/>
        <item x="1894"/>
        <item x="2187"/>
        <item x="55"/>
        <item x="1764"/>
        <item x="381"/>
        <item x="2672"/>
        <item x="1221"/>
        <item x="2001"/>
        <item x="2018"/>
        <item x="495"/>
        <item x="907"/>
        <item x="1574"/>
        <item x="1468"/>
        <item x="2208"/>
        <item x="2890"/>
        <item x="2623"/>
        <item x="402"/>
        <item x="1782"/>
        <item x="2472"/>
        <item x="1822"/>
        <item x="611"/>
        <item x="2526"/>
        <item x="2179"/>
        <item x="1177"/>
        <item x="1525"/>
        <item x="446"/>
        <item x="1848"/>
        <item x="1927"/>
        <item x="1556"/>
        <item x="1738"/>
        <item x="2469"/>
        <item x="294"/>
        <item x="2097"/>
        <item x="1085"/>
        <item x="123"/>
        <item x="880"/>
        <item x="1572"/>
        <item x="348"/>
        <item x="1530"/>
        <item x="1264"/>
        <item x="1413"/>
        <item x="664"/>
        <item x="501"/>
        <item x="1974"/>
        <item x="2940"/>
        <item x="2145"/>
        <item x="2874"/>
        <item x="1420"/>
        <item x="2648"/>
        <item x="2856"/>
        <item x="240"/>
        <item x="1979"/>
        <item x="2315"/>
        <item x="695"/>
        <item x="953"/>
        <item x="1084"/>
        <item x="2333"/>
        <item x="1337"/>
        <item x="1289"/>
        <item x="1421"/>
        <item x="54"/>
        <item x="2419"/>
        <item x="328"/>
        <item x="1962"/>
        <item x="1051"/>
        <item x="1718"/>
        <item x="2513"/>
        <item x="2430"/>
        <item x="2047"/>
        <item x="1326"/>
        <item x="2830"/>
        <item x="885"/>
        <item x="946"/>
        <item x="116"/>
        <item x="2647"/>
        <item x="1222"/>
        <item x="2316"/>
        <item x="734"/>
        <item x="2506"/>
        <item x="2251"/>
        <item x="1346"/>
        <item x="511"/>
        <item x="2618"/>
        <item x="884"/>
        <item x="1157"/>
        <item x="1978"/>
        <item x="2843"/>
        <item x="2986"/>
        <item x="2383"/>
        <item x="2178"/>
        <item x="643"/>
        <item x="1666"/>
        <item x="378"/>
        <item x="2439"/>
        <item x="2358"/>
        <item x="2664"/>
        <item x="2868"/>
        <item x="1776"/>
        <item x="2293"/>
        <item x="1199"/>
        <item x="775"/>
        <item x="1633"/>
        <item x="1835"/>
        <item x="2514"/>
        <item x="202"/>
        <item x="2529"/>
        <item x="1416"/>
        <item x="498"/>
        <item x="2758"/>
        <item x="2810"/>
        <item x="63"/>
        <item x="612"/>
        <item x="132"/>
        <item x="2040"/>
        <item x="1436"/>
        <item x="1261"/>
        <item x="1578"/>
        <item x="2670"/>
        <item x="2725"/>
        <item x="1039"/>
        <item x="2355"/>
        <item x="893"/>
        <item x="2927"/>
        <item x="464"/>
        <item x="2133"/>
        <item x="2056"/>
        <item x="2509"/>
        <item x="962"/>
        <item x="1987"/>
        <item x="1370"/>
        <item x="2463"/>
        <item t="default"/>
      </items>
    </pivotField>
    <pivotField compact="0" outline="0" showAll="0"/>
  </pivotFields>
  <rowFields count="1">
    <field x="0"/>
  </rowFields>
  <rowItems count="2">
    <i>
      <x v="18"/>
    </i>
    <i t="grand">
      <x/>
    </i>
  </rowItems>
  <colItems count="1">
    <i/>
  </colItems>
  <dataFields count="1">
    <dataField name="Sum of Clean Amount" fld="5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4CB56-2459-4CAC-8B6C-803887816B04}" name="PivotTable3" cacheId="27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30" firstHeaderRow="1" firstDataRow="1" firstDataCol="2"/>
  <pivotFields count="7">
    <pivotField axis="axisRow" compact="0" outline="0" showAll="0" sortType="descending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7">
        <item x="2"/>
        <item h="1" x="5"/>
        <item h="1" x="1"/>
        <item h="1" x="3"/>
        <item h="1" x="0"/>
        <item h="1" x="4"/>
        <item t="default"/>
      </items>
    </pivotField>
    <pivotField compact="0" outline="0" showAll="0"/>
    <pivotField compact="0" numFmtId="14" outline="0" showAll="0"/>
    <pivotField compact="0" outline="0" showAll="0"/>
    <pivotField dataField="1" compact="0" numFmtId="164" outline="0" showAll="0"/>
    <pivotField compact="0" outline="0" showAll="0"/>
  </pivotFields>
  <rowFields count="2">
    <field x="1"/>
    <field x="0"/>
  </rowFields>
  <rowItems count="27">
    <i>
      <x/>
      <x v="18"/>
    </i>
    <i r="1">
      <x v="7"/>
    </i>
    <i r="1">
      <x v="3"/>
    </i>
    <i r="1">
      <x v="14"/>
    </i>
    <i r="1">
      <x v="17"/>
    </i>
    <i r="1">
      <x v="23"/>
    </i>
    <i r="1">
      <x v="13"/>
    </i>
    <i r="1">
      <x v="16"/>
    </i>
    <i r="1">
      <x v="11"/>
    </i>
    <i r="1">
      <x v="19"/>
    </i>
    <i r="1">
      <x v="12"/>
    </i>
    <i r="1">
      <x v="1"/>
    </i>
    <i r="1">
      <x v="5"/>
    </i>
    <i r="1">
      <x v="15"/>
    </i>
    <i r="1">
      <x v="21"/>
    </i>
    <i r="1">
      <x v="9"/>
    </i>
    <i r="1">
      <x v="8"/>
    </i>
    <i r="1">
      <x v="20"/>
    </i>
    <i r="1">
      <x v="10"/>
    </i>
    <i r="1">
      <x v="6"/>
    </i>
    <i r="1">
      <x v="4"/>
    </i>
    <i r="1">
      <x v="22"/>
    </i>
    <i r="1">
      <x/>
    </i>
    <i r="1">
      <x v="2"/>
    </i>
    <i r="1">
      <x v="24"/>
    </i>
    <i t="default">
      <x/>
    </i>
    <i t="grand">
      <x/>
    </i>
  </rowItems>
  <colItems count="1">
    <i/>
  </colItems>
  <dataFields count="1">
    <dataField name="Sum of Clean Amount" fld="5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Person" xr10:uid="{CBB3537B-03A8-493D-99CC-7D444C4320C6}" sourceName="Sales Person">
  <pivotTables>
    <pivotTable tabId="3" name="PivotTable1"/>
  </pivotTables>
  <data>
    <tabular pivotCacheId="2003708332">
      <items count="25">
        <i x="19"/>
        <i x="8"/>
        <i x="12"/>
        <i x="6"/>
        <i x="21"/>
        <i x="24"/>
        <i x="14"/>
        <i x="17"/>
        <i x="23"/>
        <i x="2"/>
        <i x="5"/>
        <i x="15"/>
        <i x="3"/>
        <i x="0"/>
        <i x="16"/>
        <i x="10"/>
        <i x="20"/>
        <i x="22"/>
        <i x="9" s="1"/>
        <i x="11"/>
        <i x="4"/>
        <i x="7"/>
        <i x="13"/>
        <i x="1"/>
        <i x="18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Amount" xr10:uid="{65641D6B-16FA-4440-83A8-D59F666440BD}" sourceName="Clean Amount">
  <pivotTables>
    <pivotTable tabId="3" name="PivotTable1"/>
  </pivotTables>
  <data>
    <tabular pivotCacheId="2003708332">
      <items count="3013">
        <i x="604" s="1"/>
        <i x="1899" s="1"/>
        <i x="2991" s="1"/>
        <i x="408" s="1"/>
        <i x="2393" s="1"/>
        <i x="1299" s="1"/>
        <i x="743" s="1"/>
        <i x="1785" s="1"/>
        <i x="2877" s="1"/>
        <i x="192" s="1"/>
        <i x="2615" s="1"/>
        <i x="470" s="1"/>
        <i x="1522" s="1"/>
        <i x="2470" s="1"/>
        <i x="637" s="1"/>
        <i x="194" s="1"/>
        <i x="438" s="1"/>
        <i x="11" s="1"/>
        <i x="1377" s="1"/>
        <i x="1625" s="1"/>
        <i x="2428" s="1"/>
        <i x="1335" s="1"/>
        <i x="1031" s="1"/>
        <i x="839" s="1"/>
        <i x="2125" s="1"/>
        <i x="1933" s="1"/>
        <i x="2717" s="1"/>
        <i x="362" s="1"/>
        <i x="106" s="1"/>
        <i x="2330" s="1"/>
        <i x="1236" s="1"/>
        <i x="1660" s="1"/>
        <i x="2752" s="1"/>
        <i x="134" s="1"/>
        <i x="261" s="1"/>
        <i x="2222" s="1"/>
        <i x="1116" s="1"/>
        <i x="1128" s="1"/>
        <i x="156" s="1"/>
        <i x="990" s="1"/>
        <i x="2210" s="1"/>
        <i x="2084" s="1"/>
        <i x="218" s="1"/>
        <i x="2151" s="1"/>
        <i x="1057" s="1"/>
        <i x="475" s="1"/>
        <i x="1383" s="1"/>
        <i x="648" s="1"/>
        <i x="335" s="1"/>
        <i x="350" s="1"/>
        <i x="1642" s="1"/>
        <i x="1207" s="1"/>
        <i x="2734" s="1"/>
        <i x="2476" s="1"/>
        <i x="1252" s="1"/>
        <i x="374" s="1"/>
        <i x="2301" s="1"/>
        <i x="778" s="1"/>
        <i x="2346" s="1"/>
        <i x="764" s="1"/>
        <i x="1842" s="1"/>
        <i x="1254" s="1"/>
        <i x="2348" s="1"/>
        <i x="1817" s="1"/>
        <i x="40" s="1"/>
        <i x="2934" s="1"/>
        <i x="634" s="1"/>
        <i x="2909" s="1"/>
        <i x="221" s="1"/>
        <i x="2897" s="1"/>
        <i x="1062" s="1"/>
        <i x="1805" s="1"/>
        <i x="2156" s="1"/>
        <i x="869" s="1"/>
        <i x="226" s="1"/>
        <i x="494" s="1"/>
        <i x="306" s="1"/>
        <i x="1963" s="1"/>
        <i x="2162" s="1"/>
        <i x="1412" s="1"/>
        <i x="1068" s="1"/>
        <i x="1174" s="1"/>
        <i x="262" s="1"/>
        <i x="363" s="1"/>
        <i x="2505" s="1"/>
        <i x="459" s="1"/>
        <i x="1237" s="1"/>
        <i x="2268" s="1"/>
        <i x="2331" s="1"/>
        <i x="1600" s="1"/>
        <i x="324" s="1"/>
        <i x="1117" s="1"/>
        <i x="2289" s="1"/>
        <i x="2692" s="1"/>
        <i x="2211" s="1"/>
        <i x="1195" s="1"/>
        <i x="265" s="1"/>
        <i x="277" s="1"/>
        <i x="1512" s="1"/>
        <i x="2227" s="1"/>
        <i x="13" s="1"/>
        <i x="794" s="1"/>
        <i x="1744" s="1"/>
        <i x="1133" s="1"/>
        <i x="2605" s="1"/>
        <i x="2956" s="1"/>
        <i x="159" s="1"/>
        <i x="1864" s="1"/>
        <i x="676" s="1"/>
        <i x="2836" s="1"/>
        <i x="993" s="1"/>
        <i x="660" s="1"/>
        <i x="1684" s="1"/>
        <i x="2087" s="1"/>
        <i x="1661" s="1"/>
        <i x="2776" s="1"/>
        <i x="2753" s="1"/>
        <i x="241" s="1"/>
        <i x="611" s="1"/>
        <i x="2179" s="1"/>
        <i x="1085" s="1"/>
        <i x="1572" s="1"/>
        <i x="2664" s="1"/>
        <i x="486" s="1" nd="1"/>
        <i x="2784" s="1" nd="1"/>
        <i x="1398" s="1" nd="1"/>
        <i x="1692" s="1" nd="1"/>
        <i x="2491" s="1" nd="1"/>
        <i x="745" s="1" nd="1"/>
        <i x="1787" s="1" nd="1"/>
        <i x="2879" s="1" nd="1"/>
        <i x="92" s="1" nd="1"/>
        <i x="922" s="1" nd="1"/>
        <i x="2016" s="1" nd="1"/>
        <i x="2915" s="1" nd="1"/>
        <i x="1823" s="1" nd="1"/>
        <i x="79" s="1" nd="1"/>
        <i x="1628" s="1" nd="1"/>
        <i x="1869" s="1" nd="1"/>
        <i x="909" s="1" nd="1"/>
        <i x="234" s="1" nd="1"/>
        <i x="2961" s="1" nd="1"/>
        <i x="1077" s="1" nd="1"/>
        <i x="2003" s="1" nd="1"/>
        <i x="2720" s="1" nd="1"/>
        <i x="2657" s="1" nd="1"/>
        <i x="474" s="1" nd="1"/>
        <i x="2171" s="1" nd="1"/>
        <i x="1565" s="1" nd="1"/>
        <i x="590" s="1" nd="1"/>
        <i x="1382" s="1" nd="1"/>
        <i x="1541" s="1" nd="1"/>
        <i x="2475" s="1" nd="1"/>
        <i x="49" s="1" nd="1"/>
        <i x="879" s="1" nd="1"/>
        <i x="2634" s="1" nd="1"/>
        <i x="513" s="1" nd="1"/>
        <i x="1973" s="1" nd="1"/>
        <i x="1438" s="1" nd="1"/>
        <i x="399" s="1" nd="1"/>
        <i x="1286" s="1" nd="1"/>
        <i x="1509" s="1" nd="1"/>
        <i x="2531" s="1" nd="1"/>
        <i x="2602" s="1" nd="1"/>
        <i x="102" s="1" nd="1"/>
        <i x="2380" s="1" nd="1"/>
        <i x="932" s="1" nd="1"/>
        <i x="35" s="1" nd="1"/>
        <i x="864" s="1" nd="1"/>
        <i x="2026" s="1" nd="1"/>
        <i x="242" s="1" nd="1"/>
        <i x="1170" s="1" nd="1"/>
        <i x="12" s="1" nd="1"/>
        <i x="1958" s="1" nd="1"/>
        <i x="840" s="1" nd="1"/>
        <i x="1088" s="1" nd="1"/>
        <i x="1946" s="1" nd="1"/>
        <i x="1934" s="1" nd="1"/>
        <i x="2264" s="1" nd="1"/>
        <i x="852" s="1" nd="1"/>
        <i x="2182" s="1" nd="1"/>
        <i x="625" s="1" nd="1"/>
        <i x="1598" s="1" nd="1"/>
        <i x="671" s="1" nd="1"/>
        <i x="1676" s="1" nd="1"/>
        <i x="2690" s="1" nd="1"/>
        <i x="1276" s="1" nd="1"/>
        <i x="392" s="1" nd="1"/>
        <i x="2768" s="1" nd="1"/>
        <i x="210" s="1" nd="1"/>
        <i x="1048" s="1" nd="1"/>
        <i x="1674" s="1" nd="1"/>
        <i x="58" s="1" nd="1"/>
        <i x="2370" s="1" nd="1"/>
        <i x="78" s="1" nd="1"/>
        <i x="908" s="1" nd="1"/>
        <i x="1982" s="1" nd="1"/>
        <i x="1396" s="1" nd="1"/>
        <i x="1009" s="1" nd="1"/>
        <i x="733" s="1" nd="1"/>
        <i x="2766" s="1" nd="1"/>
        <i x="2142" s="1" nd="1"/>
        <i x="1774" s="1" nd="1"/>
        <i x="888" s="1" nd="1"/>
        <i x="527" s="1" nd="1"/>
        <i x="2489" s="1" nd="1"/>
        <i x="1915" s="1" nd="1"/>
        <i x="2002" s="1" nd="1"/>
        <i x="1863" s="1" nd="1"/>
        <i x="2103" s="1" nd="1"/>
        <i x="1605" s="1" nd="1"/>
        <i x="2697" s="1" nd="1"/>
        <i x="666" s="1" nd="1"/>
        <i x="2866" s="1" nd="1"/>
        <i x="2549" s="1" nd="1"/>
        <i x="2955" s="1" nd="1"/>
        <i x="1456" s="1" nd="1"/>
        <i x="1669" s="1" nd="1"/>
        <i x="2761" s="1" nd="1"/>
        <i x="3007" s="1" nd="1"/>
        <i x="638" s="1" nd="1"/>
        <i x="694" s="1" nd="1"/>
        <i x="222" s="1" nd="1"/>
        <i x="539" s="1" nd="1"/>
        <i x="1626" s="1" nd="1"/>
        <i x="136" s="1" nd="1"/>
        <i x="966" s="1" nd="1"/>
        <i x="1063" s="1" nd="1"/>
        <i x="1109" s="1" nd="1"/>
        <i x="2157" s="1" nd="1"/>
        <i x="290" s="1" nd="1"/>
        <i x="1717" s="1" nd="1"/>
        <i x="2809" s="1" nd="1"/>
        <i x="1470" s="1" nd="1"/>
        <i x="2060" s="1" nd="1"/>
        <i x="2563" s="1" nd="1"/>
        <i x="2718" s="1" nd="1"/>
        <i x="52" s="1" nd="1"/>
        <i x="232" s="1" nd="1"/>
        <i x="270" s="1" nd="1"/>
        <i x="1754" s="1" nd="1"/>
        <i x="882" s="1" nd="1"/>
        <i x="1075" s="1" nd="1"/>
        <i x="2247" s="1" nd="1"/>
        <i x="799" s="1" nd="1"/>
        <i x="2203" s="1" nd="1"/>
        <i x="1976" s="1" nd="1"/>
        <i x="114" s="1" nd="1"/>
        <i x="1153" s="1" nd="1"/>
        <i x="1125" s="1" nd="1"/>
        <i x="944" s="1" nd="1"/>
        <i x="642" s="1" nd="1"/>
        <i x="1873" s="1" nd="1"/>
        <i x="2219" s="1" nd="1"/>
        <i x="2846" s="1" nd="1"/>
        <i x="2169" s="1" nd="1"/>
        <i x="179" s="1" nd="1"/>
        <i x="2965" s="1" nd="1"/>
        <i x="1876" s="1" nd="1"/>
        <i x="533" s="1" nd="1"/>
        <i x="1606" s="1" nd="1"/>
        <i x="2038" s="1" nd="1"/>
        <i x="1811" s="1" nd="1"/>
        <i x="1560" s="1" nd="1"/>
        <i x="2903" s="1" nd="1"/>
        <i x="2968" s="1" nd="1"/>
        <i x="1880" s="1" nd="1"/>
        <i x="2698" s="1" nd="1"/>
        <i x="1632" s="1" nd="1"/>
        <i x="781" s="1" nd="1"/>
        <i x="1463" s="1" nd="1"/>
        <i x="1845" s="1" nd="1"/>
        <i x="2724" s="1" nd="1"/>
        <i x="2972" s="1" nd="1"/>
        <i x="2652" s="1" nd="1"/>
        <i x="1015" s="1" nd="1"/>
        <i x="755" s="1" nd="1"/>
        <i x="180" s="1" nd="1"/>
        <i x="1918" s="1" nd="1"/>
        <i x="2109" s="1" nd="1"/>
        <i x="1803" s="1" nd="1"/>
        <i x="284" s="1" nd="1"/>
        <i x="2556" s="1" nd="1"/>
        <i x="1142" s="1" nd="1"/>
        <i x="72" s="1" nd="1"/>
        <i x="3010" s="1" nd="1"/>
        <i x="111" s="1" nd="1"/>
        <i x="941" s="1" nd="1"/>
        <i x="89" s="1" nd="1"/>
        <i x="331" s="1" nd="1"/>
        <i x="2110" s="1" nd="1"/>
        <i x="623" s="1" nd="1"/>
        <i x="434" s="1" nd="1"/>
        <i x="2937" s="1" nd="1"/>
        <i x="1016" s="1" nd="1"/>
        <i x="529" s="1" nd="1"/>
        <i x="2035" s="1" nd="1"/>
        <i x="820" s="1" nd="1"/>
        <i x="2895" s="1" nd="1"/>
        <i x="2726" s="1" nd="1"/>
        <i x="352" s="1" nd="1"/>
        <i x="902" s="1" nd="1"/>
        <i x="2297" s="1" nd="1"/>
        <i x="1909" s="1" nd="1"/>
        <i x="1634" s="1" nd="1"/>
        <i x="780" s="1" nd="1"/>
        <i x="2551" s="1" nd="1"/>
        <i x="1844" s="1" nd="1"/>
        <i x="622" s="1" nd="1"/>
        <i x="1203" s="1" nd="1"/>
        <i x="2013" s="1" nd="1"/>
        <i x="2236" s="1" nd="1"/>
        <i x="1331" s="1" nd="1"/>
        <i x="704" s="1" nd="1"/>
        <i x="919" s="1" nd="1"/>
        <i x="1996" s="1" nd="1"/>
        <i x="1591" s="1" nd="1"/>
        <i x="1593" s="1" nd="1"/>
        <i x="1508" s="1" nd="1"/>
        <i x="2981" s="1" nd="1"/>
        <i x="1458" s="1" nd="1"/>
        <i x="1731" s="1" nd="1"/>
        <i x="204" s="1" nd="1"/>
        <i x="1889" s="1" nd="1"/>
        <i x="1886" s="1" nd="1"/>
        <i x="700" s="1" nd="1"/>
        <i x="2601" s="1" nd="1"/>
        <i x="2683" s="1" nd="1"/>
        <i x="1429" s="1" nd="1"/>
        <i x="2135" s="1" nd="1"/>
        <i x="2424" s="1" nd="1"/>
        <i x="1226" s="1" nd="1"/>
        <i x="453" s="1" nd="1"/>
        <i x="1357" s="1" nd="1"/>
        <i x="2685" s="1" nd="1"/>
        <i x="2936" s="1" nd="1"/>
        <i x="2998" s="1" nd="1"/>
        <i x="201" s="1" nd="1"/>
        <i x="2710" s="1" nd="1"/>
        <i x="584" s="1" nd="1"/>
        <i x="2320" s="1" nd="1"/>
        <i x="1041" s="1" nd="1"/>
        <i x="1618" s="1" nd="1"/>
        <i x="1906" s="1" nd="1"/>
        <i x="3001" s="1" nd="1"/>
        <i x="2522" s="1" nd="1"/>
        <i x="2823" s="1" nd="1"/>
        <i x="624" s="1" nd="1"/>
        <i x="298" s="1" nd="1"/>
        <i x="1597" s="1" nd="1"/>
        <i x="2695" s="1" nd="1"/>
        <i x="119" s="1" nd="1"/>
        <i x="2978" s="1" nd="1"/>
        <i x="1725" s="1" nd="1"/>
        <i x="2817" s="1" nd="1"/>
        <i x="670" s="1" nd="1"/>
        <i x="1603" s="1" nd="1"/>
        <i x="2689" s="1" nd="1"/>
        <i x="1038" s="1" nd="1"/>
        <i x="293" s="1" nd="1"/>
        <i x="2450" s="1" nd="1"/>
        <i x="2628" s="1" nd="1"/>
        <i x="1535" s="1" nd="1"/>
        <i x="2132" s="1" nd="1"/>
        <i x="984" s="1" nd="1"/>
        <i x="504" s="1" nd="1"/>
        <i x="2043" s="1" nd="1"/>
        <i x="2078" s="1" nd="1"/>
        <i x="949" s="1" nd="1"/>
        <i x="1058" s="1" nd="1"/>
        <i x="38" s="1" nd="1"/>
        <i x="2257" s="1" nd="1"/>
        <i x="517" s="1" nd="1"/>
        <i x="1163" s="1" nd="1"/>
        <i x="652" s="1" nd="1"/>
        <i x="70" s="1" nd="1"/>
        <i x="1901" s="1" nd="1"/>
        <i x="1806" s="1" nd="1"/>
        <i x="368" s="1" nd="1"/>
        <i x="900" s="1" nd="1"/>
        <i x="800" s="1" nd="1"/>
        <i x="1244" s="1" nd="1"/>
        <i x="333" s="1" nd="1"/>
        <i x="321" s="1" nd="1"/>
        <i x="1675" s="1" nd="1"/>
        <i x="366" s="1" nd="1"/>
        <i x="1427" s="1" nd="1"/>
        <i x="2993" s="1" nd="1"/>
        <i x="1577" s="1" nd="1"/>
        <i x="142" s="1" nd="1"/>
        <i x="1874" s="1" nd="1"/>
        <i x="2767" s="1" nd="1"/>
        <i x="2898" s="1" nd="1"/>
        <i x="867" s="1" nd="1"/>
        <i x="1156" s="1" nd="1"/>
        <i x="715" s="1" nd="1"/>
        <i x="2152" s="1" nd="1"/>
        <i x="782" s="1" nd="1"/>
        <i x="2250" s="1" nd="1"/>
        <i x="1445" s="1" nd="1"/>
        <i x="162" s="1" nd="1"/>
        <i x="1249" s="1" nd="1"/>
        <i x="1205" s="1" nd="1"/>
        <i x="2893" s="1" nd="1"/>
        <i x="1368" s="1" nd="1"/>
        <i x="95" s="1" nd="1"/>
        <i x="1746" s="1" nd="1"/>
        <i x="1649" s="1" nd="1"/>
        <i x="2299" s="1" nd="1"/>
        <i x="2335" s="1" nd="1"/>
        <i x="1961" s="1" nd="1"/>
        <i x="2669" s="1" nd="1"/>
        <i x="18" s="1" nd="1"/>
        <i x="2520" s="1" nd="1"/>
        <i x="1815" s="1" nd="1"/>
        <i x="1847" s="1" nd="1"/>
        <i x="684" s="1" nd="1"/>
        <i x="2090" s="1" nd="1"/>
        <i x="1191" s="1" nd="1"/>
        <i x="2067" s="1" nd="1"/>
        <i x="2538" s="1" nd="1"/>
        <i x="925" s="1" nd="1"/>
        <i x="2285" s="1" nd="1"/>
        <i x="2019" s="1" nd="1"/>
        <i x="1994" s="1" nd="1"/>
        <i x="2939" s="1" nd="1"/>
        <i x="1241" s="1" nd="1"/>
        <i x="973" s="1" nd="1"/>
        <i x="2741" s="1" nd="1"/>
        <i x="523" s="1" nd="1"/>
        <i x="1698" s="1" nd="1"/>
        <i x="846" s="1" nd="1"/>
        <i x="2966" s="1" nd="1"/>
        <i x="645" s="1" nd="1"/>
        <i x="2338" s="1" nd="1"/>
        <i x="1801" s="1" nd="1"/>
        <i x="556" s="1" nd="1"/>
        <i x="2343" s="1" nd="1"/>
        <i x="1890" s="1" nd="1"/>
        <i x="1452" s="1" nd="1"/>
        <i x="2907" s="1" nd="1"/>
        <i x="996" s="1" nd="1"/>
        <i x="1028" s="1" nd="1"/>
        <i x="1494" s="1" nd="1"/>
        <i x="713" s="1" nd="1"/>
        <i x="603" s="1" nd="1"/>
        <i x="2461" s="1" nd="1"/>
        <i x="1940" s="1" nd="1"/>
        <i x="2838" s="1" nd="1"/>
        <i x="1743" s="1" nd="1"/>
        <i x="312" s="1" nd="1"/>
        <i x="2587" s="1" nd="1"/>
        <i x="555" s="1" nd="1"/>
        <i x="2545" s="1" nd="1"/>
        <i x="1639" s="1" nd="1"/>
        <i x="283" s="1" nd="1"/>
        <i x="2790" s="1" nd="1"/>
        <i x="2641" s="1" nd="1"/>
        <i x="1872" s="1" nd="1"/>
        <i x="798" s="1" nd="1"/>
        <i x="1471" s="1" nd="1"/>
        <i x="1069" s="1" nd="1"/>
        <i x="20" s="1" nd="1"/>
        <i x="1702" s="1" nd="1"/>
        <i x="73" s="1" nd="1"/>
        <i x="1559" s="1" nd="1"/>
        <i x="2794" s="1" nd="1"/>
        <i x="325" s="1" nd="1"/>
        <i x="1548" s="1" nd="1"/>
        <i x="2122" s="1" nd="1"/>
        <i x="655" s="1" nd="1"/>
        <i x="1562" s="1" nd="1"/>
        <i x="594" s="1" nd="1"/>
        <i x="1294" s="1" nd="1"/>
        <i x="1547" s="1" nd="1"/>
        <i x="903" s="1" nd="1"/>
        <i x="2446" s="1" nd="1"/>
        <i x="2731" s="1" nd="1"/>
        <i x="1196" s="1" nd="1"/>
        <i x="848" s="1" nd="1"/>
        <i x="2982" s="1" nd="1"/>
        <i x="1493" s="1" nd="1"/>
        <i x="217" s="1" nd="1"/>
        <i x="1866" s="1" nd="1"/>
        <i x="620" s="1" nd="1"/>
        <i x="396" s="1" nd="1"/>
        <i x="1180" s="1" nd="1"/>
        <i x="2651" s="1" nd="1"/>
        <i x="1353" s="1" nd="1"/>
        <i x="2958" s="1" nd="1"/>
        <i x="203" s="1" nd="1"/>
        <i x="2964" s="1" nd="1"/>
        <i x="279" s="1" nd="1"/>
        <i x="2586" s="1" nd="1"/>
        <i x="1686" s="1" nd="1"/>
        <i x="2388" s="1" nd="1"/>
        <i x="692" s="1" nd="1"/>
        <i x="1282" s="1" nd="1"/>
        <i x="2746" s="1" nd="1"/>
        <i x="1141" s="1" nd="1"/>
        <i x="2835" s="1" nd="1"/>
        <i x="1997" s="1" nd="1"/>
        <i x="264" s="1" nd="1"/>
        <i x="1136" s="1" nd="1"/>
        <i x="2290" s="1" nd="1"/>
        <i x="436" s="1" nd="1"/>
        <i x="1297" s="1" nd="1"/>
        <i x="2274" s="1" nd="1"/>
        <i x="2376" s="1" nd="1"/>
        <i x="1942" s="1" nd="1"/>
        <i x="1588" s="1" nd="1"/>
        <i x="2150" s="1" nd="1"/>
        <i x="2235" s="1" nd="1"/>
        <i x="1040" s="1" nd="1"/>
        <i x="2230" s="1" nd="1"/>
        <i x="98" s="1" nd="1"/>
        <i x="562" s="1" nd="1"/>
        <i x="1654" s="1" nd="1"/>
        <i x="2654" s="1" nd="1"/>
        <i x="806" s="1" nd="1"/>
        <i x="1712" s="1" nd="1"/>
        <i x="2564" s="1" nd="1"/>
        <i x="113" s="1" nd="1"/>
        <i x="2778" s="1" nd="1"/>
        <i x="1679" s="1" nd="1"/>
        <i x="1056" s="1" nd="1"/>
        <i x="430" s="1" nd="1"/>
        <i x="2163" s="1" nd="1"/>
        <i x="2640" s="1" nd="1"/>
        <i x="2134" s="1" nd="1"/>
        <i x="257" s="1" nd="1"/>
        <i x="2680" s="1" nd="1"/>
        <i x="761" s="1" nd="1"/>
        <i x="2022" s="1" nd="1"/>
        <i x="2391" s="1" nd="1"/>
        <i x="281" s="1" nd="1"/>
        <i x="943" s="1" nd="1"/>
        <i x="2771" s="1" nd="1"/>
        <i x="1425" s="1" nd="1"/>
        <i x="577" s="1" nd="1"/>
        <i x="1693" s="1" nd="1"/>
        <i x="367" s="1" nd="1"/>
        <i x="954" s="1" nd="1"/>
        <i x="124" s="1" nd="1"/>
        <i x="2804" s="1" nd="1"/>
        <i x="2977" s="1" nd="1"/>
        <i x="296" s="1" nd="1"/>
        <i x="1440" s="1" nd="1"/>
        <i x="583" s="1" nd="1"/>
        <i x="928" s="1" nd="1"/>
        <i x="2593" s="1" nd="1"/>
        <i x="568" s="1" nd="1"/>
        <i x="1885" s="1" nd="1"/>
        <i x="1243" s="1" nd="1"/>
        <i x="57" s="1" nd="1"/>
        <i x="1327" s="1" nd="1"/>
        <i x="1333" s="1" nd="1"/>
        <i x="2533" s="1" nd="1"/>
        <i x="1614" s="1" nd="1"/>
        <i x="1613" s="1" nd="1"/>
        <i x="628" s="1" nd="1"/>
        <i x="2206" s="1" nd="1"/>
        <i x="2785" s="1" nd="1"/>
        <i x="1119" s="1" nd="1"/>
        <i x="2233" s="1" nd="1"/>
        <i x="1813" s="1" nd="1"/>
        <i x="319" s="1" nd="1"/>
        <i x="1500" s="1" nd="1"/>
        <i x="2048" s="1" nd="1"/>
        <i x="1210" s="1" nd="1"/>
        <i x="722" s="1" nd="1"/>
        <i x="2426" s="1" nd="1"/>
        <i x="24" s="1" nd="1"/>
        <i x="887" s="1" nd="1"/>
        <i x="853" s="1" nd="1"/>
        <i x="793" s="1" nd="1"/>
        <i x="2705" s="1" nd="1"/>
        <i x="2213" s="1" nd="1"/>
        <i x="2254" s="1" nd="1"/>
        <i x="2239" s="1" nd="1"/>
        <i x="1521" s="1" nd="1"/>
        <i x="2905" s="1" nd="1"/>
        <i x="164" s="1" nd="1"/>
        <i x="606" s="1" nd="1"/>
        <i x="1862" s="1" nd="1"/>
        <i x="1112" s="1" nd="1"/>
        <i x="726" s="1" nd="1"/>
        <i x="2518" s="1" nd="1"/>
        <i x="28" s="1" nd="1"/>
        <i x="1534" s="1" nd="1"/>
        <i x="567" s="1" nd="1"/>
        <i x="998" s="1" nd="1"/>
        <i x="1278" s="1" nd="1"/>
        <i x="2420" s="1" nd="1"/>
        <i x="2304" s="1" nd="1"/>
        <i x="90" s="1" nd="1"/>
        <i x="2600" s="1" nd="1"/>
        <i x="1761" s="1" nd="1"/>
        <i x="418" s="1" nd="1"/>
        <i x="2848" s="1" nd="1"/>
        <i x="2706" s="1" nd="1"/>
        <i x="2627" s="1" nd="1"/>
        <i x="1160" s="1" nd="1"/>
        <i x="1139" s="1" nd="1"/>
        <i x="1145" s="1" nd="1"/>
        <i x="756" s="1" nd="1"/>
        <i x="1608" s="1" nd="1"/>
        <i x="1981" s="1" nd="1"/>
        <i x="522" s="1" nd="1"/>
        <i x="1947" s="1" nd="1"/>
        <i x="2037" s="1" nd="1"/>
        <i x="749" s="1" nd="1"/>
        <i x="2801" s="1" nd="1"/>
        <i x="1507" s="1" nd="1"/>
        <i x="2700" s="1" nd="1"/>
        <i x="93" s="1" nd="1"/>
        <i x="2337" s="1" nd="1"/>
        <i x="1078" s="1" nd="1"/>
        <i x="923" s="1" nd="1"/>
        <i x="1099" s="1" nd="1"/>
        <i x="857" s="1" nd="1"/>
        <i x="2614" s="1" nd="1"/>
        <i x="117" s="1" nd="1"/>
        <i x="2387" s="1" nd="1"/>
        <i x="2092" s="1" nd="1"/>
        <i x="1804" s="1" nd="1"/>
        <i x="2599" s="1" nd="1"/>
        <i x="2172" s="1" nd="1"/>
        <i x="573" s="1" nd="1"/>
        <i x="1682" s="1" nd="1"/>
        <i x="1756" s="1" nd="1"/>
        <i x="1709" s="1" nd="1"/>
        <i x="554" s="1" nd="1"/>
        <i x="1188" s="1" nd="1"/>
        <i x="273" s="1" nd="1"/>
        <i x="2896" s="1" nd="1"/>
        <i x="1411" s="1" nd="1"/>
        <i x="1293" s="1" nd="1"/>
        <i x="1517" s="1" nd="1"/>
        <i x="920" s="1" nd="1"/>
        <i x="1775" s="1" nd="1"/>
        <i x="544" s="1" nd="1"/>
        <i x="2774" s="1" nd="1"/>
        <i x="2884" s="1" nd="1"/>
        <i x="1314" s="1" nd="1"/>
        <i x="633" s="1" nd="1"/>
        <i x="1604" s="1" nd="1"/>
        <i x="2656" s="1" nd="1"/>
        <i x="1451" s="1" nd="1"/>
        <i x="2544" s="1" nd="1"/>
        <i x="1490" s="1" nd="1"/>
        <i x="1561" s="1" nd="1"/>
        <i x="2408" s="1" nd="1"/>
        <i x="1564" s="1" nd="1"/>
        <i x="657" s="1" nd="1"/>
        <i x="314" s="1" nd="1"/>
        <i x="2696" s="1" nd="1"/>
        <i x="2193" s="1" nd="1"/>
        <i x="391" s="1" nd="1"/>
        <i x="2282" s="1" nd="1"/>
        <i x="2399" s="1" nd="1"/>
        <i x="2954" s="1" nd="1"/>
        <i x="541" s="1" nd="1"/>
        <i x="1506" s="1" nd="1"/>
        <i x="1792" s="1" nd="1"/>
        <i x="2583" s="1" nd="1"/>
        <i x="2853" s="1" nd="1"/>
        <i x="71" s="1" nd="1"/>
        <i x="2014" s="1" nd="1"/>
        <i x="1951" s="1" nd="1"/>
        <i x="2372" s="1" nd="1"/>
        <i x="2653" s="1" nd="1"/>
        <i x="2610" s="1" nd="1"/>
        <i x="631" s="1" nd="1"/>
        <i x="62" s="1" nd="1"/>
        <i x="2063" s="1" nd="1"/>
        <i x="1305" s="1" nd="1"/>
        <i x="947" s="1" nd="1"/>
        <i x="608" s="1" nd="1"/>
        <i x="1657" s="1" nd="1"/>
        <i x="2749" s="1" nd="1"/>
        <i x="2030" s="1" nd="1"/>
        <i x="2223" s="1" nd="1"/>
        <i x="2504" s="1" nd="1"/>
        <i x="268" s="1" nd="1"/>
        <i x="901" s="1" nd="1"/>
        <i x="1309" s="1" nd="1"/>
        <i x="1619" s="1" nd="1"/>
        <i x="1182" s="1" nd="1"/>
        <i x="969" s="1" nd="1"/>
        <i x="506" s="1" nd="1"/>
        <i x="141" s="1" nd="1"/>
        <i x="2711" s="1" nd="1"/>
        <i x="1275" s="1" nd="1"/>
        <i x="185" s="1" nd="1"/>
        <i x="1129" s="1" nd="1"/>
        <i x="1123" s="1" nd="1"/>
        <i x="572" s="1" nd="1"/>
        <i x="1473" s="1" nd="1"/>
        <i x="2569" s="1" nd="1"/>
        <i x="2017" s="1" nd="1"/>
        <i x="688" s="1" nd="1"/>
        <i x="1087" s="1" nd="1"/>
        <i x="936" s="1" nd="1"/>
        <i x="1615" s="1" nd="1"/>
        <i x="426" s="1" nd="1"/>
        <i x="32" s="1" nd="1"/>
        <i x="1021" s="1" nd="1"/>
        <i x="286" s="1" nd="1"/>
        <i x="1476" s="1" nd="1"/>
        <i x="2867" s="1" nd="1"/>
        <i x="2041" s="1" nd="1"/>
        <i x="384" s="1" nd="1"/>
        <i x="2924" s="1" nd="1"/>
        <i x="51" s="1" nd="1"/>
        <i x="2115" s="1" nd="1"/>
        <i x="2276" s="1" nd="1"/>
        <i x="2181" s="1" nd="1"/>
        <i x="356" s="1" nd="1"/>
        <i x="861" s="1" nd="1"/>
        <i x="2245" s="1" nd="1"/>
        <i x="786" s="1" nd="1"/>
        <i x="972" s="1" nd="1"/>
        <i x="246" s="1" nd="1"/>
        <i x="1986" s="1" nd="1"/>
        <i x="2369" s="1" nd="1"/>
        <i x="2812" s="1" nd="1"/>
        <i x="1515" s="1" nd="1"/>
        <i x="1430" s="1" nd="1"/>
        <i x="754" s="1" nd="1"/>
        <i x="560" s="1" nd="1"/>
        <i x="1498" s="1" nd="1"/>
        <i x="2066" s="1" nd="1"/>
        <i x="148" s="1" nd="1"/>
        <i x="1832" s="1" nd="1"/>
        <i x="229" s="1" nd="1"/>
        <i x="443" s="1" nd="1"/>
        <i x="2240" s="1" nd="1"/>
        <i x="1995" s="1" nd="1"/>
        <i x="1568" s="1" nd="1"/>
        <i x="311" s="1" nd="1"/>
        <i x="1720" s="1" nd="1"/>
        <i x="2920" s="1" nd="1"/>
        <i x="1955" s="1" nd="1"/>
        <i x="505" s="1" nd="1"/>
        <i x="1828" s="1" nd="1"/>
        <i x="1837" s="1" nd="1"/>
        <i x="1767" s="1" nd="1"/>
        <i x="892" s="1" nd="1"/>
        <i x="1179" s="1" nd="1"/>
        <i x="326" s="1" nd="1"/>
        <i x="1919" s="1" nd="1"/>
        <i x="2417" s="1" nd="1"/>
        <i x="747" s="1" nd="1"/>
        <i x="2566" s="1" nd="1"/>
        <i x="1323" s="1" nd="1"/>
        <i x="405" s="1" nd="1"/>
        <i x="1267" s="1" nd="1"/>
        <i x="1151" s="1" nd="1"/>
        <i x="1146" s="1" nd="1"/>
        <i x="1097" s="1" nd="1"/>
        <i x="427" s="1" nd="1"/>
        <i x="1592" s="1" nd="1"/>
        <i x="414" s="1" nd="1"/>
        <i x="2707" s="1" nd="1"/>
        <i x="1067" s="1" nd="1"/>
        <i x="2361" s="1" nd="1"/>
        <i x="752" s="1" nd="1"/>
        <i x="679" s="1" nd="1"/>
        <i x="2324" s="1" nd="1"/>
        <i x="2841" s="1" nd="1"/>
        <i x="2796" s="1" nd="1"/>
        <i x="1587" s="1" nd="1"/>
        <i x="250" s="1" nd="1"/>
        <i x="1302" s="1" nd="1"/>
        <i x="1230" s="1" nd="1"/>
        <i x="2684" s="1" nd="1"/>
        <i x="337" s="1" nd="1"/>
        <i x="2403" s="1" nd="1"/>
        <i x="881" s="1" nd="1"/>
        <i x="2217" s="1" nd="1"/>
        <i x="37" s="1" nd="1"/>
        <i x="1688" s="1" nd="1"/>
        <i x="2660" s="1" nd="1"/>
        <i x="353" s="1" nd="1"/>
        <i x="2161" s="1" nd="1"/>
        <i x="1704" s="1" nd="1"/>
        <i x="1749" s="1" nd="1"/>
        <i x="1072" s="1" nd="1"/>
        <i x="2273" s="1" nd="1"/>
        <i x="1790" s="1" nd="1"/>
        <i x="126" s="1" nd="1"/>
        <i x="1103" s="1" nd="1"/>
        <i x="792" s="1" nd="1"/>
        <i x="791" s="1" nd="1"/>
        <i x="1701" s="1" nd="1"/>
        <i x="1342" s="1" nd="1"/>
        <i x="484" s="1" nd="1"/>
        <i x="866" s="1" nd="1"/>
        <i x="2523" s="1" nd="1"/>
        <i x="551" s="1" nd="1"/>
        <i x="1308" s="1" nd="1"/>
        <i x="1428" s="1" nd="1"/>
        <i x="2521" s="1" nd="1"/>
        <i x="1852" s="1" nd="1"/>
        <i x="2608" s="1" nd="1"/>
        <i x="784" s="1" nd="1"/>
        <i x="2894" s="1" nd="1"/>
        <i x="3011" s="1" nd="1"/>
        <i x="2679" s="1" nd="1"/>
        <i x="371" s="1" nd="1"/>
        <i x="979" s="1" nd="1"/>
        <i x="2929" s="1" nd="1"/>
        <i x="1487" s="1" nd="1"/>
        <i x="2591" s="1" nd="1"/>
        <i x="1802" s="1" nd="1"/>
        <i x="801" s="1" nd="1"/>
        <i x="1439" s="1" nd="1"/>
        <i x="263" s="1" nd="1"/>
        <i x="2435" s="1" nd="1"/>
        <i x="1849" s="1" nd="1"/>
        <i x="503" s="1" nd="1"/>
        <i x="1975" s="1" nd="1"/>
        <i x="1292" s="1" nd="1"/>
        <i x="2291" s="1" nd="1"/>
        <i x="1202" s="1" nd="1"/>
        <i x="1595" s="1" nd="1"/>
        <i x="303" s="1" nd="1"/>
        <i x="175" s="1" nd="1"/>
        <i x="1868" s="1" nd="1"/>
        <i x="2073" s="1" nd="1"/>
        <i x="2944" s="1" nd="1"/>
        <i x="1197" s="1" nd="1"/>
        <i x="2386" s="1" nd="1"/>
        <i x="355" s="1" nd="1"/>
        <i x="239" s="1" nd="1"/>
        <i x="2580" s="1" nd="1"/>
        <i x="401" s="1" nd="1"/>
        <i x="1209" s="1" nd="1"/>
        <i x="1227" s="1" nd="1"/>
        <i x="2793" s="1" nd="1"/>
        <i x="1248" s="1" nd="1"/>
        <i x="2487" s="1" nd="1"/>
        <i x="1118" s="1" nd="1"/>
        <i x="2859" s="1" nd="1"/>
        <i x="1324" s="1" nd="1"/>
        <i x="237" s="1" nd="1"/>
        <i x="1795" s="1" nd="1"/>
        <i x="2882" s="1" nd="1"/>
        <i x="2887" s="1" nd="1"/>
        <i x="1860" s="1" nd="1"/>
        <i x="2166" s="1" nd="1"/>
        <i x="34" s="1" nd="1"/>
        <i x="2191" s="1" nd="1"/>
        <i x="394" s="1" nd="1"/>
        <i x="2396" s="1" nd="1"/>
        <i x="1371" s="1" nd="1"/>
        <i x="2303" s="1" nd="1"/>
        <i x="956" s="1" nd="1"/>
        <i x="807" s="1" nd="1"/>
        <i x="1566" s="1" nd="1"/>
        <i x="760" s="1" nd="1"/>
        <i x="1888" s="1" nd="1"/>
        <i x="258" s="1" nd="1"/>
        <i x="1171" s="1" nd="1"/>
        <i x="1960" s="1" nd="1"/>
        <i x="815" s="1" nd="1"/>
        <i x="2969" s="1" nd="1"/>
        <i x="1861" s="1" nd="1"/>
        <i x="2212" s="1" nd="1"/>
        <i x="2050" s="1" nd="1"/>
        <i x="1415" s="1" nd="1"/>
        <i x="497" s="1" nd="1"/>
        <i x="2687" s="1" nd="1"/>
        <i x="1083" s="1" nd="1"/>
        <i x="545" s="1" nd="1"/>
        <i x="441" s="1" nd="1"/>
        <i x="2402" s="1" nd="1"/>
        <i x="2177" s="1" nd="1"/>
        <i x="2960" s="1" nd="1"/>
        <i x="144" s="1" nd="1"/>
        <i x="1707" s="1" nd="1"/>
        <i x="128" s="1" nd="1"/>
        <i x="1339" s="1" nd="1"/>
        <i x="2197" s="1" nd="1"/>
        <i x="2780" s="1" nd="1"/>
        <i x="1011" s="1" nd="1"/>
        <i x="442" s="1" nd="1"/>
        <i x="2296" s="1" nd="1"/>
        <i x="2058" s="1" nd="1"/>
        <i x="1090" s="1" nd="1"/>
        <i x="2658" s="1" nd="1"/>
        <i x="2532" s="1" nd="1"/>
        <i x="2342" s="1" nd="1"/>
        <i x="69" s="1" nd="1"/>
        <i x="1081" s="1" nd="1"/>
        <i x="243" s="1" nd="1"/>
        <i x="1424" s="1" nd="1"/>
        <i x="2175" s="1" nd="1"/>
        <i x="2323" s="1" nd="1"/>
        <i x="1341" s="1" nd="1"/>
        <i x="334" s="1" nd="1"/>
        <i x="1653" s="1" nd="1"/>
        <i x="1394" s="1" nd="1"/>
        <i x="8" s="1" nd="1"/>
        <i x="964" s="1" nd="1"/>
        <i x="2799" s="1" nd="1"/>
        <i x="2105" s="1" nd="1"/>
        <i x="2952" s="1" nd="1"/>
        <i x="863" s="1" nd="1"/>
        <i x="291" s="1" nd="1"/>
        <i x="420" s="1" nd="1"/>
        <i x="1812" s="1" nd="1"/>
        <i x="1877" s="1" nd="1"/>
        <i x="1648" s="1" nd="1"/>
        <i x="564" s="1" nd="1"/>
        <i x="1288" s="1" nd="1"/>
        <i x="2373" s="1" nd="1"/>
        <i x="323" s="1" nd="1"/>
        <i x="260" s="1" nd="1"/>
        <i x="91" s="1" nd="1"/>
        <i x="958" s="1" nd="1"/>
        <i x="2941" s="1" nd="1"/>
        <i x="2980" s="1" nd="1"/>
        <i x="1898" s="1" nd="1"/>
        <i x="525" s="1" nd="1"/>
        <i x="1957" s="1" nd="1"/>
        <i x="2508" s="1" nd="1"/>
        <i x="1567" s="1" nd="1"/>
        <i x="607" s="1" nd="1"/>
        <i x="1229" s="1" nd="1"/>
        <i x="2184" s="1" nd="1"/>
        <i x="2321" s="1" nd="1"/>
        <i x="2953" s="1" nd="1"/>
        <i x="1089" s="1" nd="1"/>
        <i x="2183" s="1" nd="1"/>
        <i x="2534" s="1" nd="1"/>
        <i x="540" s="1" nd="1"/>
        <i x="1575" s="1" nd="1"/>
        <i x="921" s="1" nd="1"/>
        <i x="2300" s="1" nd="1"/>
        <i x="1441" s="1" nd="1"/>
        <i x="477" s="1" nd="1"/>
        <i x="2207" s="1" nd="1"/>
        <i x="2464" s="1" nd="1"/>
        <i x="595" s="1" nd="1"/>
        <i x="1464" s="1" nd="1"/>
        <i x="1472" s="1" nd="1"/>
        <i x="336" s="1" nd="1"/>
        <i x="2517" s="1" nd="1"/>
        <i x="2052" s="1" nd="1"/>
        <i x="22" s="1" nd="1"/>
        <i x="280" s="1" nd="1"/>
        <i x="2990" s="1" nd="1"/>
        <i x="1316" s="1" nd="1"/>
        <i x="2265" s="1" nd="1"/>
        <i x="16" s="1" nd="1"/>
        <i x="975" s="1" nd="1"/>
        <i x="1159" s="1" nd="1"/>
        <i x="2069" s="1" nd="1"/>
        <i x="552" s="1" nd="1"/>
        <i x="1454" s="1" nd="1"/>
        <i x="2832" s="1" nd="1"/>
        <i x="683" s="1" nd="1"/>
        <i x="2570" s="1" nd="1"/>
        <i x="2740" s="1" nd="1"/>
        <i x="844" s="1" nd="1"/>
        <i x="1488" s="1" nd="1"/>
        <i x="1279" s="1" nd="1"/>
        <i x="150" s="1" nd="1"/>
        <i x="2547" s="1" nd="1"/>
        <i x="825" s="1" nd="1"/>
        <i x="1137" s="1" nd="1"/>
        <i x="1697" s="1" nd="1"/>
        <i x="2432" s="1" nd="1"/>
        <i x="59" s="1" nd="1"/>
        <i x="899" s="1" nd="1"/>
        <i x="6" s="1" nd="1"/>
        <i x="2248" s="1" nd="1"/>
        <i x="1208" s="1" nd="1"/>
        <i x="618" s="1" nd="1"/>
        <i x="1113" s="1" nd="1"/>
        <i x="421" s="1" nd="1"/>
        <i x="1206" s="1" nd="1"/>
        <i x="1740" s="1" nd="1"/>
        <i x="2410" s="1" nd="1"/>
        <i x="2904" s="1" nd="1"/>
        <i x="220" s="1" nd="1"/>
        <i x="1026" s="1" nd="1"/>
        <i x="2382" s="1" nd="1"/>
        <i x="190" s="1" nd="1"/>
        <i x="252" s="1" nd="1"/>
        <i x="2565" s="1" nd="1"/>
        <i x="1477" s="1" nd="1"/>
        <i x="982" s="1" nd="1"/>
        <i x="209" s="1" nd="1"/>
        <i x="2253" s="1" nd="1"/>
        <i x="1154" s="1" nd="1"/>
        <i x="723" s="1" nd="1"/>
        <i x="2302" s="1" nd="1"/>
        <i x="2745" s="1" nd="1"/>
        <i x="641" s="1" nd="1"/>
        <i x="836" s="1" nd="1"/>
        <i x="2287" s="1" nd="1"/>
        <i x="1503" s="1" nd="1"/>
        <i x="2434" s="1" nd="1"/>
        <i x="1106" s="1" nd="1"/>
        <i x="2557" s="1" nd="1"/>
        <i x="1938" s="1" nd="1"/>
        <i x="1689" s="1" nd="1"/>
        <i x="304" s="1" nd="1"/>
        <i x="1418" s="1" nd="1"/>
        <i x="467" s="1" nd="1"/>
        <i x="231" s="1" nd="1"/>
        <i x="2659" s="1" nd="1"/>
        <i x="206" s="1" nd="1"/>
        <i x="1193" s="1" nd="1"/>
        <i x="1399" s="1" nd="1"/>
        <i x="166" s="1" nd="1"/>
        <i x="1115" s="1" nd="1"/>
        <i x="514" s="1" nd="1"/>
        <i x="1714" s="1" nd="1"/>
        <i x="1172" s="1" nd="1"/>
        <i x="2015" s="1" nd="1"/>
        <i x="834" s="1" nd="1"/>
        <i x="1491" s="1" nd="1"/>
        <i x="1047" s="1" nd="1"/>
        <i x="173" s="1" nd="1"/>
        <i x="1374" s="1" nd="1"/>
        <i x="850" s="1" nd="1"/>
        <i x="2677" s="1" nd="1"/>
        <i x="1757" s="1" nd="1"/>
        <i x="986" s="1" nd="1"/>
        <i x="2806" s="1" nd="1"/>
        <i x="1549" s="1" nd="1"/>
        <i x="1623" s="1" nd="1"/>
        <i x="145" s="1" nd="1"/>
        <i x="2492" s="1" nd="1"/>
        <i x="1993" s="1" nd="1"/>
        <i x="599" s="1" nd="1"/>
        <i x="2596" s="1" nd="1"/>
        <i x="763" s="1" nd="1"/>
        <i x="2155" s="1" nd="1"/>
        <i x="183" s="1" nd="1"/>
        <i x="428" s="1" nd="1"/>
        <i x="1386" s="1" nd="1"/>
        <i x="737" s="1" nd="1"/>
        <i x="1930" s="1" nd="1"/>
        <i x="1576" s="1" nd="1"/>
        <i x="1779" s="1" nd="1"/>
        <i x="1061" s="1" nd="1"/>
        <i x="2168" s="1" nd="1"/>
        <i x="1043" s="1" nd="1"/>
        <i x="2080" s="1" nd="1"/>
        <i x="289" s="1" nd="1"/>
        <i x="2231" s="1" nd="1"/>
        <i x="889" s="1" nd="1"/>
        <i x="2209" s="1" nd="1"/>
        <i x="224" s="1" nd="1"/>
        <i x="2715" s="1" nd="1"/>
        <i x="2667" s="1" nd="1"/>
        <i x="1554" s="1" nd="1"/>
        <i x="211" s="1" nd="1"/>
        <i x="1928" s="1" nd="1"/>
        <i x="2511" s="1" nd="1"/>
        <i x="387" s="1" nd="1"/>
        <i x="2849" s="1" nd="1"/>
        <i x="1816" s="1" nd="1"/>
        <i x="2137" s="1" nd="1"/>
        <i x="1000" s="1" nd="1"/>
        <i x="2479" s="1" nd="1"/>
        <i x="1585" s="1" nd="1"/>
        <i x="1673" s="1" nd="1"/>
        <i x="1831" s="1" nd="1"/>
        <i x="1426" s="1" nd="1"/>
        <i x="553" s="1" nd="1"/>
        <i x="1008" s="1" nd="1"/>
        <i x="1312" s="1" nd="1"/>
        <i x="1019" s="1" nd="1"/>
        <i x="1670" s="1" nd="1"/>
        <i x="667" s="1" nd="1"/>
        <i x="2789" s="1" nd="1"/>
        <i x="2722" s="1" nd="1"/>
        <i x="1044" s="1" nd="1"/>
        <i x="181" s="1" nd="1"/>
        <i x="1317" s="1" nd="1"/>
        <i x="1914" s="1" nd="1"/>
        <i x="200" s="1" nd="1"/>
        <i x="1074" s="1" nd="1"/>
        <i x="471" s="1" nd="1"/>
        <i x="365" s="1" nd="1"/>
        <i x="1325" s="1" nd="1"/>
        <i x="528" s="1" nd="1"/>
        <i x="2642" s="1" nd="1"/>
        <i x="702" s="1" nd="1"/>
        <i x="2418" s="1" nd="1"/>
        <i x="2519" s="1" nd="1"/>
        <i x="351" s="1" nd="1"/>
        <i x="2266" s="1" nd="1"/>
        <i x="2781" s="1" nd="1"/>
        <i x="1630" s="1" nd="1"/>
        <i x="158" s="1" nd="1"/>
        <i x="1734" s="1" nd="1"/>
        <i x="53" s="1" nd="1"/>
        <i x="1771" s="1" nd="1"/>
        <i x="1944" s="1" nd="1"/>
        <i x="1225" s="1" nd="1"/>
        <i x="1857" s="1" nd="1"/>
        <i x="2076" s="1" nd="1"/>
        <i x="2406" s="1" nd="1"/>
        <i x="976" s="1" nd="1"/>
        <i x="771" s="1" nd="1"/>
        <i x="1773" s="1" nd="1"/>
        <i x="2144" s="1" nd="1"/>
        <i x="1839" s="1" nd="1"/>
        <i x="1983" s="1" nd="1"/>
        <i x="131" s="1" nd="1"/>
        <i x="2120" s="1" nd="1"/>
        <i x="2141" s="1" nd="1"/>
        <i x="812" s="1" nd="1"/>
        <i x="1617" s="1" nd="1"/>
        <i x="2581" s="1" nd="1"/>
        <i x="2584" s="1" nd="1"/>
        <i x="327" s="1" nd="1"/>
        <i x="736" s="1" nd="1"/>
        <i x="2094" s="1" nd="1"/>
        <i x="1385" s="1" nd="1"/>
        <i x="3006" s="1" nd="1"/>
        <i x="1065" s="1" nd="1"/>
        <i x="269" s="1" nd="1"/>
        <i x="661" s="1" nd="1"/>
        <i x="992" s="1" nd="1"/>
        <i x="2871" s="1" nd="1"/>
        <i x="2102" s="1" nd="1"/>
        <i x="36" s="1" nd="1"/>
        <i x="2582" s="1" nd="1"/>
        <i x="2865" s="1" nd="1"/>
        <i x="1826" s="1" nd="1"/>
        <i x="2821" s="1" nd="1"/>
        <i x="2070" s="1" nd="1"/>
        <i x="1240" s="1" nd="1"/>
        <i x="2411" s="1" nd="1"/>
        <i x="1442" s="1" nd="1"/>
        <i x="423" s="1" nd="1"/>
        <i x="1378" s="1" nd="1"/>
        <i x="10" s="1" nd="1"/>
        <i x="2535" s="1" nd="1"/>
        <i x="2949" s="1" nd="1"/>
        <i x="813" s="1" nd="1"/>
        <i x="2131" s="1" nd="1"/>
        <i x="2542" s="1" nd="1"/>
        <i x="2111" s="1" nd="1"/>
        <i x="1457" s="1" nd="1"/>
        <i x="340" s="1" nd="1"/>
        <i x="2113" s="1" nd="1"/>
        <i x="1255" s="1" nd="1"/>
        <i x="2646" s="1" nd="1"/>
        <i x="712" s="1" nd="1"/>
        <i x="1896" s="1" nd="1"/>
        <i x="2244" s="1" nd="1"/>
        <i x="236" s="1" nd="1"/>
        <i x="2200" s="1" nd="1"/>
        <i x="1150" s="1" nd="1"/>
        <i x="227" s="1" nd="1"/>
        <i x="2931" s="1" nd="1"/>
        <i x="2550" s="1" nd="1"/>
        <i x="2762" s="1" nd="1"/>
        <i x="2124" s="1" nd="1"/>
        <i x="2681" s="1" nd="1"/>
        <i x="2863" s="1" nd="1"/>
        <i x="587" s="1" nd="1"/>
        <i x="1253" s="1" nd="1"/>
        <i x="2765" s="1" nd="1"/>
        <i x="865" s="1" nd="1"/>
        <i x="1050" s="1" nd="1"/>
        <i x="2467" s="1" nd="1"/>
        <i x="2349" s="1" nd="1"/>
        <i x="1238" s="1" nd="1"/>
        <i x="2471" s="1" nd="1"/>
        <i x="457" s="1" nd="1"/>
        <i x="2826" s="1" nd="1"/>
        <i x="1198" s="1" nd="1"/>
        <i x="432" s="1" nd="1"/>
        <i x="454" s="1" nd="1"/>
        <i x="1663" s="1" nd="1"/>
        <i x="1037" s="1" nd="1"/>
        <i x="561" s="1" nd="1"/>
        <i x="2159" s="1" nd="1"/>
        <i x="1358" s="1" nd="1"/>
        <i x="2755" s="1" nd="1"/>
        <i x="1713" s="1" nd="1"/>
        <i x="788" s="1" nd="1"/>
        <i x="2918" s="1" nd="1"/>
        <i x="1977" s="1" nd="1"/>
        <i x="2703" s="1" nd="1"/>
        <i x="1165" s="1" nd="1"/>
        <i x="2365" s="1" nd="1"/>
        <i x="1747" s="1" nd="1"/>
        <i x="1489" s="1" nd="1"/>
        <i x="748" s="1" nd="1"/>
        <i x="1895" s="1" nd="1"/>
        <i x="2332" s="1" nd="1"/>
        <i x="1124" s="1" nd="1"/>
        <i x="2334" s="1" nd="1"/>
        <i x="2908" s="1" nd="1"/>
        <i x="1271" s="1" nd="1"/>
        <i x="1729" s="1" nd="1"/>
        <i x="1449" s="1" nd="1"/>
        <i x="1352" s="1" nd="1"/>
        <i x="2319" s="1" nd="1"/>
        <i x="2412" s="1" nd="1"/>
        <i x="531" s="1" nd="1"/>
        <i x="1030" s="1" nd="1"/>
        <i x="1611" s="1" nd="1"/>
        <i x="1080" s="1" nd="1"/>
        <i x="2668" s="1" nd="1"/>
        <i x="576" s="1" nd="1"/>
        <i x="1461" s="1" nd="1"/>
        <i x="7" s="1" nd="1"/>
        <i x="650" s="1" nd="1"/>
        <i x="2805" s="1" nd="1"/>
        <i x="2347" s="1" nd="1"/>
        <i x="1017" s="1" nd="1"/>
        <i x="2218" s="1" nd="1"/>
        <i x="2478" s="1" nd="1"/>
        <i x="1854" s="1" nd="1"/>
        <i x="2422" s="1" nd="1"/>
        <i x="186" s="1" nd="1"/>
        <i x="1589" s="1" nd="1"/>
        <i x="25" s="1" nd="1"/>
        <i x="1224" s="1" nd="1"/>
        <i x="81" s="1" nd="1"/>
        <i x="961" s="1" nd="1"/>
        <i x="2923" s="1" nd="1"/>
        <i x="883" s="1" nd="1"/>
        <i x="409" s="1" nd="1"/>
        <i x="1320" s="1" nd="1"/>
        <i x="2308" s="1" nd="1"/>
        <i x="213" s="1" nd="1"/>
        <i x="2138" s="1" nd="1"/>
        <i x="2292" s="1" nd="1"/>
        <i x="2174" s="1" nd="1"/>
        <i x="15" s="1" nd="1"/>
        <i x="2259" s="1" nd="1"/>
        <i x="1715" s="1" nd="1"/>
        <i x="403" s="1" nd="1"/>
        <i x="1329" s="1" nd="1"/>
        <i x="1070" s="1" nd="1"/>
        <i x="476" s="1" nd="1"/>
        <i x="313" s="1" nd="1"/>
        <i x="1875" s="1" nd="1"/>
        <i x="2709" s="1" nd="1"/>
        <i x="140" s="1" nd="1"/>
        <i x="2631" s="1" nd="1"/>
        <i x="1318" s="1" nd="1"/>
        <i x="2445" s="1" nd="1"/>
        <i x="2455" s="1" nd="1"/>
        <i x="478" s="1" nd="1"/>
        <i x="2451" s="1" nd="1"/>
        <i x="100" s="1" nd="1"/>
        <i x="2055" s="1" nd="1"/>
        <i x="1290" s="1" nd="1"/>
        <i x="1052" s="1" nd="1"/>
        <i x="1778" s="1" nd="1"/>
        <i x="1348" s="1" nd="1"/>
        <i x="854" s="1" nd="1"/>
        <i x="1214" s="1" nd="1"/>
        <i x="656" s="1" nd="1"/>
        <i x="2318" s="1" nd="1"/>
        <i x="1362" s="1" nd="1"/>
        <i x="397" s="1" nd="1"/>
        <i x="1646" s="1" nd="1"/>
        <i x="300" s="1" nd="1"/>
        <i x="1791" s="1" nd="1"/>
        <i x="2988" s="1" nd="1"/>
        <i x="2086" s="1" nd="1"/>
        <i x="1022" s="1" nd="1"/>
        <i x="731" s="1" nd="1"/>
        <i x="1520" s="1" nd="1"/>
        <i x="1538" s="1" nd="1"/>
        <i x="88" s="1" nd="1"/>
        <i x="1499" s="1" nd="1"/>
        <i x="1932" s="1" nd="1"/>
        <i x="1959" s="1" nd="1"/>
        <i x="971" s="1" nd="1"/>
        <i x="2494" s="1" nd="1"/>
        <i x="838" s="1" nd="1"/>
        <i x="534" s="1" nd="1"/>
        <i x="130" s="1" nd="1"/>
        <i x="2839" s="1" nd="1"/>
        <i x="1742" s="1" nd="1"/>
        <i x="911" s="1" nd="1"/>
        <i x="233" s="1" nd="1"/>
        <i x="2834" s="1" nd="1"/>
        <i x="30" s="1" nd="1"/>
        <i x="2987" s="1" nd="1"/>
        <i x="658" s="1" nd="1"/>
        <i x="1656" s="1" nd="1"/>
        <i x="318" s="1" nd="1"/>
        <i x="2275" s="1" nd="1"/>
        <i x="649" s="1" nd="1"/>
        <i x="2870" s="1" nd="1"/>
        <i x="182" s="1" nd="1"/>
        <i x="2592" s="1" nd="1"/>
        <i x="521" s="1" nd="1"/>
        <i x="266" s="1" nd="1"/>
        <i x="1300" s="1" nd="1"/>
        <i x="1929" s="1" nd="1"/>
        <i x="149" s="1" nd="1"/>
        <i x="1644" s="1" nd="1"/>
        <i x="2727" s="1" nd="1"/>
        <i x="1384" s="1" nd="1"/>
        <i x="2967" s="1" nd="1"/>
        <i x="45" s="1" nd="1"/>
        <i x="1166" s="1" nd="1"/>
        <i x="238" s="1" nd="1"/>
        <i x="2414" s="1" nd="1"/>
        <i x="488" s="1" nd="1"/>
        <i x="1387" s="1" nd="1"/>
        <i x="230" s="1" nd="1"/>
        <i x="918" s="1" nd="1"/>
        <i x="826" s="1" nd="1"/>
        <i x="1635" s="1" nd="1"/>
        <i x="1181" s="1" nd="1"/>
        <i x="56" s="1" nd="1"/>
        <i x="859" s="1" nd="1"/>
        <i x="1769" s="1" nd="1"/>
        <i x="1948" s="1" nd="1"/>
        <i x="1465" s="1" nd="1"/>
        <i x="122" s="1" nd="1"/>
        <i x="1082" s="1" nd="1"/>
        <i x="1846" s="1" nd="1"/>
        <i x="2946" s="1" nd="1"/>
        <i x="1437" s="1" nd="1"/>
        <i x="2394" s="1" nd="1"/>
        <i x="2829" s="1" nd="1"/>
        <i x="875" s="1" nd="1"/>
        <i x="512" s="1" nd="1"/>
        <i x="1283" s="1" nd="1"/>
        <i x="2164" s="1" nd="1"/>
        <i x="1401" s="1" nd="1"/>
        <i x="2" s="1" nd="1"/>
        <i x="1450" s="1" nd="1"/>
        <i x="416" s="1" nd="1"/>
        <i x="1799" s="1" nd="1"/>
        <i x="665" s="1" nd="1"/>
        <i x="835" s="1" nd="1"/>
        <i x="383" s="1" nd="1"/>
        <i x="1737" s="1" nd="1"/>
        <i x="2554" s="1" nd="1"/>
        <i x="1533" s="1" nd="1"/>
        <i x="588" s="1" nd="1"/>
        <i x="1356" s="1" nd="1"/>
        <i x="843" s="1" nd="1"/>
        <i x="1311" s="1" nd="1"/>
        <i x="207" s="1" nd="1"/>
        <i x="2861" s="1" nd="1"/>
        <i x="2750" s="1" nd="1"/>
        <i x="1887" s="1" nd="1"/>
        <i x="2543" s="1" nd="1"/>
        <i x="777" s="1" nd="1"/>
        <i x="635" s="1" nd="1"/>
        <i x="121" s="1" nd="1"/>
        <i x="2807" s="1" nd="1"/>
        <i x="1622" s="1" nd="1"/>
        <i x="1242" s="1" nd="1"/>
        <i x="2281" s="1" nd="1"/>
        <i x="2883" s="1" nd="1"/>
        <i x="669" s="1" nd="1"/>
        <i x="668" s="1" nd="1"/>
        <i x="1187" s="1" nd="1"/>
        <i x="930" s="1" nd="1"/>
        <i x="2384" s="1" nd="1"/>
        <i x="829" s="1" nd="1"/>
        <i x="322" s="1" nd="1"/>
        <i x="2116" s="1" nd="1"/>
        <i x="2477" s="1" nd="1"/>
        <i x="305" s="1" nd="1"/>
        <i x="1045" s="1" nd="1"/>
        <i x="1018" s="1" nd="1"/>
        <i x="765" s="1" nd="1"/>
        <i x="1658" s="1" nd="1"/>
        <i x="103" s="1" nd="1"/>
        <i x="9" s="1" nd="1"/>
        <i x="2260" s="1" nd="1"/>
        <i x="1672" s="1" nd="1"/>
        <i x="2215" s="1" nd="1"/>
        <i x="75" s="1" nd="1"/>
        <i x="1073" s="1" nd="1"/>
        <i x="1668" s="1" nd="1"/>
        <i x="2558" s="1" nd="1"/>
        <i x="1432" s="1" nd="1"/>
        <i x="466" s="1" nd="1"/>
        <i x="2613" s="1" nd="1"/>
        <i x="1594" s="1" nd="1"/>
        <i x="591" s="1" nd="1"/>
        <i x="21" s="1" nd="1"/>
        <i x="2012" s="1" nd="1"/>
        <i x="288" s="1" nd="1"/>
        <i x="2256" s="1" nd="1"/>
        <i x="1105" s="1" nd="1"/>
        <i x="2938" s="1" nd="1"/>
        <i x="2185" s="1" nd="1"/>
        <i x="2891" s="1" nd="1"/>
        <i x="2005" s="1" nd="1"/>
        <i x="1916" s="1" nd="1"/>
        <i x="177" s="1" nd="1"/>
        <i x="1953" s="1" nd="1"/>
        <i x="515" s="1" nd="1"/>
        <i x="1404" s="1" nd="1"/>
        <i x="2738" s="1" nd="1"/>
        <i x="2441" s="1" nd="1"/>
        <i x="2146" s="1" nd="1"/>
        <i x="519" s="1" nd="1"/>
        <i x="2336" s="1" nd="1"/>
        <i x="1683" s="1" nd="1"/>
        <i x="1543" s="1" nd="1"/>
        <i x="127" s="1" nd="1"/>
        <i x="2736" s="1" nd="1"/>
        <i x="1121" s="1" nd="1"/>
        <i x="1162" s="1" nd="1"/>
        <i x="449" s="1" nd="1"/>
        <i x="2626" s="1" nd="1"/>
        <i x="2024" s="1" nd="1"/>
        <i x="1937" s="1" nd="1"/>
        <i x="47" s="1" nd="1"/>
        <i x="837" s="1" nd="1"/>
        <i x="804" s="1" nd="1"/>
        <i x="1076" s="1" nd="1"/>
        <i x="678" s="1" nd="1"/>
        <i x="2888" s="1" nd="1"/>
        <i x="1479" s="1" nd="1"/>
        <i x="2405" s="1" nd="1"/>
        <i x="2763" s="1" nd="1"/>
        <i x="2748" s="1" nd="1"/>
        <i x="1478" s="1" nd="1"/>
        <i x="2979" s="1" nd="1"/>
        <i x="789" s="1" nd="1"/>
        <i x="2377" s="1" nd="1"/>
        <i x="960" s="1" nd="1"/>
        <i x="2065" s="1" nd="1"/>
        <i x="1266" s="1" nd="1"/>
        <i x="1539" s="1" nd="1"/>
        <i x="2775" s="1" nd="1"/>
        <i x="617" s="1" nd="1"/>
        <i x="1855" s="1" nd="1"/>
        <i x="2480" s="1" nd="1"/>
        <i x="2284" s="1" nd="1"/>
        <i x="369" s="1" nd="1"/>
        <i x="1257" s="1" nd="1"/>
        <i x="1246" s="1" nd="1"/>
        <i x="957" s="1" nd="1"/>
        <i x="746" s="1" nd="1"/>
        <i x="1350" s="1" nd="1"/>
        <i x="675" s="1" nd="1"/>
        <i x="1192" s="1" nd="1"/>
        <i x="1819" s="1" nd="1"/>
        <i x="1969" s="1" nd="1"/>
        <i x="728" s="1" nd="1"/>
        <i x="2054" s="1" nd="1"/>
        <i x="905" s="1" nd="1"/>
        <i x="2449" s="1" nd="1"/>
        <i x="980" s="1" nd="1"/>
        <i x="1148" s="1" nd="1"/>
        <i x="507" s="1" nd="1"/>
        <i x="1526" s="1" nd="1"/>
        <i x="1096" s="1" nd="1"/>
        <i x="951" s="1" nd="1"/>
        <i x="1796" s="1" nd="1"/>
        <i x="1492" s="1" nd="1"/>
        <i x="1190" s="1" nd="1"/>
        <i x="390" s="1" nd="1"/>
        <i x="2686" s="1" nd="1"/>
        <i x="1091" s="1" nd="1"/>
        <i x="2045" s="1" nd="1"/>
        <i x="2107" s="1" nd="1"/>
        <i x="2112" s="1" nd="1"/>
        <i x="27" s="1" nd="1"/>
        <i x="1274" s="1" nd="1"/>
        <i x="1013" s="1" nd="1"/>
        <i x="933" s="1" nd="1"/>
        <i x="1671" s="1" nd="1"/>
        <i x="2530" s="1" nd="1"/>
        <i x="2074" s="1" nd="1"/>
        <i x="2636" s="1" nd="1"/>
        <i x="1920" s="1" nd="1"/>
        <i x="2525" s="1" nd="1"/>
        <i x="886" s="1" nd="1"/>
        <i x="1002" s="1" nd="1"/>
        <i x="729" s="1" nd="1"/>
        <i x="1620" s="1" nd="1"/>
        <i x="133" s="1" nd="1"/>
        <i x="2170" s="1" nd="1"/>
        <i x="963" s="1" nd="1"/>
        <i x="2167" s="1" nd="1"/>
        <i x="199" s="1" nd="1"/>
        <i x="2360" s="1" nd="1"/>
        <i x="644" s="1" nd="1"/>
        <i x="952" s="1" nd="1"/>
        <i x="1696" s="1" nd="1"/>
        <i x="877" s="1" nd="1"/>
        <i x="480" s="1" nd="1"/>
        <i x="2932" s="1" nd="1"/>
        <i x="1923" s="1" nd="1"/>
        <i x="502" s="1" nd="1"/>
        <i x="651" s="1" nd="1"/>
        <i x="2632" s="1" nd="1"/>
        <i x="569" s="1" nd="1"/>
        <i x="2571" s="1" nd="1"/>
        <i x="2760" s="1" nd="1"/>
        <i x="1443" s="1" nd="1"/>
        <i x="167" s="1" nd="1"/>
        <i x="2267" s="1" nd="1"/>
        <i x="1840" s="1" nd="1"/>
        <i x="1980" s="1" nd="1"/>
        <i x="1447" s="1" nd="1"/>
        <i x="2712" s="1" nd="1"/>
        <i x="424" s="1" nd="1"/>
        <i x="647" s="1" nd="1"/>
        <i x="2764" s="1" nd="1"/>
        <i x="2046" s="1" nd="1"/>
        <i x="2199" s="1" nd="1"/>
        <i x="1881" s="1" nd="1"/>
        <i x="46" s="1" nd="1"/>
        <i x="2351" s="1" nd="1"/>
        <i x="2497" s="1" nd="1"/>
        <i x="681" s="1" nd="1"/>
        <i x="2242" s="1" nd="1"/>
        <i x="1584" s="1" nd="1"/>
        <i x="2466" s="1" nd="1"/>
        <i x="1763" s="1" nd="1"/>
        <i x="2973" s="1" nd="1"/>
        <i x="2911" s="1" nd="1"/>
        <i x="375" s="1" nd="1"/>
        <i x="1999" s="1" nd="1"/>
        <i x="1931" s="1" nd="1"/>
        <i x="1259" s="1" nd="1"/>
        <i x="407" s="1" nd="1"/>
        <i x="2947" s="1" nd="1"/>
        <i x="2553" s="1" nd="1"/>
        <i x="165" s="1" nd="1"/>
        <i x="2540" s="1" nd="1"/>
        <i x="3008" s="1" nd="1"/>
        <i x="2176" s="1" nd="1"/>
        <i x="1149" s="1" nd="1"/>
        <i x="349" s="1" nd="1"/>
        <i x="2096" s="1" nd="1"/>
        <i x="0" s="1" nd="1"/>
        <i x="359" s="1" nd="1"/>
        <i x="1460" s="1" nd="1"/>
        <i x="99" s="1" nd="1"/>
        <i x="929" s="1" nd="1"/>
        <i x="2286" s="1" nd="1"/>
        <i x="1807" s="1" nd="1"/>
        <i x="1390" s="1" nd="1"/>
        <i x="1173" s="1" nd="1"/>
        <i x="5" s="1" nd="1"/>
        <i x="1510" s="1" nd="1"/>
        <i x="2572" s="1" nd="1"/>
        <i x="2243" s="1" nd="1"/>
        <i x="686" s="1" nd="1"/>
        <i x="2186" s="1" nd="1"/>
        <i x="708" s="1" nd="1"/>
        <i x="2773" s="1" nd="1"/>
        <i x="1092" s="1" nd="1"/>
        <i x="1373" s="1" nd="1"/>
        <i x="1647" s="1" nd="1"/>
        <i x="2139" s="1" nd="1"/>
        <i x="2190" s="1" nd="1"/>
        <i x="2730" s="1" nd="1"/>
        <i x="161" s="1" nd="1"/>
        <i x="152" s="1" nd="1"/>
        <i x="2095" s="1" nd="1"/>
        <i x="1789" s="1" nd="1"/>
        <i x="546" s="1" nd="1"/>
        <i x="2368" s="1" nd="1"/>
        <i x="2714" s="1" nd="1"/>
        <i x="208" s="1" nd="1"/>
        <i x="849" s="1" nd="1"/>
        <i x="1245" s="1" nd="1"/>
        <i x="1694" s="1" nd="1"/>
        <i x="338" s="1" nd="1"/>
        <i x="1687" s="1" nd="1"/>
        <i x="1681" s="1" nd="1"/>
        <i x="2948" s="1" nd="1"/>
        <i x="2619" s="1" nd="1"/>
        <i x="274" s="1" nd="1"/>
        <i x="2130" s="1" nd="1"/>
        <i x="1727" s="1" nd="1"/>
        <i x="2585" s="1" nd="1"/>
        <i x="2857" s="1" nd="1"/>
        <i x="2390" s="1" nd="1"/>
        <i x="272" s="1" nd="1"/>
        <i x="214" s="1" nd="1"/>
        <i x="1765" s="1" nd="1"/>
        <i x="2788" s="1" nd="1"/>
        <i x="2443" s="1" nd="1"/>
        <i x="109" s="1" nd="1"/>
        <i x="2395" s="1" nd="1"/>
        <i x="276" s="1" nd="1"/>
        <i x="2027" s="1" nd="1"/>
        <i x="2855" s="1" nd="1"/>
        <i x="2881" s="1" nd="1"/>
        <i x="2051" s="1" nd="1"/>
        <i x="703" s="1" nd="1"/>
        <i x="1856" s="1" nd="1"/>
        <i x="2803" s="1" nd="1"/>
        <i x="1943" s="1" nd="1"/>
        <i x="361" s="1" nd="1"/>
        <i x="2340" s="1" nd="1"/>
        <i x="2899" s="1" nd="1"/>
        <i x="509" s="1" nd="1"/>
        <i x="985" s="1" nd="1"/>
        <i x="1485" s="1" nd="1"/>
        <i x="1036" s="1" nd="1"/>
        <i x="68" s="1" nd="1"/>
        <i x="1711" s="1" nd="1"/>
        <i x="135" s="1" nd="1"/>
        <i x="1431" s="1" nd="1"/>
        <i x="759" s="1" nd="1"/>
        <i x="1235" s="1" nd="1"/>
        <i x="516" s="1" nd="1"/>
        <i x="2536" s="1" nd="1"/>
        <i x="779" s="1" nd="1"/>
        <i x="299" s="1" nd="1"/>
        <i x="1970" s="1" nd="1"/>
        <i x="1001" s="1" nd="1"/>
        <i x="2524" s="1" nd="1"/>
        <i x="550" s="1" nd="1"/>
        <i x="939" s="1" nd="1"/>
        <i x="317" s="1" nd="1"/>
        <i x="97" s="1" nd="1"/>
        <i x="1265" s="1" nd="1"/>
        <i x="382" s="1" nd="1"/>
        <i x="1641" s="1" nd="1"/>
        <i x="1186" s="1" nd="1"/>
        <i x="1422" s="1" nd="1"/>
        <i x="744" s="1" nd="1"/>
        <i x="1444" s="1" nd="1"/>
        <i x="751" s="1" nd="1"/>
        <i x="832" s="1" nd="1"/>
        <i x="856" s="1" nd="1"/>
        <i x="2733" s="1" nd="1"/>
        <i x="1380" s="1" nd="1"/>
        <i x="345" s="1" nd="1"/>
        <i x="2747" s="1" nd="1"/>
        <i x="419" s="1" nd="1"/>
        <i x="589" s="1" nd="1"/>
        <i x="2828" s="1" nd="1"/>
        <i x="2093" s="1" nd="1"/>
        <i x="1360" s="1" nd="1"/>
        <i x="308" s="1" nd="1"/>
        <i x="1130" s="1" nd="1"/>
        <i x="876" s="1" nd="1"/>
        <i x="582" s="1" nd="1"/>
        <i x="1486" s="1" nd="1"/>
        <i x="2147" s="1" nd="1"/>
        <i x="1301" s="1" nd="1"/>
        <i x="965" s="1" nd="1"/>
        <i x="1638" s="1" nd="1"/>
        <i x="1730" s="1" nd="1"/>
        <i x="999" s="1" nd="1"/>
        <i x="673" s="1" nd="1"/>
        <i x="417" s="1" nd="1"/>
        <i x="1655" s="1" nd="1"/>
        <i x="995" s="1" nd="1"/>
        <i x="82" s="1" nd="1"/>
        <i x="1233" s="1" nd="1"/>
        <i x="2779" s="1" nd="1"/>
        <i x="724" s="1" nd="1"/>
        <i x="1971" s="1" nd="1"/>
        <i x="1794" s="1" nd="1"/>
        <i x="816" s="1" nd="1"/>
        <i x="1531" s="1" nd="1"/>
        <i x="627" s="1" nd="1"/>
        <i x="1483" s="1" nd="1"/>
        <i x="827" s="1" nd="1"/>
        <i x="2676" s="1" nd="1"/>
        <i x="461" s="1" nd="1"/>
        <i x="1223" s="1" nd="1"/>
        <i x="3012" s="1" nd="1"/>
        <i x="1480" s="1" nd="1"/>
        <i x="1321" s="1" nd="1"/>
        <i x="108" s="1" nd="1"/>
        <i x="1810" s="1" nd="1"/>
        <i x="2739" s="1" nd="1"/>
        <i x="2792" s="1" nd="1"/>
        <i x="2353" s="1" nd="1"/>
        <i x="1950" s="1" nd="1"/>
        <i x="292" s="1" nd="1"/>
        <i x="1736" s="1" nd="1"/>
        <i x="2317" s="1" nd="1"/>
        <i x="1700" s="1" nd="1"/>
        <i x="654" s="1" nd="1"/>
        <i x="2578" s="1" nd="1"/>
        <i x="1758" s="1" nd="1"/>
        <i x="1268" s="1" nd="1"/>
        <i x="358" s="1" nd="1"/>
        <i x="927" s="1" nd="1"/>
        <i x="112" s="1" nd="1"/>
        <i x="2057" s="1" nd="1"/>
        <i x="2515" s="1" nd="1"/>
        <i x="1883" s="1" nd="1"/>
        <i x="2140" s="1" nd="1"/>
        <i x="360" s="1" nd="1"/>
        <i x="2975" s="1" nd="1"/>
        <i x="2483" s="1" nd="1"/>
        <i x="1992" s="1" nd="1"/>
        <i x="332" s="1" nd="1"/>
        <i x="898" s="1" nd="1"/>
        <i x="1164" s="1" nd="1"/>
        <i x="146" s="1" nd="1"/>
        <i x="2742" s="1" nd="1"/>
        <i x="1631" s="1" nd="1"/>
        <i x="198" s="1" nd="1"/>
        <i x="2143" s="1" nd="1"/>
        <i x="1434" s="1" nd="1"/>
        <i x="1903" s="1" nd="1"/>
        <i x="1256" s="1" nd="1"/>
        <i x="547" s="1" nd="1"/>
        <i x="2023" s="1" nd="1"/>
        <i x="1843" s="1" nd="1"/>
        <i x="1212" s="1" nd="1"/>
        <i x="912" s="1" nd="1"/>
        <i x="60" s="1" nd="1"/>
        <i x="2327" s="1" nd="1"/>
        <i x="2674" s="1" nd="1"/>
        <i x="1601" s="1" nd="1"/>
        <i x="2362" s="1" nd="1"/>
        <i x="1296" s="1" nd="1"/>
        <i x="2033" s="1" nd="1"/>
        <i x="814" s="1" nd="1"/>
        <i x="1049" s="1" nd="1"/>
        <i x="795" s="1" nd="1"/>
        <i x="2226" s="1" nd="1"/>
        <i x="2816" s="1" nd="1"/>
        <i x="1315" s="1" nd="1"/>
        <i x="2006" s="1" nd="1"/>
        <i x="377" s="1" nd="1"/>
        <i x="1053" s="1" nd="1"/>
        <i x="2603" s="1" nd="1"/>
        <i x="2329" s="1" nd="1"/>
        <i x="2409" s="1" nd="1"/>
        <i x="1851" s="1" nd="1"/>
        <i x="65" s="1" nd="1"/>
        <i x="87" s="1" nd="1"/>
        <i x="890" s="1" nd="1"/>
        <i x="1678" s="1" nd="1"/>
        <i x="2079" s="1" nd="1"/>
        <i x="1516" s="1" nd="1"/>
        <i x="1897" s="1" nd="1"/>
        <i x="1366" s="1" nd="1"/>
        <i x="570" s="1" nd="1"/>
        <i x="2624" s="1" nd="1"/>
        <i x="1836" s="1" nd="1"/>
        <i x="592" s="1" nd="1"/>
        <i x="977" s="1" nd="1"/>
        <i x="2089" s="1" nd="1"/>
        <i x="2021" s="1" nd="1"/>
        <i x="2224" s="1" nd="1"/>
        <i x="251" s="1" nd="1"/>
        <i x="1234" s="1" nd="1"/>
        <i x="526" s="1" nd="1"/>
        <i x="2473" s="1" nd="1"/>
        <i x="2339" s="1" nd="1"/>
        <i x="2770" s="1" nd="1"/>
        <i x="1232" s="1" nd="1"/>
        <i x="2786" s="1" nd="1"/>
        <i x="41" s="1" nd="1"/>
        <i x="2415" s="1" nd="1"/>
        <i x="1481" s="1" nd="1"/>
        <i x="1841" s="1" nd="1"/>
        <i x="1168" s="1" nd="1"/>
        <i x="1132" s="1" nd="1"/>
        <i x="738" s="1" nd="1"/>
        <i x="2350" s="1" nd="1"/>
        <i x="2306" s="1" nd="1"/>
        <i x="1046" s="1" nd="1"/>
        <i x="1786" s="1" nd="1"/>
        <i x="1921" s="1" nd="1"/>
        <i x="458" s="1" nd="1"/>
        <i x="1652" s="1" nd="1"/>
        <i x="2574" s="1" nd="1"/>
        <i x="2886" s="1" nd="1"/>
        <i x="1127" s="1" nd="1"/>
        <i x="1409" s="1" nd="1"/>
        <i x="1176" s="1" nd="1"/>
        <i x="1865" s="1" nd="1"/>
        <i x="2270" s="1" nd="1"/>
        <i x="2989" s="1" nd="1"/>
        <i x="1650" s="1" nd="1"/>
        <i x="1204" s="1" nd="1"/>
        <i x="492" s="1" nd="1"/>
        <i x="2221" s="1" nd="1"/>
        <i x="1926" s="1" nd="1"/>
        <i x="558" s="1" nd="1"/>
        <i x="412" s="1" nd="1"/>
        <i x="2943" s="1" nd="1"/>
        <i x="189" s="1" nd="1"/>
        <i x="2822" s="1" nd="1"/>
        <i x="187" s="1" nd="1"/>
        <i x="1989" s="1" nd="1"/>
        <i x="191" s="1" nd="1"/>
        <i x="169" s="1" nd="1"/>
        <i x="711" s="1" nd="1"/>
        <i x="2878" s="1" nd="1"/>
        <i x="2059" s="1" nd="1"/>
        <i x="1708" s="1" nd="1"/>
        <i x="372" s="1" nd="1"/>
        <i x="2280" s="1" nd="1"/>
        <i x="1306" s="1" nd="1"/>
        <i x="942" s="1" nd="1"/>
        <i x="205" s="1" nd="1"/>
        <i x="2527" s="1" nd="1"/>
        <i x="1540" s="1" nd="1"/>
        <i x="2359" s="1" nd="1"/>
        <i x="774" s="1" nd="1"/>
        <i x="870" s="1" nd="1"/>
        <i x="1104" s="1" nd="1"/>
        <i x="536" s="1" nd="1"/>
        <i x="2819" s="1" nd="1"/>
        <i x="2573" s="1" nd="1"/>
        <i x="2693" s="1" nd="1"/>
        <i x="1984" s="1" nd="1"/>
        <i x="1155" s="1" nd="1"/>
        <i x="598" s="1" nd="1"/>
        <i x="805" s="1" nd="1"/>
        <i x="1900" s="1" nd="1"/>
        <i x="705" s="1" nd="1"/>
        <i x="2258" s="1" nd="1"/>
        <i x="1582" s="1" nd="1"/>
        <i x="1724" s="1" nd="1"/>
        <i x="2456" s="1" nd="1"/>
        <i x="1917" s="1" nd="1"/>
        <i x="2579" s="1" nd="1"/>
        <i x="1219" s="1" nd="1"/>
        <i x="431" s="1" nd="1"/>
        <i x="2933" s="1" nd="1"/>
        <i x="895" s="1" nd="1"/>
        <i x="1094" s="1" nd="1"/>
        <i x="1313" s="1" nd="1"/>
        <i x="415" s="1" nd="1"/>
        <i x="1964" s="1" nd="1"/>
        <i x="2011" s="1" nd="1"/>
        <i x="435" s="1" nd="1"/>
        <i x="1511" s="1" nd="1"/>
        <i x="2928" s="1" nd="1"/>
        <i x="411" s="1" nd="1"/>
        <i x="1569" s="1" nd="1"/>
        <i x="2902" s="1" nd="1"/>
        <i x="2129" s="1" nd="1"/>
        <i x="917" s="1" nd="1"/>
        <i x="1004" s="1" nd="1"/>
        <i x="235" s="1" nd="1"/>
        <i x="2537" s="1" nd="1"/>
        <i x="452" s="1" nd="1"/>
        <i x="2723" s="1" nd="1"/>
        <i x="810" s="1" nd="1"/>
        <i x="2262" s="1" nd="1"/>
        <i x="938" s="1" nd="1"/>
        <i x="14" s="1" nd="1"/>
        <i x="2326" s="1" nd="1"/>
        <i x="2833" s="1" nd="1"/>
        <i x="315" s="1" nd="1"/>
        <i x="2935" s="1" nd="1"/>
        <i x="1728" s="1" nd="1"/>
        <i x="557" s="1" nd="1"/>
        <i x="2354" s="1" nd="1"/>
        <i x="809" s="1" nd="1"/>
        <i x="950" s="1" nd="1"/>
        <i x="2298" s="1" nd="1"/>
        <i x="2957" s="1" nd="1"/>
        <i x="2735" s="1" nd="1"/>
        <i x="120" s="1" nd="1"/>
        <i x="1423" s="1" nd="1"/>
        <i x="2453" s="1" nd="1"/>
        <i x="31" s="1" nd="1"/>
        <i x="2850" s="1" nd="1"/>
        <i x="1643" s="1" nd="1"/>
        <i x="1905" s="1" nd="1"/>
        <i x="310" s="1" nd="1"/>
        <i x="2604" s="1" nd="1"/>
        <i x="1455" s="1" nd="1"/>
        <i x="2609" s="1" nd="1"/>
        <i x="1260" s="1" nd="1"/>
        <i x="2589" s="1" nd="1"/>
        <i x="85" s="1" nd="1"/>
        <i x="2032" s="1" nd="1"/>
        <i x="2313" s="1" nd="1"/>
        <i x="19" s="1" nd="1"/>
        <i x="1086" s="1" nd="1"/>
        <i x="2249" s="1" nd="1"/>
        <i x="1027" s="1" nd="1"/>
        <i x="282" s="1" nd="1"/>
        <i x="1532" s="1" nd="1"/>
        <i x="455" s="1" nd="1"/>
        <i x="2407" s="1" nd="1"/>
        <i x="548" s="1" nd="1"/>
        <i x="2992" s="1" nd="1"/>
        <i x="2459" s="1" nd="1"/>
        <i x="406" s="1" nd="1"/>
        <i x="2995" s="1" nd="1"/>
        <i x="574" s="1" nd="1"/>
        <i x="2633" s="1" nd="1"/>
        <i x="44" s="1" nd="1"/>
        <i x="872" s="1" nd="1"/>
        <i x="1363" s="1" nd="1"/>
        <i x="1035" s="1" nd="1"/>
        <i x="1553" s="1" nd="1"/>
        <i x="2645" s="1" nd="1"/>
        <i x="330" s="1" nd="1"/>
        <i x="1741" s="1" nd="1"/>
        <i x="2576" s="1" nd="1"/>
        <i x="2071" s="1" nd="1"/>
        <i x="672" s="1" nd="1"/>
        <i x="1310" s="1" nd="1"/>
        <i x="1152" s="1" nd="1"/>
        <i x="379" s="1" nd="1"/>
        <i x="2872" s="1" nd="1"/>
        <i x="2638" s="1" nd="1"/>
        <i x="2976" s="1" nd="1"/>
        <i x="1780" s="1" nd="1"/>
        <i x="2925" s="1" nd="1"/>
        <i x="410" s="1" nd="1"/>
        <i x="1467" s="1" nd="1"/>
        <i x="2036" s="1" nd="1"/>
        <i x="2344" s="1" nd="1"/>
        <i x="1495" s="1" nd="1"/>
        <i x="730" s="1" nd="1"/>
        <i x="796" s="1" nd="1"/>
        <i x="1545" s="1" nd="1"/>
        <i x="710" s="1" nd="1"/>
        <i x="2744" s="1" nd="1"/>
        <i x="1183" s="1" nd="1"/>
        <i x="2548" s="1" nd="1"/>
        <i x="1788" s="1" nd="1"/>
        <i x="2121" s="1" nd="1"/>
        <i x="2457" s="1" nd="1"/>
        <i x="380" s="1" nd="1"/>
        <i x="2188" s="1" nd="1"/>
        <i x="129" s="1" nd="1"/>
        <i x="341" s="1" nd="1"/>
        <i x="698" s="1" nd="1"/>
        <i x="1304" s="1" nd="1"/>
        <i x="1523" s="1" nd="1"/>
        <i x="1042" s="1" nd="1"/>
        <i x="86" s="1" nd="1"/>
        <i x="215" s="1" nd="1"/>
        <i x="1732" s="1" nd="1"/>
        <i x="2637" s="1" nd="1"/>
        <i x="1328" s="1" nd="1"/>
        <i x="566" s="1" nd="1"/>
        <i x="84" s="1" nd="1"/>
        <i x="2328" s="1" nd="1"/>
        <i x="1215" s="1" nd="1"/>
        <i x="2278" s="1" nd="1"/>
        <i x="1833" s="1" nd="1"/>
        <i x="2229" s="1" nd="1"/>
        <i x="659" s="1" nd="1"/>
        <i x="2400" s="1" nd="1"/>
        <i x="154" s="1" nd="1"/>
        <i x="2502" s="1" nd="1"/>
        <i x="1184" s="1" nd="1"/>
        <i x="2997" s="1" nd="1"/>
        <i x="1573" s="1" nd="1"/>
        <i x="1514" s="1" nd="1"/>
        <i x="639" s="1" nd="1"/>
        <i x="1496" s="1" nd="1"/>
        <i x="188" s="1" nd="1"/>
        <i x="1408" s="1" nd="1"/>
        <i x="663" s="1" nd="1"/>
        <i x="1135" s="1" nd="1"/>
        <i x="1178" s="1" nd="1"/>
        <i x="1936" s="1" nd="1"/>
        <i x="118" s="1" nd="1"/>
        <i x="174" s="1" nd="1"/>
        <i x="256" s="1" nd="1"/>
        <i x="1201" s="1" nd="1"/>
        <i x="2305" s="1" nd="1"/>
        <i x="2824" s="1" nd="1"/>
        <i x="1659" s="1" nd="1"/>
        <i x="1079" s="1" nd="1"/>
        <i x="2452" s="1" nd="1"/>
        <i x="691" s="1" nd="1"/>
        <i x="1355" s="1" nd="1"/>
        <i x="2984" s="1" nd="1"/>
        <i x="3009" s="1" nd="1"/>
        <i x="223" s="1" nd="1"/>
        <i x="1557" s="1" nd="1"/>
        <i x="197" s="1" nd="1"/>
        <i x="1023" s="1" nd="1"/>
        <i x="1551" s="1" nd="1"/>
        <i x="1364" s="1" nd="1"/>
        <i x="808" s="1" nd="1"/>
        <i x="1211" s="1" nd="1"/>
        <i x="1138" s="1" nd="1"/>
        <i x="1010" s="1" nd="1"/>
        <i x="2607" s="1" nd="1"/>
        <i x="398" s="1" nd="1"/>
        <i x="685" s="1" nd="1"/>
        <i x="2398" s="1" nd="1"/>
        <i x="706" s="1" nd="1"/>
        <i x="2820" s="1" nd="1"/>
        <i x="439" s="1" nd="1"/>
        <i x="2665" s="1" nd="1"/>
        <i x="1359" s="1" nd="1"/>
        <i x="1250" s="1" nd="1"/>
        <i x="1025" s="1" nd="1"/>
        <i x="2501" s="1" nd="1"/>
        <i x="307" s="1" nd="1"/>
        <i x="1968" s="1" nd="1"/>
        <i x="1892" s="1" nd="1"/>
        <i x="1064" s="1" nd="1"/>
        <i x="2198" s="1" nd="1"/>
        <i x="2397" s="1" nd="1"/>
        <i x="593" s="1" nd="1"/>
        <i x="847" s="1" nd="1"/>
        <i x="2575" s="1" nd="1"/>
        <i x="267" s="1" nd="1"/>
        <i x="2800" s="1" nd="1"/>
        <i x="2831" s="1" nd="1"/>
        <i x="493" s="1" nd="1"/>
        <i x="1884" s="1" nd="1"/>
        <i x="2616" s="1" nd="1"/>
        <i x="520" s="1" nd="1"/>
        <i x="2119" s="1" nd="1"/>
        <i x="1544" s="1" nd="1"/>
        <i x="682" s="1" nd="1"/>
        <i x="2010" s="1" nd="1"/>
        <i x="1966" s="1" nd="1"/>
        <i x="2277" s="1" nd="1"/>
        <i x="1677" s="1" nd="1"/>
        <i x="632" s="1" nd="1"/>
        <i x="1893" s="1" nd="1"/>
        <i x="74" s="1" nd="1"/>
        <i x="42" s="1" nd="1"/>
        <i x="2598" s="1" nd="1"/>
        <i x="741" s="1" nd="1"/>
        <i x="914" s="1" nd="1"/>
        <i x="2104" s="1" nd="1"/>
        <i x="2044" s="1" nd="1"/>
        <i x="385" s="1" nd="1"/>
        <i x="2136" s="1" nd="1"/>
        <i x="2516" s="1" nd="1"/>
        <i x="2782" s="1" nd="1"/>
        <i x="1722" s="1" nd="1"/>
        <i x="1665" s="1" nd="1"/>
        <i x="2880" s="1" nd="1"/>
        <i x="2649" s="1" nd="1"/>
        <i x="2448" s="1" nd="1"/>
        <i x="2404" s="1" nd="1"/>
        <i x="2699" s="1" nd="1"/>
        <i x="2117" s="1" nd="1"/>
        <i x="23" s="1" nd="1"/>
        <i x="851" s="1" nd="1"/>
        <i x="1140" s="1" nd="1"/>
        <i x="1336" s="1" nd="1"/>
        <i x="1695" s="1" nd="1"/>
        <i x="1645" s="1" nd="1"/>
        <i x="2661" s="1" nd="1"/>
        <i x="860" s="1" nd="1"/>
        <i x="874" s="1" nd="1"/>
        <i x="2272" s="1" nd="1"/>
        <i x="2246" s="1" nd="1"/>
        <i x="389" s="1" nd="1"/>
        <i x="1739" s="1" nd="1"/>
        <i x="1303" s="1" nd="1"/>
        <i x="988" s="1" nd="1"/>
        <i x="228" s="1" nd="1"/>
        <i x="2959" s="1" nd="1"/>
        <i x="1332" s="1" nd="1"/>
        <i x="2625" s="1" nd="1"/>
        <i x="450" s="1" nd="1"/>
        <i x="2180" s="1" nd="1"/>
        <i x="393" s="1" nd="1"/>
        <i x="701" s="1" nd="1"/>
        <i x="1098" s="1" nd="1"/>
        <i x="1505" s="1" nd="1"/>
        <i x="1662" s="1" nd="1"/>
        <i x="1194" s="1" nd="1"/>
        <i x="1518" s="1" nd="1"/>
        <i x="104" s="1" nd="1"/>
        <i x="1397" s="1" nd="1"/>
        <i x="2098" s="1" nd="1"/>
        <i x="1295" s="1" nd="1"/>
        <i x="915" s="1" nd="1"/>
        <i x="842" s="1" nd="1"/>
        <i x="2148" s="1" nd="1"/>
        <i x="2429" s="1" nd="1"/>
        <i x="2425" s="1" nd="1"/>
        <i x="2814" s="1" nd="1"/>
        <i x="1024" s="1" nd="1"/>
        <i x="1273" s="1" nd="1"/>
        <i x="2754" s="1" nd="1"/>
        <i x="1607" s="1" nd="1"/>
        <i x="1772" s="1" nd="1"/>
        <i x="1" s="1" nd="1"/>
        <i x="2192" s="1" nd="1"/>
        <i x="2950" s="1" nd="1"/>
        <i x="1783" s="1" nd="1"/>
        <i x="2421" s="1" nd="1"/>
        <i x="1690" s="1" nd="1"/>
        <i x="1733" s="1" nd="1"/>
        <i x="981" s="1" nd="1"/>
        <i x="219" s="1" nd="1"/>
        <i x="1867" s="1" nd="1"/>
        <i x="2560" s="1" nd="1"/>
        <i x="2295" s="1" nd="1"/>
        <i x="1882" s="1" nd="1"/>
        <i x="2173" s="1" nd="1"/>
        <i x="1262" s="1" nd="1"/>
        <i x="563" s="1" nd="1"/>
        <i x="2082" s="1" nd="1"/>
        <i x="1111" s="1" nd="1"/>
        <i x="1122" s="1" nd="1"/>
        <i x="2389" s="1" nd="1"/>
        <i x="1528" s="1" nd="1"/>
        <i x="2053" s="1" nd="1"/>
        <i x="2357" s="1" nd="1"/>
        <i x="803" s="1" nd="1"/>
        <i x="1482" s="1" nd="1"/>
        <i x="542" s="1" nd="1"/>
        <i x="2864" s="1" nd="1"/>
        <i x="1175" s="1" nd="1"/>
        <i x="1627" s="1" nd="1"/>
        <i x="2490" s="1" nd="1"/>
        <i x="646" s="1" nd="1"/>
        <i x="1054" s="1" nd="1"/>
        <i x="916" s="1" nd="1"/>
        <i x="80" s="1" nd="1"/>
        <i x="959" s="1" nd="1"/>
        <i x="934" s="1" nd="1"/>
        <i x="693" s="1" nd="1"/>
        <i x="151" s="1" nd="1"/>
        <i x="2541" s="1" nd="1"/>
        <i x="253" s="1" nd="1"/>
        <i x="2588" s="1" nd="1"/>
        <i x="1269" s="1" nd="1"/>
        <i x="1716" s="1" nd="1"/>
        <i x="1107" s="1" nd="1"/>
        <i x="195" s="1" nd="1"/>
        <i x="828" s="1" nd="1"/>
        <i x="2611" s="1" nd="1"/>
        <i x="1891" s="1" nd="1"/>
        <i x="2503" s="1" nd="1"/>
        <i x="1474" s="1" nd="1"/>
        <i x="329" s="1" nd="1"/>
        <i x="613" s="1" nd="1"/>
        <i x="1954" s="1" nd="1"/>
        <i x="1612" s="1" nd="1"/>
        <i x="101" s="1" nd="1"/>
        <i x="1448" s="1" nd="1"/>
        <i x="1071" s="1" nd="1"/>
        <i x="1766" s="1" nd="1"/>
        <i x="172" s="1" nd="1"/>
        <i x="2737" s="1" nd="1"/>
        <i x="2205" s="1" nd="1"/>
        <i x="823" s="1" nd="1"/>
        <i x="2363" s="1" nd="1"/>
        <i x="1263" s="1" nd="1"/>
        <i x="373" s="1" nd="1"/>
        <i x="790" s="1" nd="1"/>
        <i x="948" s="1" nd="1"/>
        <i x="559" s="1" nd="1"/>
        <i x="2757" s="1" nd="1"/>
        <i x="721" s="1" nd="1"/>
        <i x="1616" s="1" nd="1"/>
        <i x="727" s="1" nd="1"/>
        <i x="1965" s="1" nd="1"/>
        <i x="2985" s="1" nd="1"/>
        <i x="297" s="1" nd="1"/>
        <i x="400" s="1" nd="1"/>
        <i x="1755" s="1" nd="1"/>
        <i x="1284" s="1" nd="1"/>
        <i x="1941" s="1" nd="1"/>
        <i x="468" s="1" nd="1"/>
        <i x="1501" s="1" nd="1"/>
        <i x="2802" s="1" nd="1"/>
        <i x="1120" s="1" nd="1"/>
        <i x="1351" s="1" nd="1"/>
        <i x="2858" s="1" nd="1"/>
        <i x="2378" s="1" nd="1"/>
        <i x="2639" s="1" nd="1"/>
        <i x="2234" s="1" nd="1"/>
        <i x="139" s="1" nd="1"/>
        <i x="2009" s="1" nd="1"/>
        <i x="1818" s="1" nd="1"/>
        <i x="871" s="1" nd="1"/>
        <i x="2860" s="1" nd="1"/>
        <i x="2158" s="1" nd="1"/>
        <i x="720" s="1" nd="1"/>
        <i x="640" s="1" nd="1"/>
        <i x="1858" s="1" nd="1"/>
        <i x="983" s="1" nd="1"/>
        <i x="2704" s="1" nd="1"/>
        <i x="2232" s="1" nd="1"/>
        <i x="822" s="1" nd="1"/>
        <i x="2118" s="1" nd="1"/>
        <i x="2769" s="1" nd="1"/>
        <i x="2075" s="1" nd="1"/>
        <i x="1546" s="1" nd="1"/>
        <i x="1410" s="1" nd="1"/>
        <i x="1596" s="1" nd="1"/>
        <i x="1945" s="1" nd="1"/>
        <i x="1161" s="1" nd="1"/>
        <i x="456" s="1" nd="1"/>
        <i x="2216" s="1" nd="1"/>
        <i x="2621" s="1" nd="1"/>
        <i x="2356" s="1" nd="1"/>
        <i x="674" s="1" nd="1"/>
        <i x="1710" s="1" nd="1"/>
        <i x="2643" s="1" nd="1"/>
        <i x="1859" s="1" nd="1"/>
        <i x="1034" s="1" nd="1"/>
        <i x="616" s="1" nd="1"/>
        <i x="473" s="1" nd="1"/>
        <i x="2732" s="1" nd="1"/>
        <i x="2309" s="1" nd="1"/>
        <i x="245" s="1" nd="1"/>
        <i x="2482" s="1" nd="1"/>
        <i x="2719" s="1" nd="1"/>
        <i x="824" s="1" nd="1"/>
        <i x="970" s="1" nd="1"/>
        <i x="1280" s="1" nd="1"/>
        <i x="621" s="1" nd="1"/>
        <i x="1699" s="1" nd="1"/>
        <i x="2201" s="1" nd="1"/>
        <i x="532" s="1" nd="1"/>
        <i x="2008" s="1" nd="1"/>
        <i x="2825" s="1" nd="1"/>
        <i x="437" s="1" nd="1"/>
        <i x="2708" s="1" nd="1"/>
        <i x="2567" s="1" nd="1"/>
        <i x="841" s="1" nd="1"/>
        <i x="2436" s="1" nd="1"/>
        <i x="878" s="1" nd="1"/>
        <i x="2983" s="1" nd="1"/>
        <i x="1879" s="1" nd="1"/>
        <i x="48" s="1" nd="1"/>
        <i x="2875" s="1" nd="1"/>
        <i x="2787" s="1" nd="1"/>
        <i x="1032" s="1" nd="1"/>
        <i x="818" s="1" nd="1"/>
        <i x="773" s="1" nd="1"/>
        <i x="1830" s="1" nd="1"/>
        <i x="342" s="1" nd="1"/>
        <i x="602" s="1" nd="1"/>
        <i x="2269" s="1" nd="1"/>
        <i x="1768" s="1" nd="1"/>
        <i x="1590" s="1" nd="1"/>
        <i x="615" s="1" nd="1"/>
        <i x="2751" s="1" nd="1"/>
        <i x="1726" s="1" nd="1"/>
        <i x="287" s="1" nd="1"/>
        <i x="538" s="1" nd="1"/>
        <i x="1602" s="1" nd="1"/>
        <i x="249" s="1" nd="1"/>
        <i x="904" s="1" nd="1"/>
        <i x="1680" s="1" nd="1"/>
        <i x="2974" s="1" nd="1"/>
        <i x="485" s="1" nd="1"/>
        <i x="610" s="1" nd="1"/>
        <i x="1298" s="1" nd="1"/>
        <i x="2042" s="1" nd="1"/>
        <i x="2064" s="1" nd="1"/>
        <i x="1911" s="1" nd="1"/>
        <i x="2367" s="1" nd="1"/>
        <i x="2165" s="1" nd="1"/>
        <i x="518" s="1" nd="1"/>
        <i x="1579" s="1" nd="1"/>
        <i x="910" s="1" nd="1"/>
        <i x="433" s="1" nd="1"/>
        <i x="1102" s="1" nd="1"/>
        <i x="17" s="1" nd="1"/>
        <i x="1287" s="1" nd="1"/>
        <i x="2294" s="1" nd="1"/>
        <i x="1277" s="1" nd="1"/>
        <i x="1913" s="1" nd="1"/>
        <i x="1629" s="1" nd="1"/>
        <i x="1361" s="1" nd="1"/>
        <i x="1640" s="1" nd="1"/>
        <i x="1375" s="1" nd="1"/>
        <i x="499" s="1" nd="1"/>
        <i x="2214" s="1" nd="1"/>
        <i x="2128" s="1" nd="1"/>
        <i x="1200" s="1" nd="1"/>
        <i x="2971" s="1" nd="1"/>
        <i x="2454" s="1" nd="1"/>
        <i x="1395" s="1" nd="1"/>
        <i x="216" s="1" nd="1"/>
        <i x="2791" s="1" nd="1"/>
        <i x="1059" s="1" nd="1"/>
        <i x="125" s="1" nd="1"/>
        <i x="487" s="1" nd="1"/>
        <i x="2922" s="1" nd="1"/>
        <i x="1904" s="1" nd="1"/>
        <i x="153" s="1" nd="1"/>
        <i x="255" s="1" nd="1"/>
        <i x="1007" s="1" nd="1"/>
        <i x="2671" s="1" nd="1"/>
        <i x="931" s="1" nd="1"/>
        <i x="2371" s="1" nd="1"/>
        <i x="2255" s="1" nd="1"/>
        <i x="425" s="1" nd="1"/>
        <i x="1935" s="1" nd="1"/>
        <i x="2594" s="1" nd="1"/>
        <i x="1216" s="1" nd="1"/>
        <i x="2126" s="1" nd="1"/>
        <i x="1829" s="1" nd="1"/>
        <i x="2694" s="1" nd="1"/>
        <i x="680" s="1" nd="1"/>
        <i x="2025" s="1" nd="1"/>
        <i x="662" s="1" nd="1"/>
        <i x="1998" s="1" nd="1"/>
        <i x="1922" s="1" nd="1"/>
        <i x="2288" s="1" nd="1"/>
        <i x="301" s="1" nd="1"/>
        <i x="1762" s="1" nd="1"/>
        <i x="386" s="1" nd="1"/>
        <i x="2921" s="1" nd="1"/>
        <i x="66" s="1" nd="1"/>
        <i x="2818" s="1" nd="1"/>
        <i x="2189" s="1" nd="1"/>
        <i x="157" s="1" nd="1"/>
        <i x="1469" s="1" nd="1"/>
        <i x="1691" s="1" nd="1"/>
        <i x="2688" s="1" nd="1"/>
        <i x="2555" s="1" nd="1"/>
        <i x="585" s="1" nd="1"/>
        <i x="757" s="1" nd="1"/>
        <i x="1055" s="1" nd="1"/>
        <i x="1636" s="1" nd="1"/>
        <i x="707" s="1" nd="1"/>
        <i x="2392" s="1" nd="1"/>
        <i x="2847" s="1" nd="1"/>
        <i x="1343" s="1" nd="1"/>
        <i x="2675" s="1" nd="1"/>
        <i x="3004" s="1" nd="1"/>
        <i x="1389" s="1" nd="1"/>
        <i x="1664" s="1" nd="1"/>
        <i x="1334" s="1" nd="1"/>
        <i x="2673" s="1" nd="1"/>
        <i x="2077" s="1" nd="1"/>
        <i x="1753" s="1" nd="1"/>
        <i x="343" s="1" nd="1"/>
        <i x="619" s="1" nd="1"/>
        <i x="2444" s="1" nd="1"/>
        <i x="2196" s="1" nd="1"/>
        <i x="316" s="1" nd="1"/>
        <i x="2374" s="1" nd="1"/>
        <i x="3005" s="1" nd="1"/>
        <i x="2241" s="1" nd="1"/>
        <i x="714" s="1" nd="1"/>
        <i x="64" s="1" nd="1"/>
        <i x="138" s="1" nd="1"/>
        <i x="1912" s="1" nd="1"/>
        <i x="1497" s="1" nd="1"/>
        <i x="2910" s="1" nd="1"/>
        <i x="178" s="1" nd="1"/>
        <i x="1251" s="1" nd="1"/>
        <i x="2004" s="1" nd="1"/>
        <i x="2663" s="1" nd="1"/>
        <i x="170" s="1" nd="1"/>
        <i x="2562" s="1" nd="1"/>
        <i x="1417" s="1" nd="1"/>
        <i x="955" s="1" nd="1"/>
        <i x="2427" s="1" nd="1"/>
        <i x="580" s="1" nd="1"/>
        <i x="739" s="1" nd="1"/>
        <i x="991" s="1" nd="1"/>
        <i x="2028" s="1" nd="1"/>
        <i x="1571" s="1" nd="1"/>
        <i x="2101" s="1" nd="1"/>
        <i x="105" s="1" nd="1"/>
        <i x="2595" s="1" nd="1"/>
        <i x="2808" s="1" nd="1"/>
        <i x="2590" s="1" nd="1"/>
        <i x="248" s="1" nd="1"/>
        <i x="2310" s="1" nd="1"/>
        <i x="2999" s="1" nd="1"/>
        <i x="2149" s="1" nd="1"/>
        <i x="2682" s="1" nd="1"/>
        <i x="571" s="1" nd="1"/>
        <i x="987" s="1" nd="1"/>
        <i x="2345" s="1" nd="1"/>
        <i x="2153" s="1" nd="1"/>
        <i x="2510" s="1" nd="1"/>
        <i x="2539" s="1" nd="1"/>
        <i x="2381" s="1" nd="1"/>
        <i x="1558" s="1" nd="1"/>
        <i x="26" s="1" nd="1"/>
        <i x="565" s="1" nd="1"/>
        <i x="1529" s="1" nd="1"/>
        <i x="605" s="1" nd="1"/>
        <i x="1462" s="1" nd="1"/>
        <i x="479" s="1" nd="1"/>
        <i x="1147" s="1" nd="1"/>
        <i x="2854" s="1" nd="1"/>
        <i x="2261" s="1" nd="1"/>
        <i x="1330" s="1" nd="1"/>
        <i x="33" s="1" nd="1"/>
        <i x="1285" s="1" nd="1"/>
        <i x="896" s="1" nd="1"/>
        <i x="2085" s="1" nd="1"/>
        <i x="596" s="1" nd="1"/>
        <i x="2423" s="1" nd="1"/>
        <i x="2468" s="1" nd="1"/>
        <i x="1270" s="1" nd="1"/>
        <i x="196" s="1" nd="1"/>
        <i x="1185" s="1" nd="1"/>
        <i x="76" s="1" nd="1"/>
        <i x="1095" s="1" nd="1"/>
        <i x="2416" s="1" nd="1"/>
        <i x="463" s="1" nd="1"/>
        <i x="1381" s="1" nd="1"/>
        <i x="43" s="1" nd="1"/>
        <i x="1419" s="1" nd="1"/>
        <i x="636" s="1" nd="1"/>
        <i x="2772" s="1" nd="1"/>
        <i x="1583" s="1" nd="1"/>
        <i x="2678" s="1" nd="1"/>
        <i x="762" s="1" nd="1"/>
        <i x="2311" s="1" nd="1"/>
        <i x="2204" s="1" nd="1"/>
        <i x="1972" s="1" nd="1"/>
        <i x="490" s="1" nd="1"/>
        <i x="845" s="1" nd="1"/>
        <i x="1542" s="1" nd="1"/>
        <i x="1808" s="1" nd="1"/>
        <i x="1745" s="1" nd="1"/>
        <i x="2951" s="1" nd="1"/>
        <i x="1667" s="1" nd="1"/>
        <i x="2474" s="1" nd="1"/>
        <i x="699" s="1" nd="1"/>
        <i x="1581" s="1" nd="1"/>
        <i x="1907" s="1" nd="1"/>
        <i x="2721" s="1" nd="1"/>
        <i x="1014" s="1" nd="1"/>
        <i x="2728" s="1" nd="1"/>
        <i x="302" s="1" nd="1"/>
        <i x="2062" s="1" nd="1"/>
        <i x="1563" s="1" nd="1"/>
        <i x="586" s="1" nd="1"/>
        <i x="2495" s="1" nd="1"/>
        <i x="1781" s="1" nd="1"/>
        <i x="1527" s="1" nd="1"/>
        <i x="1167" s="1" nd="1"/>
        <i x="2783" s="1" nd="1"/>
        <i x="1513" s="1" nd="1"/>
        <i x="797" s="1" nd="1"/>
        <i x="1060" s="1" nd="1"/>
        <i x="1012" s="1" nd="1"/>
        <i x="2364" s="1" nd="1"/>
        <i x="3003" s="1" nd="1"/>
        <i x="176" s="1" nd="1"/>
        <i x="1402" s="1" nd="1"/>
        <i x="2622" s="1" nd="1"/>
        <i x="465" s="1" nd="1"/>
        <i x="1033" s="1" nd="1"/>
        <i x="2873" s="1" nd="1"/>
        <i x="2845" s="1" nd="1"/>
        <i x="2655" s="1" nd="1"/>
        <i x="370" s="1" nd="1"/>
        <i x="597" s="1" nd="1"/>
        <i x="1446" s="1" nd="1"/>
        <i x="524" s="1" nd="1"/>
        <i x="2481" s="1" nd="1"/>
        <i x="1217" s="1" nd="1"/>
        <i x="1502" s="1" nd="1"/>
        <i x="2488" s="1" nd="1"/>
        <i x="1369" s="1" nd="1"/>
        <i x="1322" s="1" nd="1"/>
        <i x="147" s="1" nd="1"/>
        <i x="968" s="1" nd="1"/>
        <i x="1949" s="1" nd="1"/>
        <i x="753" s="1" nd="1"/>
        <i x="2756" s="1" nd="1"/>
        <i x="1939" s="1" nd="1"/>
        <i x="2379" s="1" nd="1"/>
        <i x="735" s="1" nd="1"/>
        <i x="776" s="1" nd="1"/>
        <i x="462" s="1" nd="1"/>
        <i x="1723" s="1" nd="1"/>
        <i x="460" s="1" nd="1"/>
        <i x="285" s="1" nd="1"/>
        <i x="1110" s="1" nd="1"/>
        <i x="697" s="1" nd="1"/>
        <i x="2759" s="1" nd="1"/>
        <i x="769" s="1" nd="1"/>
        <i x="2635" s="1" nd="1"/>
        <i x="483" s="1" nd="1"/>
        <i x="2827" s="1" nd="1"/>
        <i x="575" s="1" nd="1"/>
        <i x="278" s="1" nd="1"/>
        <i x="1956" s="1" nd="1"/>
        <i x="61" s="1" nd="1"/>
        <i x="2996" s="1" nd="1"/>
        <i x="787" s="1" nd="1"/>
        <i x="1372" s="1" nd="1"/>
        <i x="1144" s="1" nd="1"/>
        <i x="873" s="1" nd="1"/>
        <i x="1735" s="1" nd="1"/>
        <i x="160" s="1" nd="1"/>
        <i x="1536" s="1" nd="1"/>
        <i x="1101" s="1" nd="1"/>
        <i x="1134" s="1" nd="1"/>
        <i x="2049" s="1" nd="1"/>
        <i x="687" s="1" nd="1"/>
        <i x="742" s="1" nd="1"/>
        <i x="1552" s="1" nd="1"/>
        <i x="2650" s="1" nd="1"/>
        <i x="1365" s="1" nd="1"/>
        <i x="1504" s="1" nd="1"/>
        <i x="1637" s="1" nd="1"/>
        <i x="1005" s="1" nd="1"/>
        <i x="2108" s="1" nd="1"/>
        <i x="1367" s="1" nd="1"/>
        <i x="1406" s="1" nd="1"/>
        <i x="1537" s="1" nd="1"/>
        <i x="2606" s="1" nd="1"/>
        <i x="1586" s="1" nd="1"/>
        <i x="491" s="1" nd="1"/>
        <i x="2900" s="1" nd="1"/>
        <i x="1990" s="1" nd="1"/>
        <i x="295" s="1" nd="1"/>
        <i x="510" s="1" nd="1"/>
        <i x="802" s="1" nd="1"/>
        <i x="388" s="1" nd="1"/>
        <i x="2081" s="1" nd="1"/>
        <i x="894" s="1" nd="1"/>
        <i x="2154" s="1" nd="1"/>
        <i x="1621" s="1" nd="1"/>
        <i x="2127" s="1" nd="1"/>
        <i x="354" s="1" nd="1"/>
        <i x="935" s="1" nd="1"/>
        <i x="1988" s="1" nd="1"/>
        <i x="855" s="1" nd="1"/>
        <i x="2629" s="1" nd="1"/>
        <i x="1169" s="1" nd="1"/>
        <i x="578" s="1" nd="1"/>
        <i x="1784" s="1" nd="1"/>
        <i x="817" s="1" nd="1"/>
        <i x="1870" s="1" nd="1"/>
        <i x="1550" s="1" nd="1"/>
        <i x="785" s="1" nd="1"/>
        <i x="2512" s="1" nd="1"/>
        <i x="1158" s="1" nd="1"/>
        <i x="2620" s="1" nd="1"/>
        <i x="2729" s="1" nd="1"/>
        <i x="630" s="1" nd="1"/>
        <i x="1721" s="1" nd="1"/>
        <i x="2837" s="1" nd="1"/>
        <i x="2099" s="1" nd="1"/>
        <i x="2088" s="1" nd="1"/>
        <i x="978" s="1" nd="1"/>
        <i x="677" s="1" nd="1"/>
        <i x="2630" s="1" nd="1"/>
        <i x="1967" s="1" nd="1"/>
        <i x="2263" s="1" nd="1"/>
        <i x="1800" s="1" nd="1"/>
        <i x="2462" s="1" nd="1"/>
        <i x="1814" s="1" nd="1"/>
        <i x="543" s="1" nd="1"/>
        <i x="1388" s="1" nd="1"/>
        <i x="448" s="1" nd="1"/>
        <i x="320" s="1" nd="1"/>
        <i x="2962" s="1" nd="1"/>
        <i x="629" s="1" nd="1"/>
        <i x="171" s="1" nd="1"/>
        <i x="1189" s="1" nd="1"/>
        <i x="1393" s="1" nd="1"/>
        <i x="1407" s="1" nd="1"/>
        <i x="1824" s="1" nd="1"/>
        <i x="2279" s="1" nd="1"/>
        <i x="1624" s="1" nd="1"/>
        <i x="413" s="1" nd="1"/>
        <i x="906" s="1" nd="1"/>
        <i x="2072" s="1" nd="1"/>
        <i x="107" s="1" nd="1"/>
        <i x="891" s="1" nd="1"/>
        <i x="2238" s="1" nd="1"/>
        <i x="2597" s="1" nd="1"/>
        <i x="110" s="1" nd="1"/>
        <i x="2000" s="1" nd="1"/>
        <i x="862" s="1" nd="1"/>
        <i x="1853" s="1" nd="1"/>
        <i x="1651" s="1" nd="1"/>
        <i x="653" s="1" nd="1"/>
        <i x="137" s="1" nd="1"/>
        <i x="451" s="1" nd="1"/>
        <i x="271" s="1" nd="1"/>
        <i x="1871" s="1" nd="1"/>
        <i x="2644" s="1" nd="1"/>
        <i x="937" s="1" nd="1"/>
        <i x="2795" s="1" nd="1"/>
        <i x="2970" s="1" nd="1"/>
        <i x="83" s="1" nd="1"/>
        <i x="1838" s="1" nd="1"/>
        <i x="1777" s="1" nd="1"/>
        <i x="481" s="1" nd="1"/>
        <i x="1703" s="1" nd="1"/>
        <i x="732" s="1" nd="1"/>
        <i x="2612" s="1" nd="1"/>
        <i x="275" s="1" nd="1"/>
        <i x="2906" s="1" nd="1"/>
        <i x="967" s="1" nd="1"/>
        <i x="2341" s="1" nd="1"/>
        <i x="1685" s="1" nd="1"/>
        <i x="2195" s="1" nd="1"/>
        <i x="1850" s="1" nd="1"/>
        <i x="2713" s="1" nd="1"/>
        <i x="445" s="1" nd="1"/>
        <i x="1834" s="1" nd="1"/>
        <i x="2029" s="1" nd="1"/>
        <i x="357" s="1" nd="1"/>
        <i x="2546" s="1" nd="1"/>
        <i x="2813" s="1" nd="1"/>
        <i x="1307" s="1" nd="1"/>
        <i x="1902" s="1" nd="1"/>
        <i x="1126" s="1" nd="1"/>
        <i x="770" s="1" nd="1"/>
        <i x="1453" s="1" nd="1"/>
        <i x="2528" s="1" nd="1"/>
        <i x="1228" s="1" nd="1"/>
        <i x="1247" s="1" nd="1"/>
        <i x="2499" s="1" nd="1"/>
        <i x="2815" s="1" nd="1"/>
        <i x="2930" s="1" nd="1"/>
        <i x="2431" s="1" nd="1"/>
        <i x="2701" s="1" nd="1"/>
        <i x="1797" s="1" nd="1"/>
        <i x="2366" s="1" nd="1"/>
        <i x="1475" s="1" nd="1"/>
        <i x="115" s="1" nd="1"/>
        <i x="2716" s="1" nd="1"/>
        <i x="395" s="1" nd="1"/>
        <i x="96" s="1" nd="1"/>
        <i x="2889" s="1" nd="1"/>
        <i x="2963" s="1" nd="1"/>
        <i x="994" s="1" nd="1"/>
        <i x="1391" s="1" nd="1"/>
        <i x="2486" s="1" nd="1"/>
        <i x="945" s="1" nd="1"/>
        <i x="1519" s="1" nd="1"/>
        <i x="2220" s="1" nd="1"/>
        <i x="254" s="1" nd="1"/>
        <i x="2500" s="1" nd="1"/>
        <i x="1272" s="1" nd="1"/>
        <i x="1143" s="1" nd="1"/>
        <i x="2252" s="1" nd="1"/>
        <i x="913" s="1" nd="1"/>
        <i x="1349" s="1" nd="1"/>
        <i x="2465" s="1" nd="1"/>
        <i x="184" s="1" nd="1"/>
        <i x="2401" s="1" nd="1"/>
        <i x="1435" s="1" nd="1"/>
        <i x="2447" s="1" nd="1"/>
        <i x="2007" s="1" nd="1"/>
        <i x="1610" s="1" nd="1"/>
        <i x="2916" s="1" nd="1"/>
        <i x="819" s="1" nd="1"/>
        <i x="2460" s="1" nd="1"/>
        <i x="750" s="1" nd="1"/>
        <i x="2892" s="1" nd="1"/>
        <i x="1338" s="1" nd="1"/>
        <i x="2458" s="1" nd="1"/>
        <i x="344" s="1" nd="1"/>
        <i x="1908" s="1" nd="1"/>
        <i x="225" s="1" nd="1"/>
        <i x="1878" s="1" nd="1"/>
        <i x="2869" s="1" nd="1"/>
        <i x="1403" s="1" nd="1"/>
        <i x="1231" s="1" nd="1"/>
        <i x="1020" s="1" nd="1"/>
        <i x="2106" s="1" nd="1"/>
        <i x="496" s="1" nd="1"/>
        <i x="2442" s="1" nd="1"/>
        <i x="2438" s="1" nd="1"/>
        <i x="716" s="1" nd="1"/>
        <i x="1524" s="1" nd="1"/>
        <i x="1400" s="1" nd="1"/>
        <i x="2994" s="1" nd="1"/>
        <i x="489" s="1" nd="1"/>
        <i x="1218" s="1" nd="1"/>
        <i x="1759" s="1" nd="1"/>
        <i x="2568" s="1" nd="1"/>
        <i x="940" s="1" nd="1"/>
        <i x="2945" s="1" nd="1"/>
        <i x="2942" s="1" nd="1"/>
        <i x="1793" s="1" nd="1"/>
        <i x="1609" s="1" nd="1"/>
        <i x="2100" s="1" nd="1"/>
        <i x="2228" s="1" nd="1"/>
        <i x="549" s="1" nd="1"/>
        <i x="758" s="1" nd="1"/>
        <i x="2876" s="1" nd="1"/>
        <i x="1748" s="1" nd="1"/>
        <i x="2237" s="1" nd="1"/>
        <i x="1131" s="1" nd="1"/>
        <i x="1985" s="1" nd="1"/>
        <i x="404" s="1" nd="1"/>
        <i x="2702" s="1" nd="1"/>
        <i x="2617" s="1" nd="1"/>
        <i x="444" s="1" nd="1"/>
        <i x="2743" s="1" nd="1"/>
        <i x="2926" s="1" nd="1"/>
        <i x="67" s="1" nd="1"/>
        <i x="2061" s="1" nd="1"/>
        <i x="376" s="1" nd="1"/>
        <i x="1258" s="1" nd="1"/>
        <i x="689" s="1" nd="1"/>
        <i x="1108" s="1" nd="1"/>
        <i x="1760" s="1" nd="1"/>
        <i x="2777" s="1" nd="1"/>
        <i x="447" s="1" nd="1"/>
        <i x="1825" s="1" nd="1"/>
        <i x="725" s="1" nd="1"/>
        <i x="29" s="1" nd="1"/>
        <i x="1354" s="1" nd="1"/>
        <i x="1006" s="1" nd="1"/>
        <i x="2322" s="1" nd="1"/>
        <i x="772" s="1" nd="1"/>
        <i x="767" s="1" nd="1"/>
        <i x="1066" s="1" nd="1"/>
        <i x="143" s="1" nd="1"/>
        <i x="2202" s="1" nd="1"/>
        <i x="1770" s="1" nd="1"/>
        <i x="1281" s="1" nd="1"/>
        <i x="821" s="1" nd="1"/>
        <i x="2031" s="1" nd="1"/>
        <i x="530" s="1" nd="1"/>
        <i x="1291" s="1" nd="1"/>
        <i x="2851" s="1" nd="1"/>
        <i x="163" s="1" nd="1"/>
        <i x="1345" s="1" nd="1"/>
        <i x="2034" s="1" nd="1"/>
        <i x="690" s="1" nd="1"/>
        <i x="858" s="1" nd="1"/>
        <i x="609" s="1" nd="1"/>
        <i x="3" s="1" nd="1"/>
        <i x="1344" s="1" nd="1"/>
        <i x="2375" s="1" nd="1"/>
        <i x="3000" s="1" nd="1"/>
        <i x="422" s="1" nd="1"/>
        <i x="1705" s="1" nd="1"/>
        <i x="2283" s="1" nd="1"/>
        <i x="2901" s="1" nd="1"/>
        <i x="2496" s="1" nd="1"/>
        <i x="974" s="1" nd="1"/>
        <i x="2225" s="1" nd="1"/>
        <i x="719" s="1" nd="1"/>
        <i x="2917" s="1" nd="1"/>
        <i x="997" s="1" nd="1"/>
        <i x="339" s="1" nd="1"/>
        <i x="2352" s="1" nd="1"/>
        <i x="94" s="1" nd="1"/>
        <i x="897" s="1" nd="1"/>
        <i x="244" s="1" nd="1"/>
        <i x="926" s="1" nd="1"/>
        <i x="766" s="1" nd="1"/>
        <i x="2325" s="1" nd="1"/>
        <i x="2437" s="1" nd="1"/>
        <i x="482" s="1" nd="1"/>
        <i x="2577" s="1" nd="1"/>
        <i x="155" s="1" nd="1"/>
        <i x="1821" s="1" nd="1"/>
        <i x="346" s="1" nd="1"/>
        <i x="2797" s="1" nd="1"/>
        <i x="1347" s="1" nd="1"/>
        <i x="1414" s="1" nd="1"/>
        <i x="2862" s="1" nd="1"/>
        <i x="1809" s="1" nd="1"/>
        <i x="1340" s="1" nd="1"/>
        <i x="696" s="1" nd="1"/>
        <i x="1459" s="1" nd="1"/>
        <i x="2885" s="1" nd="1"/>
        <i x="2484" s="1" nd="1"/>
        <i x="1706" s="1" nd="1"/>
        <i x="626" s="1" nd="1"/>
        <i x="1599" s="1" nd="1"/>
        <i x="1924" s="1" nd="1"/>
        <i x="717" s="1" nd="1"/>
        <i x="1405" s="1" nd="1"/>
        <i x="2091" s="1" nd="1"/>
        <i x="2913" s="1" nd="1"/>
        <i x="247" s="1" nd="1"/>
        <i x="508" s="1" nd="1"/>
        <i x="2413" s="1" nd="1"/>
        <i x="537" s="1" nd="1"/>
        <i x="1752" s="1" nd="1"/>
        <i x="2919" s="1" nd="1"/>
        <i x="1484" s="1" nd="1"/>
        <i x="3002" s="1" nd="1"/>
        <i x="1827" s="1" nd="1"/>
        <i x="535" s="1" nd="1"/>
        <i x="1719" s="1" nd="1"/>
        <i x="2507" s="1" nd="1"/>
        <i x="1433" s="1" nd="1"/>
        <i x="4" s="1" nd="1"/>
        <i x="2039" s="1" nd="1"/>
        <i x="168" s="1" nd="1"/>
        <i x="614" s="1" nd="1"/>
        <i x="2307" s="1" nd="1"/>
        <i x="2114" s="1" nd="1"/>
        <i x="2840" s="1" nd="1"/>
        <i x="783" s="1" nd="1"/>
        <i x="309" s="1" nd="1"/>
        <i x="472" s="1" nd="1"/>
        <i x="1379" s="1" nd="1"/>
        <i x="2493" s="1" nd="1"/>
        <i x="1820" s="1" nd="1"/>
        <i x="2020" s="1" nd="1"/>
        <i x="1910" s="1" nd="1"/>
        <i x="601" s="1" nd="1"/>
        <i x="2440" s="1" nd="1"/>
        <i x="1952" s="1" nd="1"/>
        <i x="2160" s="1" nd="1"/>
        <i x="830" s="1" nd="1"/>
        <i x="2811" s="1" nd="1"/>
        <i x="768" s="1" nd="1"/>
        <i x="1991" s="1" nd="1"/>
        <i x="831" s="1" nd="1"/>
        <i x="2561" s="1" nd="1"/>
        <i x="2691" s="1" nd="1"/>
        <i x="1220" s="1" nd="1"/>
        <i x="2312" s="1" nd="1"/>
        <i x="193" s="1" nd="1"/>
        <i x="347" s="1" nd="1"/>
        <i x="2852" s="1" nd="1"/>
        <i x="2798" s="1" nd="1"/>
        <i x="469" s="1" nd="1"/>
        <i x="500" s="1" nd="1"/>
        <i x="2498" s="1" nd="1"/>
        <i x="2844" s="1" nd="1"/>
        <i x="2385" s="1" nd="1"/>
        <i x="989" s="1" nd="1"/>
        <i x="1213" s="1" nd="1"/>
        <i x="1376" s="1" nd="1"/>
        <i x="2083" s="1" nd="1"/>
        <i x="77" s="1" nd="1"/>
        <i x="581" s="1" nd="1"/>
        <i x="1570" s="1" nd="1"/>
        <i x="1003" s="1" nd="1"/>
        <i x="364" s="1" nd="1"/>
        <i x="1319" s="1" nd="1"/>
        <i x="2666" s="1" nd="1"/>
        <i x="924" s="1" nd="1"/>
        <i x="2271" s="1" nd="1"/>
        <i x="2842" s="1" nd="1"/>
        <i x="1093" s="1" nd="1"/>
        <i x="2552" s="1" nd="1"/>
        <i x="1580" s="1" nd="1"/>
        <i x="1100" s="1" nd="1"/>
        <i x="833" s="1" nd="1"/>
        <i x="2314" s="1" nd="1"/>
        <i x="1466" s="1" nd="1"/>
        <i x="2912" s="1" nd="1"/>
        <i x="2662" s="1" nd="1"/>
        <i x="39" s="1" nd="1"/>
        <i x="718" s="1" nd="1"/>
        <i x="1239" s="1" nd="1"/>
        <i x="1925" s="1" nd="1"/>
        <i x="50" s="1" nd="1"/>
        <i x="2914" s="1" nd="1"/>
        <i x="1750" s="1" nd="1"/>
        <i x="259" s="1" nd="1"/>
        <i x="709" s="1" nd="1"/>
        <i x="212" s="1" nd="1"/>
        <i x="1392" s="1" nd="1"/>
        <i x="1114" s="1" nd="1"/>
        <i x="1029" s="1" nd="1"/>
        <i x="2068" s="1" nd="1"/>
        <i x="429" s="1" nd="1"/>
        <i x="2433" s="1" nd="1"/>
        <i x="740" s="1" nd="1"/>
        <i x="1798" s="1" nd="1"/>
        <i x="579" s="1" nd="1"/>
        <i x="811" s="1" nd="1"/>
        <i x="2559" s="1" nd="1"/>
        <i x="2485" s="1" nd="1"/>
        <i x="1751" s="1" nd="1"/>
        <i x="2194" s="1" nd="1"/>
        <i x="440" s="1" nd="1"/>
        <i x="600" s="1" nd="1"/>
        <i x="1555" s="1" nd="1"/>
        <i x="2123" s="1" nd="1"/>
        <i x="868" s="1" nd="1"/>
        <i x="1894" s="1" nd="1"/>
        <i x="2187" s="1" nd="1"/>
        <i x="55" s="1" nd="1"/>
        <i x="1764" s="1" nd="1"/>
        <i x="381" s="1" nd="1"/>
        <i x="2672" s="1" nd="1"/>
        <i x="1221" s="1" nd="1"/>
        <i x="2001" s="1" nd="1"/>
        <i x="2018" s="1" nd="1"/>
        <i x="495" s="1" nd="1"/>
        <i x="907" s="1" nd="1"/>
        <i x="1574" s="1" nd="1"/>
        <i x="1468" s="1" nd="1"/>
        <i x="2208" s="1" nd="1"/>
        <i x="2890" s="1" nd="1"/>
        <i x="2623" s="1" nd="1"/>
        <i x="402" s="1" nd="1"/>
        <i x="1782" s="1" nd="1"/>
        <i x="2472" s="1" nd="1"/>
        <i x="1822" s="1" nd="1"/>
        <i x="2526" s="1" nd="1"/>
        <i x="1177" s="1" nd="1"/>
        <i x="1525" s="1" nd="1"/>
        <i x="446" s="1" nd="1"/>
        <i x="1848" s="1" nd="1"/>
        <i x="1927" s="1" nd="1"/>
        <i x="1556" s="1" nd="1"/>
        <i x="1738" s="1" nd="1"/>
        <i x="2469" s="1" nd="1"/>
        <i x="294" s="1" nd="1"/>
        <i x="2097" s="1" nd="1"/>
        <i x="123" s="1" nd="1"/>
        <i x="880" s="1" nd="1"/>
        <i x="348" s="1" nd="1"/>
        <i x="1530" s="1" nd="1"/>
        <i x="1264" s="1" nd="1"/>
        <i x="1413" s="1" nd="1"/>
        <i x="664" s="1" nd="1"/>
        <i x="501" s="1" nd="1"/>
        <i x="1974" s="1" nd="1"/>
        <i x="2940" s="1" nd="1"/>
        <i x="2145" s="1" nd="1"/>
        <i x="2874" s="1" nd="1"/>
        <i x="1420" s="1" nd="1"/>
        <i x="2648" s="1" nd="1"/>
        <i x="2856" s="1" nd="1"/>
        <i x="240" s="1" nd="1"/>
        <i x="1979" s="1" nd="1"/>
        <i x="2315" s="1" nd="1"/>
        <i x="695" s="1" nd="1"/>
        <i x="953" s="1" nd="1"/>
        <i x="1084" s="1" nd="1"/>
        <i x="2333" s="1" nd="1"/>
        <i x="1337" s="1" nd="1"/>
        <i x="1289" s="1" nd="1"/>
        <i x="1421" s="1" nd="1"/>
        <i x="54" s="1" nd="1"/>
        <i x="2419" s="1" nd="1"/>
        <i x="328" s="1" nd="1"/>
        <i x="1962" s="1" nd="1"/>
        <i x="1051" s="1" nd="1"/>
        <i x="1718" s="1" nd="1"/>
        <i x="2513" s="1" nd="1"/>
        <i x="2430" s="1" nd="1"/>
        <i x="2047" s="1" nd="1"/>
        <i x="1326" s="1" nd="1"/>
        <i x="2830" s="1" nd="1"/>
        <i x="885" s="1" nd="1"/>
        <i x="946" s="1" nd="1"/>
        <i x="116" s="1" nd="1"/>
        <i x="2647" s="1" nd="1"/>
        <i x="1222" s="1" nd="1"/>
        <i x="2316" s="1" nd="1"/>
        <i x="734" s="1" nd="1"/>
        <i x="2506" s="1" nd="1"/>
        <i x="2251" s="1" nd="1"/>
        <i x="1346" s="1" nd="1"/>
        <i x="511" s="1" nd="1"/>
        <i x="2618" s="1" nd="1"/>
        <i x="884" s="1" nd="1"/>
        <i x="1157" s="1" nd="1"/>
        <i x="1978" s="1" nd="1"/>
        <i x="2843" s="1" nd="1"/>
        <i x="2986" s="1" nd="1"/>
        <i x="2383" s="1" nd="1"/>
        <i x="2178" s="1" nd="1"/>
        <i x="643" s="1" nd="1"/>
        <i x="1666" s="1" nd="1"/>
        <i x="378" s="1" nd="1"/>
        <i x="2439" s="1" nd="1"/>
        <i x="2358" s="1" nd="1"/>
        <i x="2868" s="1" nd="1"/>
        <i x="1776" s="1" nd="1"/>
        <i x="2293" s="1" nd="1"/>
        <i x="1199" s="1" nd="1"/>
        <i x="775" s="1" nd="1"/>
        <i x="1633" s="1" nd="1"/>
        <i x="1835" s="1" nd="1"/>
        <i x="2514" s="1" nd="1"/>
        <i x="202" s="1" nd="1"/>
        <i x="2529" s="1" nd="1"/>
        <i x="1416" s="1" nd="1"/>
        <i x="498" s="1" nd="1"/>
        <i x="2758" s="1" nd="1"/>
        <i x="2810" s="1" nd="1"/>
        <i x="63" s="1" nd="1"/>
        <i x="612" s="1" nd="1"/>
        <i x="132" s="1" nd="1"/>
        <i x="2040" s="1" nd="1"/>
        <i x="1436" s="1" nd="1"/>
        <i x="1261" s="1" nd="1"/>
        <i x="1578" s="1" nd="1"/>
        <i x="2670" s="1" nd="1"/>
        <i x="2725" s="1" nd="1"/>
        <i x="1039" s="1" nd="1"/>
        <i x="2355" s="1" nd="1"/>
        <i x="893" s="1" nd="1"/>
        <i x="2927" s="1" nd="1"/>
        <i x="464" s="1" nd="1"/>
        <i x="2133" s="1" nd="1"/>
        <i x="2056" s="1" nd="1"/>
        <i x="2509" s="1" nd="1"/>
        <i x="962" s="1" nd="1"/>
        <i x="1987" s="1" nd="1"/>
        <i x="1370" s="1" nd="1"/>
        <i x="246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60DC026E-3B99-4466-BC0D-08F8F780DCE2}" sourceName="Country">
  <pivotTables>
    <pivotTable tabId="6" name="PivotTable3"/>
  </pivotTables>
  <data>
    <tabular pivotCacheId="2003708332">
      <items count="6">
        <i x="2" s="1"/>
        <i x="5"/>
        <i x="1"/>
        <i x="3"/>
        <i x="0"/>
        <i x="4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Person1" xr10:uid="{2615DC91-4B55-44D3-A85B-CEDB3CCD35A3}" sourceName="Sales Person">
  <pivotTables>
    <pivotTable tabId="6" name="PivotTable3"/>
  </pivotTables>
  <data>
    <tabular pivotCacheId="2003708332">
      <items count="25">
        <i x="19" s="1"/>
        <i x="8" s="1"/>
        <i x="12" s="1"/>
        <i x="6" s="1"/>
        <i x="21" s="1"/>
        <i x="24" s="1"/>
        <i x="14" s="1"/>
        <i x="17" s="1"/>
        <i x="23" s="1"/>
        <i x="2" s="1"/>
        <i x="5" s="1"/>
        <i x="15" s="1"/>
        <i x="3" s="1"/>
        <i x="0" s="1"/>
        <i x="16" s="1"/>
        <i x="10" s="1"/>
        <i x="20" s="1"/>
        <i x="22" s="1"/>
        <i x="9" s="1"/>
        <i x="11" s="1"/>
        <i x="4" s="1"/>
        <i x="7" s="1"/>
        <i x="13" s="1"/>
        <i x="1" s="1"/>
        <i x="1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 Person" xr10:uid="{DC61768C-EB51-421D-A091-6FBD860F0409}" cache="Slicer_Sales_Person" caption="Sales Person" startItem="16" rowHeight="228600"/>
  <slicer name="Clean Amount" xr10:uid="{EABF0480-799A-4E45-B34E-5ADE9C02E0DE}" cache="Slicer_Clean_Amount" caption="Clean Amount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E9DA0C40-55F9-4A3D-9328-BFD0FE98B605}" cache="Slicer_Country" caption="Country" rowHeight="228600"/>
  <slicer name="Sales Person 1" xr10:uid="{A09D2AB2-D467-4989-B0C3-D5F56FB970CC}" cache="Slicer_Sales_Person1" caption="Sales Person" startItem="1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93F58-75FB-4278-B179-F15D1A5094F1}" name="Table1" displayName="Table1" ref="A1:J3283" totalsRowShown="0" headerRowDxfId="11" dataDxfId="10">
  <autoFilter ref="A1:J3283" xr:uid="{0F693F58-75FB-4278-B179-F15D1A5094F1}"/>
  <tableColumns count="10">
    <tableColumn id="1" xr3:uid="{0BC592AC-1E2F-4A9A-AFA6-7C97349A02DE}" name="Sales Person" dataDxfId="9"/>
    <tableColumn id="2" xr3:uid="{318E2923-505E-4316-B378-66C8F42493A0}" name="Country" dataDxfId="8"/>
    <tableColumn id="3" xr3:uid="{AF8AC9C9-610B-4931-8564-71A179F56352}" name="Product" dataDxfId="7"/>
    <tableColumn id="4" xr3:uid="{8CA220A7-6051-49AD-99E3-DFFA13D97F0D}" name="Date" dataDxfId="6"/>
    <tableColumn id="5" xr3:uid="{F624F462-DDE8-43AE-9FCE-4AC530B0BDC9}" name="Amount" dataDxfId="5"/>
    <tableColumn id="7" xr3:uid="{E3F71500-B0C7-4BF5-9398-62ADB9B6AED7}" name="Clean Amount" dataDxfId="4">
      <calculatedColumnFormula>VALUE(SUBSTITUTE(E2,"$",""))</calculatedColumnFormula>
    </tableColumn>
    <tableColumn id="6" xr3:uid="{1E976B89-1BBD-476C-9A7F-331031C28945}" name="Boxes Shipped" dataDxfId="3"/>
    <tableColumn id="8" xr3:uid="{AA458EC7-8F89-4071-9F38-7396B4729F8E}" name="Performance" dataDxfId="2">
      <calculatedColumnFormula>IF(F2&gt;800,"High",IF(F2&gt;500,"Medium","Low"))</calculatedColumnFormula>
    </tableColumn>
    <tableColumn id="10" xr3:uid="{A27CF6B0-1447-4D46-B6AE-75A8C4D412B2}" name="Market" dataDxfId="1">
      <calculatedColumnFormula>IF(AND(B2="Australia",A2="Mallorie Waber"),"Top Local","Other")</calculatedColumnFormula>
    </tableColumn>
    <tableColumn id="9" xr3:uid="{D4060F28-2F02-4378-B94B-21FEBCEE5552}" name="Lookup Test" dataDxfId="0">
      <calculatedColumnFormula>SUMIF(A2:A3282,"Mallorie Waber",F2:F3282)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D786-E183-49A9-A0A6-4A6B96D87626}">
  <dimension ref="A3:B5"/>
  <sheetViews>
    <sheetView workbookViewId="0">
      <selection activeCell="B4" sqref="B4"/>
    </sheetView>
  </sheetViews>
  <sheetFormatPr defaultRowHeight="12.75"/>
  <cols>
    <col min="1" max="1" width="15.28515625" bestFit="1" customWidth="1"/>
    <col min="2" max="3" width="20.28515625" bestFit="1" customWidth="1"/>
    <col min="4" max="4" width="21.140625" bestFit="1" customWidth="1"/>
  </cols>
  <sheetData>
    <row r="3" spans="1:2">
      <c r="A3" s="4" t="s">
        <v>0</v>
      </c>
      <c r="B3" t="s">
        <v>1</v>
      </c>
    </row>
    <row r="4" spans="1:2">
      <c r="A4" t="s">
        <v>2</v>
      </c>
      <c r="B4" s="7">
        <v>642903.32999999984</v>
      </c>
    </row>
    <row r="5" spans="1:2">
      <c r="A5" t="s">
        <v>3</v>
      </c>
      <c r="B5" s="7">
        <v>642903.32999999984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491D-005A-442F-A33E-161190D9A712}">
  <dimension ref="A3:C30"/>
  <sheetViews>
    <sheetView topLeftCell="A5" workbookViewId="0">
      <selection activeCell="C4" sqref="C4"/>
    </sheetView>
  </sheetViews>
  <sheetFormatPr defaultRowHeight="12.75"/>
  <cols>
    <col min="1" max="1" width="11.28515625" bestFit="1" customWidth="1"/>
    <col min="2" max="2" width="18.42578125" bestFit="1" customWidth="1"/>
    <col min="3" max="3" width="20.28515625" bestFit="1" customWidth="1"/>
  </cols>
  <sheetData>
    <row r="3" spans="1:3">
      <c r="A3" s="4" t="s">
        <v>4</v>
      </c>
      <c r="B3" s="4" t="s">
        <v>0</v>
      </c>
      <c r="C3" t="s">
        <v>1</v>
      </c>
    </row>
    <row r="4" spans="1:3">
      <c r="A4" t="s">
        <v>5</v>
      </c>
      <c r="B4" t="s">
        <v>2</v>
      </c>
      <c r="C4" s="7">
        <v>228112.72000000003</v>
      </c>
    </row>
    <row r="5" spans="1:3">
      <c r="B5" t="s">
        <v>6</v>
      </c>
      <c r="C5" s="7">
        <v>210692.09</v>
      </c>
    </row>
    <row r="6" spans="1:3">
      <c r="B6" t="s">
        <v>7</v>
      </c>
      <c r="C6" s="7">
        <v>193359.38</v>
      </c>
    </row>
    <row r="7" spans="1:3">
      <c r="B7" t="s">
        <v>8</v>
      </c>
      <c r="C7" s="7">
        <v>186047.12</v>
      </c>
    </row>
    <row r="8" spans="1:3">
      <c r="B8" t="s">
        <v>9</v>
      </c>
      <c r="C8" s="7">
        <v>185998.08000000002</v>
      </c>
    </row>
    <row r="9" spans="1:3">
      <c r="B9" t="s">
        <v>10</v>
      </c>
      <c r="C9" s="7">
        <v>185081.31999999998</v>
      </c>
    </row>
    <row r="10" spans="1:3">
      <c r="B10" t="s">
        <v>11</v>
      </c>
      <c r="C10" s="7">
        <v>181023.00000000003</v>
      </c>
    </row>
    <row r="11" spans="1:3">
      <c r="B11" t="s">
        <v>12</v>
      </c>
      <c r="C11" s="7">
        <v>169119.18999999997</v>
      </c>
    </row>
    <row r="12" spans="1:3">
      <c r="B12" t="s">
        <v>13</v>
      </c>
      <c r="C12" s="7">
        <v>166507.76</v>
      </c>
    </row>
    <row r="13" spans="1:3">
      <c r="B13" t="s">
        <v>14</v>
      </c>
      <c r="C13" s="7">
        <v>159604.22</v>
      </c>
    </row>
    <row r="14" spans="1:3">
      <c r="B14" t="s">
        <v>15</v>
      </c>
      <c r="C14" s="7">
        <v>155748.20000000001</v>
      </c>
    </row>
    <row r="15" spans="1:3">
      <c r="B15" t="s">
        <v>16</v>
      </c>
      <c r="C15" s="7">
        <v>148599.65</v>
      </c>
    </row>
    <row r="16" spans="1:3">
      <c r="B16" t="s">
        <v>17</v>
      </c>
      <c r="C16" s="7">
        <v>146848.82</v>
      </c>
    </row>
    <row r="17" spans="1:3">
      <c r="B17" t="s">
        <v>18</v>
      </c>
      <c r="C17" s="7">
        <v>129884.97</v>
      </c>
    </row>
    <row r="18" spans="1:3">
      <c r="B18" t="s">
        <v>19</v>
      </c>
      <c r="C18" s="7">
        <v>129861.74</v>
      </c>
    </row>
    <row r="19" spans="1:3">
      <c r="B19" t="s">
        <v>20</v>
      </c>
      <c r="C19" s="7">
        <v>123556.90000000001</v>
      </c>
    </row>
    <row r="20" spans="1:3">
      <c r="B20" t="s">
        <v>21</v>
      </c>
      <c r="C20" s="7">
        <v>122349.29</v>
      </c>
    </row>
    <row r="21" spans="1:3">
      <c r="B21" t="s">
        <v>22</v>
      </c>
      <c r="C21" s="7">
        <v>122011.34000000003</v>
      </c>
    </row>
    <row r="22" spans="1:3">
      <c r="B22" t="s">
        <v>23</v>
      </c>
      <c r="C22" s="7">
        <v>114152.44</v>
      </c>
    </row>
    <row r="23" spans="1:3">
      <c r="B23" t="s">
        <v>24</v>
      </c>
      <c r="C23" s="7">
        <v>111123.56999999998</v>
      </c>
    </row>
    <row r="24" spans="1:3">
      <c r="B24" t="s">
        <v>25</v>
      </c>
      <c r="C24" s="7">
        <v>101819.82999999997</v>
      </c>
    </row>
    <row r="25" spans="1:3">
      <c r="B25" t="s">
        <v>26</v>
      </c>
      <c r="C25" s="7">
        <v>101458.9</v>
      </c>
    </row>
    <row r="26" spans="1:3">
      <c r="B26" t="s">
        <v>27</v>
      </c>
      <c r="C26" s="7">
        <v>98362.44</v>
      </c>
    </row>
    <row r="27" spans="1:3">
      <c r="B27" t="s">
        <v>28</v>
      </c>
      <c r="C27" s="7">
        <v>87891.540000000008</v>
      </c>
    </row>
    <row r="28" spans="1:3">
      <c r="B28" t="s">
        <v>29</v>
      </c>
      <c r="C28" s="7">
        <v>87229.84</v>
      </c>
    </row>
    <row r="29" spans="1:3">
      <c r="A29" t="s">
        <v>30</v>
      </c>
      <c r="C29" s="7">
        <v>3646444.35</v>
      </c>
    </row>
    <row r="30" spans="1:3">
      <c r="A30" t="s">
        <v>3</v>
      </c>
      <c r="C30" s="7">
        <v>3646444.35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283"/>
  <sheetViews>
    <sheetView tabSelected="1" workbookViewId="0">
      <selection activeCell="J2" sqref="J2"/>
    </sheetView>
  </sheetViews>
  <sheetFormatPr defaultColWidth="12.5703125" defaultRowHeight="15.75" customHeight="1"/>
  <cols>
    <col min="1" max="1" width="18.42578125" bestFit="1" customWidth="1"/>
    <col min="3" max="3" width="20.42578125" bestFit="1" customWidth="1"/>
    <col min="6" max="6" width="29" style="7" bestFit="1" customWidth="1"/>
    <col min="7" max="7" width="16.5703125" bestFit="1" customWidth="1"/>
    <col min="8" max="8" width="16.5703125" customWidth="1"/>
    <col min="10" max="10" width="14.140625" bestFit="1" customWidth="1"/>
  </cols>
  <sheetData>
    <row r="1" spans="1:10" ht="12.75">
      <c r="A1" s="3" t="s">
        <v>0</v>
      </c>
      <c r="B1" s="3" t="s">
        <v>4</v>
      </c>
      <c r="C1" s="3" t="s">
        <v>31</v>
      </c>
      <c r="D1" s="3" t="s">
        <v>32</v>
      </c>
      <c r="E1" s="3" t="s">
        <v>33</v>
      </c>
      <c r="F1" s="6" t="s">
        <v>34</v>
      </c>
      <c r="G1" s="3" t="s">
        <v>35</v>
      </c>
      <c r="H1" s="3" t="s">
        <v>36</v>
      </c>
      <c r="I1" s="3" t="s">
        <v>37</v>
      </c>
      <c r="J1" s="3" t="s">
        <v>38</v>
      </c>
    </row>
    <row r="2" spans="1:10" ht="12.75">
      <c r="A2" s="1" t="s">
        <v>11</v>
      </c>
      <c r="B2" s="1" t="s">
        <v>39</v>
      </c>
      <c r="C2" s="1" t="s">
        <v>40</v>
      </c>
      <c r="D2" s="2">
        <v>44565</v>
      </c>
      <c r="E2" s="1" t="s">
        <v>41</v>
      </c>
      <c r="F2" s="5">
        <f t="shared" ref="F2:F65" si="0">VALUE(SUBSTITUTE(E2,"$",""))</f>
        <v>5320</v>
      </c>
      <c r="G2" s="1">
        <v>180</v>
      </c>
      <c r="H2" s="1" t="str">
        <f t="shared" ref="H2:H65" si="1">IF(F2&gt;800,"High",IF(F2&gt;500,"Medium","Low"))</f>
        <v>High</v>
      </c>
      <c r="I2" s="1" t="str">
        <f t="shared" ref="I2:I65" si="2">IF(AND(B2="Australia",A2="Mallorie Waber"),"Top Local","Other")</f>
        <v>Other</v>
      </c>
      <c r="J2" s="1">
        <f>SUMIF(B2:B3282,"Australia",F2:F3282)</f>
        <v>3646444.3499999978</v>
      </c>
    </row>
    <row r="3" spans="1:10" ht="12.75">
      <c r="A3" s="1" t="s">
        <v>10</v>
      </c>
      <c r="B3" s="1" t="s">
        <v>42</v>
      </c>
      <c r="C3" s="1" t="s">
        <v>43</v>
      </c>
      <c r="D3" s="2">
        <v>44774</v>
      </c>
      <c r="E3" s="1" t="s">
        <v>44</v>
      </c>
      <c r="F3" s="5">
        <f t="shared" si="0"/>
        <v>7896</v>
      </c>
      <c r="G3" s="1">
        <v>94</v>
      </c>
      <c r="H3" s="1" t="str">
        <f t="shared" si="1"/>
        <v>High</v>
      </c>
      <c r="I3" s="1" t="str">
        <f t="shared" si="2"/>
        <v>Other</v>
      </c>
      <c r="J3" s="1">
        <f t="shared" ref="J3:J4" si="3">SUMIF(B3:B3283,"Australia",F3:F3283)</f>
        <v>3646444.3499999978</v>
      </c>
    </row>
    <row r="4" spans="1:10" ht="12.75">
      <c r="A4" s="1" t="s">
        <v>20</v>
      </c>
      <c r="B4" s="1" t="s">
        <v>42</v>
      </c>
      <c r="C4" s="1" t="s">
        <v>45</v>
      </c>
      <c r="D4" s="2">
        <v>44749</v>
      </c>
      <c r="E4" s="1" t="s">
        <v>46</v>
      </c>
      <c r="F4" s="5">
        <f t="shared" si="0"/>
        <v>4501</v>
      </c>
      <c r="G4" s="1">
        <v>91</v>
      </c>
      <c r="H4" s="1" t="str">
        <f t="shared" si="1"/>
        <v>High</v>
      </c>
      <c r="I4" s="1" t="str">
        <f t="shared" si="2"/>
        <v>Other</v>
      </c>
      <c r="J4" s="1">
        <f t="shared" si="3"/>
        <v>3646444.3499999978</v>
      </c>
    </row>
    <row r="5" spans="1:10" ht="12.75">
      <c r="A5" s="1" t="s">
        <v>15</v>
      </c>
      <c r="B5" s="1" t="s">
        <v>5</v>
      </c>
      <c r="C5" s="1" t="s">
        <v>45</v>
      </c>
      <c r="D5" s="2">
        <v>44678</v>
      </c>
      <c r="E5" s="1" t="s">
        <v>47</v>
      </c>
      <c r="F5" s="5">
        <f t="shared" si="0"/>
        <v>12726</v>
      </c>
      <c r="G5" s="1">
        <v>342</v>
      </c>
      <c r="H5" s="1" t="str">
        <f t="shared" si="1"/>
        <v>High</v>
      </c>
      <c r="I5" s="1" t="str">
        <f t="shared" si="2"/>
        <v>Other</v>
      </c>
      <c r="J5" s="1">
        <f t="shared" ref="J2:J65" si="4">SUMIF(A5:A3285,"Mallorie Waber",F5:F3285)</f>
        <v>642903.32999999984</v>
      </c>
    </row>
    <row r="6" spans="1:10" ht="12.75">
      <c r="A6" s="1" t="s">
        <v>11</v>
      </c>
      <c r="B6" s="1" t="s">
        <v>39</v>
      </c>
      <c r="C6" s="1" t="s">
        <v>45</v>
      </c>
      <c r="D6" s="2">
        <v>44616</v>
      </c>
      <c r="E6" s="1" t="s">
        <v>48</v>
      </c>
      <c r="F6" s="5">
        <f t="shared" si="0"/>
        <v>13685</v>
      </c>
      <c r="G6" s="1">
        <v>184</v>
      </c>
      <c r="H6" s="1" t="str">
        <f t="shared" si="1"/>
        <v>High</v>
      </c>
      <c r="I6" s="1" t="str">
        <f t="shared" si="2"/>
        <v>Other</v>
      </c>
      <c r="J6" s="1">
        <f t="shared" si="4"/>
        <v>642903.32999999984</v>
      </c>
    </row>
    <row r="7" spans="1:10" ht="12.75">
      <c r="A7" s="1" t="s">
        <v>10</v>
      </c>
      <c r="B7" s="1" t="s">
        <v>42</v>
      </c>
      <c r="C7" s="1" t="s">
        <v>49</v>
      </c>
      <c r="D7" s="2">
        <v>44718</v>
      </c>
      <c r="E7" s="1" t="s">
        <v>50</v>
      </c>
      <c r="F7" s="5">
        <f t="shared" si="0"/>
        <v>5376</v>
      </c>
      <c r="G7" s="1">
        <v>38</v>
      </c>
      <c r="H7" s="1" t="str">
        <f t="shared" si="1"/>
        <v>High</v>
      </c>
      <c r="I7" s="1" t="str">
        <f t="shared" si="2"/>
        <v>Other</v>
      </c>
      <c r="J7" s="1">
        <f t="shared" si="4"/>
        <v>642903.32999999984</v>
      </c>
    </row>
    <row r="8" spans="1:10" ht="12.75">
      <c r="A8" s="1" t="s">
        <v>22</v>
      </c>
      <c r="B8" s="1" t="s">
        <v>39</v>
      </c>
      <c r="C8" s="1" t="s">
        <v>51</v>
      </c>
      <c r="D8" s="2">
        <v>44586</v>
      </c>
      <c r="E8" s="1" t="s">
        <v>48</v>
      </c>
      <c r="F8" s="5">
        <f t="shared" si="0"/>
        <v>13685</v>
      </c>
      <c r="G8" s="1">
        <v>176</v>
      </c>
      <c r="H8" s="1" t="str">
        <f t="shared" si="1"/>
        <v>High</v>
      </c>
      <c r="I8" s="1" t="str">
        <f t="shared" si="2"/>
        <v>Other</v>
      </c>
      <c r="J8" s="1">
        <f t="shared" si="4"/>
        <v>642903.32999999984</v>
      </c>
    </row>
    <row r="9" spans="1:10" ht="12.75">
      <c r="A9" s="1" t="s">
        <v>23</v>
      </c>
      <c r="B9" s="1" t="s">
        <v>5</v>
      </c>
      <c r="C9" s="1" t="s">
        <v>52</v>
      </c>
      <c r="D9" s="2">
        <v>44644</v>
      </c>
      <c r="E9" s="1" t="s">
        <v>53</v>
      </c>
      <c r="F9" s="5">
        <f t="shared" si="0"/>
        <v>3080</v>
      </c>
      <c r="G9" s="1">
        <v>73</v>
      </c>
      <c r="H9" s="1" t="str">
        <f t="shared" si="1"/>
        <v>High</v>
      </c>
      <c r="I9" s="1" t="str">
        <f t="shared" si="2"/>
        <v>Other</v>
      </c>
      <c r="J9" s="1">
        <f t="shared" si="4"/>
        <v>642903.32999999984</v>
      </c>
    </row>
    <row r="10" spans="1:10" ht="12.75">
      <c r="A10" s="1" t="s">
        <v>11</v>
      </c>
      <c r="B10" s="1" t="s">
        <v>54</v>
      </c>
      <c r="C10" s="1" t="s">
        <v>55</v>
      </c>
      <c r="D10" s="2">
        <v>44671</v>
      </c>
      <c r="E10" s="1" t="s">
        <v>56</v>
      </c>
      <c r="F10" s="5">
        <f t="shared" si="0"/>
        <v>3990</v>
      </c>
      <c r="G10" s="1">
        <v>59</v>
      </c>
      <c r="H10" s="1" t="str">
        <f t="shared" si="1"/>
        <v>High</v>
      </c>
      <c r="I10" s="1" t="str">
        <f t="shared" si="2"/>
        <v>Other</v>
      </c>
      <c r="J10" s="1">
        <f t="shared" si="4"/>
        <v>642903.32999999984</v>
      </c>
    </row>
    <row r="11" spans="1:10" ht="12.75">
      <c r="A11" s="1" t="s">
        <v>7</v>
      </c>
      <c r="B11" s="1" t="s">
        <v>5</v>
      </c>
      <c r="C11" s="1" t="s">
        <v>51</v>
      </c>
      <c r="D11" s="2">
        <v>44746</v>
      </c>
      <c r="E11" s="1" t="s">
        <v>57</v>
      </c>
      <c r="F11" s="5">
        <f t="shared" si="0"/>
        <v>2835</v>
      </c>
      <c r="G11" s="1">
        <v>102</v>
      </c>
      <c r="H11" s="1" t="str">
        <f t="shared" si="1"/>
        <v>High</v>
      </c>
      <c r="I11" s="1" t="str">
        <f t="shared" si="2"/>
        <v>Other</v>
      </c>
      <c r="J11" s="1">
        <f t="shared" si="4"/>
        <v>642903.32999999984</v>
      </c>
    </row>
    <row r="12" spans="1:10" ht="12.75">
      <c r="A12" s="1" t="s">
        <v>19</v>
      </c>
      <c r="B12" s="1" t="s">
        <v>39</v>
      </c>
      <c r="C12" s="1" t="s">
        <v>49</v>
      </c>
      <c r="D12" s="2">
        <v>44574</v>
      </c>
      <c r="E12" s="1" t="s">
        <v>58</v>
      </c>
      <c r="F12" s="5">
        <f t="shared" si="0"/>
        <v>4704</v>
      </c>
      <c r="G12" s="1">
        <v>62</v>
      </c>
      <c r="H12" s="1" t="str">
        <f t="shared" si="1"/>
        <v>High</v>
      </c>
      <c r="I12" s="1" t="str">
        <f t="shared" si="2"/>
        <v>Other</v>
      </c>
      <c r="J12" s="1">
        <f t="shared" si="4"/>
        <v>642903.32999999984</v>
      </c>
    </row>
    <row r="13" spans="1:10" ht="12.75">
      <c r="A13" s="1" t="s">
        <v>16</v>
      </c>
      <c r="B13" s="1" t="s">
        <v>59</v>
      </c>
      <c r="C13" s="1" t="s">
        <v>60</v>
      </c>
      <c r="D13" s="2">
        <v>44630</v>
      </c>
      <c r="E13" s="1" t="s">
        <v>61</v>
      </c>
      <c r="F13" s="5">
        <f t="shared" si="0"/>
        <v>3703</v>
      </c>
      <c r="G13" s="1">
        <v>11</v>
      </c>
      <c r="H13" s="1" t="str">
        <f t="shared" si="1"/>
        <v>High</v>
      </c>
      <c r="I13" s="1" t="str">
        <f t="shared" si="2"/>
        <v>Other</v>
      </c>
      <c r="J13" s="1">
        <f t="shared" si="4"/>
        <v>642903.32999999984</v>
      </c>
    </row>
    <row r="14" spans="1:10" ht="12.75">
      <c r="A14" s="1" t="s">
        <v>2</v>
      </c>
      <c r="B14" s="1" t="s">
        <v>62</v>
      </c>
      <c r="C14" s="1" t="s">
        <v>63</v>
      </c>
      <c r="D14" s="2">
        <v>44574</v>
      </c>
      <c r="E14" s="1" t="s">
        <v>64</v>
      </c>
      <c r="F14" s="5">
        <f t="shared" si="0"/>
        <v>1442</v>
      </c>
      <c r="G14" s="1">
        <v>286</v>
      </c>
      <c r="H14" s="1" t="str">
        <f t="shared" si="1"/>
        <v>High</v>
      </c>
      <c r="I14" s="1" t="str">
        <f t="shared" si="2"/>
        <v>Other</v>
      </c>
      <c r="J14" s="1">
        <f t="shared" si="4"/>
        <v>642903.32999999984</v>
      </c>
    </row>
    <row r="15" spans="1:10" ht="12.75">
      <c r="A15" s="1" t="s">
        <v>18</v>
      </c>
      <c r="B15" s="1" t="s">
        <v>54</v>
      </c>
      <c r="C15" s="1" t="s">
        <v>65</v>
      </c>
      <c r="D15" s="2">
        <v>44770</v>
      </c>
      <c r="E15" s="1" t="s">
        <v>66</v>
      </c>
      <c r="F15" s="5">
        <f t="shared" si="0"/>
        <v>168</v>
      </c>
      <c r="G15" s="1">
        <v>156</v>
      </c>
      <c r="H15" s="1" t="str">
        <f t="shared" si="1"/>
        <v>Low</v>
      </c>
      <c r="I15" s="1" t="str">
        <f t="shared" si="2"/>
        <v>Other</v>
      </c>
      <c r="J15" s="1">
        <f t="shared" si="4"/>
        <v>641461.32999999984</v>
      </c>
    </row>
    <row r="16" spans="1:10" ht="12.75">
      <c r="A16" s="1" t="s">
        <v>14</v>
      </c>
      <c r="B16" s="1" t="s">
        <v>54</v>
      </c>
      <c r="C16" s="1" t="s">
        <v>45</v>
      </c>
      <c r="D16" s="2">
        <v>44776</v>
      </c>
      <c r="E16" s="1" t="s">
        <v>67</v>
      </c>
      <c r="F16" s="5">
        <f t="shared" si="0"/>
        <v>8379</v>
      </c>
      <c r="G16" s="1">
        <v>173</v>
      </c>
      <c r="H16" s="1" t="str">
        <f t="shared" si="1"/>
        <v>High</v>
      </c>
      <c r="I16" s="1" t="str">
        <f t="shared" si="2"/>
        <v>Other</v>
      </c>
      <c r="J16" s="1">
        <f t="shared" si="4"/>
        <v>641461.32999999984</v>
      </c>
    </row>
    <row r="17" spans="1:10" ht="12.75">
      <c r="A17" s="1" t="s">
        <v>28</v>
      </c>
      <c r="B17" s="1" t="s">
        <v>5</v>
      </c>
      <c r="C17" s="1" t="s">
        <v>68</v>
      </c>
      <c r="D17" s="2">
        <v>44587</v>
      </c>
      <c r="E17" s="1" t="s">
        <v>69</v>
      </c>
      <c r="F17" s="5">
        <f t="shared" si="0"/>
        <v>6790</v>
      </c>
      <c r="G17" s="1">
        <v>356</v>
      </c>
      <c r="H17" s="1" t="str">
        <f t="shared" si="1"/>
        <v>High</v>
      </c>
      <c r="I17" s="1" t="str">
        <f t="shared" si="2"/>
        <v>Other</v>
      </c>
      <c r="J17" s="1">
        <f t="shared" si="4"/>
        <v>641461.32999999984</v>
      </c>
    </row>
    <row r="18" spans="1:10" ht="12.75">
      <c r="A18" s="1" t="s">
        <v>10</v>
      </c>
      <c r="B18" s="1" t="s">
        <v>62</v>
      </c>
      <c r="C18" s="1" t="s">
        <v>68</v>
      </c>
      <c r="D18" s="2">
        <v>44606</v>
      </c>
      <c r="E18" s="1" t="s">
        <v>70</v>
      </c>
      <c r="F18" s="5">
        <f t="shared" si="0"/>
        <v>4067</v>
      </c>
      <c r="G18" s="1">
        <v>42</v>
      </c>
      <c r="H18" s="1" t="str">
        <f t="shared" si="1"/>
        <v>High</v>
      </c>
      <c r="I18" s="1" t="str">
        <f t="shared" si="2"/>
        <v>Other</v>
      </c>
      <c r="J18" s="1">
        <f t="shared" si="4"/>
        <v>641461.32999999984</v>
      </c>
    </row>
    <row r="19" spans="1:10" ht="12.75">
      <c r="A19" s="1" t="s">
        <v>26</v>
      </c>
      <c r="B19" s="1" t="s">
        <v>59</v>
      </c>
      <c r="C19" s="1" t="s">
        <v>49</v>
      </c>
      <c r="D19" s="2">
        <v>44656</v>
      </c>
      <c r="E19" s="1" t="s">
        <v>71</v>
      </c>
      <c r="F19" s="5">
        <f t="shared" si="0"/>
        <v>3017</v>
      </c>
      <c r="G19" s="1">
        <v>140</v>
      </c>
      <c r="H19" s="1" t="str">
        <f t="shared" si="1"/>
        <v>High</v>
      </c>
      <c r="I19" s="1" t="str">
        <f t="shared" si="2"/>
        <v>Other</v>
      </c>
      <c r="J19" s="1">
        <f t="shared" si="4"/>
        <v>641461.32999999984</v>
      </c>
    </row>
    <row r="20" spans="1:10" ht="12.75">
      <c r="A20" s="1" t="s">
        <v>28</v>
      </c>
      <c r="B20" s="1" t="s">
        <v>62</v>
      </c>
      <c r="C20" s="1" t="s">
        <v>72</v>
      </c>
      <c r="D20" s="2">
        <v>44608</v>
      </c>
      <c r="E20" s="1" t="s">
        <v>73</v>
      </c>
      <c r="F20" s="5">
        <f t="shared" si="0"/>
        <v>8799</v>
      </c>
      <c r="G20" s="1">
        <v>250</v>
      </c>
      <c r="H20" s="1" t="str">
        <f t="shared" si="1"/>
        <v>High</v>
      </c>
      <c r="I20" s="1" t="str">
        <f t="shared" si="2"/>
        <v>Other</v>
      </c>
      <c r="J20" s="1">
        <f t="shared" si="4"/>
        <v>641461.32999999984</v>
      </c>
    </row>
    <row r="21" spans="1:10" ht="12.75">
      <c r="A21" s="1" t="s">
        <v>24</v>
      </c>
      <c r="B21" s="1" t="s">
        <v>39</v>
      </c>
      <c r="C21" s="1" t="s">
        <v>43</v>
      </c>
      <c r="D21" s="2">
        <v>44720</v>
      </c>
      <c r="E21" s="1" t="s">
        <v>74</v>
      </c>
      <c r="F21" s="5">
        <f t="shared" si="0"/>
        <v>1085</v>
      </c>
      <c r="G21" s="1">
        <v>172</v>
      </c>
      <c r="H21" s="1" t="str">
        <f t="shared" si="1"/>
        <v>High</v>
      </c>
      <c r="I21" s="1" t="str">
        <f t="shared" si="2"/>
        <v>Other</v>
      </c>
      <c r="J21" s="1">
        <f t="shared" si="4"/>
        <v>641461.32999999984</v>
      </c>
    </row>
    <row r="22" spans="1:10" ht="12.75">
      <c r="A22" s="1" t="s">
        <v>7</v>
      </c>
      <c r="B22" s="1" t="s">
        <v>5</v>
      </c>
      <c r="C22" s="1" t="s">
        <v>63</v>
      </c>
      <c r="D22" s="2">
        <v>44739</v>
      </c>
      <c r="E22" s="1" t="s">
        <v>75</v>
      </c>
      <c r="F22" s="5">
        <f t="shared" si="0"/>
        <v>6888</v>
      </c>
      <c r="G22" s="1">
        <v>88</v>
      </c>
      <c r="H22" s="1" t="str">
        <f t="shared" si="1"/>
        <v>High</v>
      </c>
      <c r="I22" s="1" t="str">
        <f t="shared" si="2"/>
        <v>Other</v>
      </c>
      <c r="J22" s="1">
        <f t="shared" si="4"/>
        <v>641461.32999999984</v>
      </c>
    </row>
    <row r="23" spans="1:10" ht="12.75">
      <c r="A23" s="1" t="s">
        <v>23</v>
      </c>
      <c r="B23" s="1" t="s">
        <v>59</v>
      </c>
      <c r="C23" s="1" t="s">
        <v>76</v>
      </c>
      <c r="D23" s="2">
        <v>44609</v>
      </c>
      <c r="E23" s="1" t="s">
        <v>77</v>
      </c>
      <c r="F23" s="5">
        <f t="shared" si="0"/>
        <v>1267</v>
      </c>
      <c r="G23" s="1">
        <v>157</v>
      </c>
      <c r="H23" s="1" t="str">
        <f t="shared" si="1"/>
        <v>High</v>
      </c>
      <c r="I23" s="1" t="str">
        <f t="shared" si="2"/>
        <v>Other</v>
      </c>
      <c r="J23" s="1">
        <f t="shared" si="4"/>
        <v>641461.32999999984</v>
      </c>
    </row>
    <row r="24" spans="1:10" ht="12.75">
      <c r="A24" s="1" t="s">
        <v>14</v>
      </c>
      <c r="B24" s="1" t="s">
        <v>59</v>
      </c>
      <c r="C24" s="1" t="s">
        <v>52</v>
      </c>
      <c r="D24" s="2">
        <v>44711</v>
      </c>
      <c r="E24" s="1" t="s">
        <v>78</v>
      </c>
      <c r="F24" s="5">
        <f t="shared" si="0"/>
        <v>4753</v>
      </c>
      <c r="G24" s="1">
        <v>163</v>
      </c>
      <c r="H24" s="1" t="str">
        <f t="shared" si="1"/>
        <v>High</v>
      </c>
      <c r="I24" s="1" t="str">
        <f t="shared" si="2"/>
        <v>Other</v>
      </c>
      <c r="J24" s="1">
        <f t="shared" si="4"/>
        <v>641461.32999999984</v>
      </c>
    </row>
    <row r="25" spans="1:10" ht="12.75">
      <c r="A25" s="1" t="s">
        <v>13</v>
      </c>
      <c r="B25" s="1" t="s">
        <v>39</v>
      </c>
      <c r="C25" s="1" t="s">
        <v>65</v>
      </c>
      <c r="D25" s="2">
        <v>44634</v>
      </c>
      <c r="E25" s="1" t="s">
        <v>79</v>
      </c>
      <c r="F25" s="5">
        <f t="shared" si="0"/>
        <v>3003</v>
      </c>
      <c r="G25" s="1">
        <v>113</v>
      </c>
      <c r="H25" s="1" t="str">
        <f t="shared" si="1"/>
        <v>High</v>
      </c>
      <c r="I25" s="1" t="str">
        <f t="shared" si="2"/>
        <v>Other</v>
      </c>
      <c r="J25" s="1">
        <f t="shared" si="4"/>
        <v>641461.32999999984</v>
      </c>
    </row>
    <row r="26" spans="1:10" ht="12.75">
      <c r="A26" s="1" t="s">
        <v>8</v>
      </c>
      <c r="B26" s="1" t="s">
        <v>5</v>
      </c>
      <c r="C26" s="1" t="s">
        <v>63</v>
      </c>
      <c r="D26" s="2">
        <v>44620</v>
      </c>
      <c r="E26" s="1" t="s">
        <v>80</v>
      </c>
      <c r="F26" s="5">
        <f t="shared" si="0"/>
        <v>7672</v>
      </c>
      <c r="G26" s="1">
        <v>115</v>
      </c>
      <c r="H26" s="1" t="str">
        <f t="shared" si="1"/>
        <v>High</v>
      </c>
      <c r="I26" s="1" t="str">
        <f t="shared" si="2"/>
        <v>Other</v>
      </c>
      <c r="J26" s="1">
        <f t="shared" si="4"/>
        <v>641461.32999999984</v>
      </c>
    </row>
    <row r="27" spans="1:10" ht="12.75">
      <c r="A27" s="1" t="s">
        <v>18</v>
      </c>
      <c r="B27" s="1" t="s">
        <v>42</v>
      </c>
      <c r="C27" s="1" t="s">
        <v>81</v>
      </c>
      <c r="D27" s="2">
        <v>44587</v>
      </c>
      <c r="E27" s="1" t="s">
        <v>66</v>
      </c>
      <c r="F27" s="5">
        <f t="shared" si="0"/>
        <v>168</v>
      </c>
      <c r="G27" s="1">
        <v>321</v>
      </c>
      <c r="H27" s="1" t="str">
        <f t="shared" si="1"/>
        <v>Low</v>
      </c>
      <c r="I27" s="1" t="str">
        <f t="shared" si="2"/>
        <v>Other</v>
      </c>
      <c r="J27" s="1">
        <f t="shared" si="4"/>
        <v>641461.32999999984</v>
      </c>
    </row>
    <row r="28" spans="1:10" ht="12.75">
      <c r="A28" s="1" t="s">
        <v>26</v>
      </c>
      <c r="B28" s="1" t="s">
        <v>62</v>
      </c>
      <c r="C28" s="1" t="s">
        <v>76</v>
      </c>
      <c r="D28" s="2">
        <v>44601</v>
      </c>
      <c r="E28" s="1" t="s">
        <v>82</v>
      </c>
      <c r="F28" s="5">
        <f t="shared" si="0"/>
        <v>1652</v>
      </c>
      <c r="G28" s="1">
        <v>186</v>
      </c>
      <c r="H28" s="1" t="str">
        <f t="shared" si="1"/>
        <v>High</v>
      </c>
      <c r="I28" s="1" t="str">
        <f t="shared" si="2"/>
        <v>Other</v>
      </c>
      <c r="J28" s="1">
        <f t="shared" si="4"/>
        <v>641461.32999999984</v>
      </c>
    </row>
    <row r="29" spans="1:10" ht="12.75">
      <c r="A29" s="1" t="s">
        <v>13</v>
      </c>
      <c r="B29" s="1" t="s">
        <v>59</v>
      </c>
      <c r="C29" s="1" t="s">
        <v>63</v>
      </c>
      <c r="D29" s="2">
        <v>44749</v>
      </c>
      <c r="E29" s="1" t="s">
        <v>83</v>
      </c>
      <c r="F29" s="5">
        <f t="shared" si="0"/>
        <v>4025</v>
      </c>
      <c r="G29" s="1">
        <v>112</v>
      </c>
      <c r="H29" s="1" t="str">
        <f t="shared" si="1"/>
        <v>High</v>
      </c>
      <c r="I29" s="1" t="str">
        <f t="shared" si="2"/>
        <v>Other</v>
      </c>
      <c r="J29" s="1">
        <f t="shared" si="4"/>
        <v>641461.32999999984</v>
      </c>
    </row>
    <row r="30" spans="1:10" ht="12.75">
      <c r="A30" s="1" t="s">
        <v>6</v>
      </c>
      <c r="B30" s="1" t="s">
        <v>54</v>
      </c>
      <c r="C30" s="1" t="s">
        <v>84</v>
      </c>
      <c r="D30" s="2">
        <v>44747</v>
      </c>
      <c r="E30" s="1" t="s">
        <v>85</v>
      </c>
      <c r="F30" s="5">
        <f t="shared" si="0"/>
        <v>9492</v>
      </c>
      <c r="G30" s="1">
        <v>151</v>
      </c>
      <c r="H30" s="1" t="str">
        <f t="shared" si="1"/>
        <v>High</v>
      </c>
      <c r="I30" s="1" t="str">
        <f t="shared" si="2"/>
        <v>Other</v>
      </c>
      <c r="J30" s="1">
        <f t="shared" si="4"/>
        <v>641461.32999999984</v>
      </c>
    </row>
    <row r="31" spans="1:10" ht="12.75">
      <c r="A31" s="1" t="s">
        <v>6</v>
      </c>
      <c r="B31" s="1" t="s">
        <v>54</v>
      </c>
      <c r="C31" s="1" t="s">
        <v>86</v>
      </c>
      <c r="D31" s="2">
        <v>44727</v>
      </c>
      <c r="E31" s="1" t="s">
        <v>87</v>
      </c>
      <c r="F31" s="5">
        <f t="shared" si="0"/>
        <v>5061</v>
      </c>
      <c r="G31" s="1">
        <v>301</v>
      </c>
      <c r="H31" s="1" t="str">
        <f t="shared" si="1"/>
        <v>High</v>
      </c>
      <c r="I31" s="1" t="str">
        <f t="shared" si="2"/>
        <v>Other</v>
      </c>
      <c r="J31" s="1">
        <f t="shared" si="4"/>
        <v>641461.32999999984</v>
      </c>
    </row>
    <row r="32" spans="1:10" ht="12.75">
      <c r="A32" s="1" t="s">
        <v>10</v>
      </c>
      <c r="B32" s="1" t="s">
        <v>54</v>
      </c>
      <c r="C32" s="1" t="s">
        <v>43</v>
      </c>
      <c r="D32" s="2">
        <v>44705</v>
      </c>
      <c r="E32" s="1" t="s">
        <v>88</v>
      </c>
      <c r="F32" s="5">
        <f t="shared" si="0"/>
        <v>1722</v>
      </c>
      <c r="G32" s="1">
        <v>121</v>
      </c>
      <c r="H32" s="1" t="str">
        <f t="shared" si="1"/>
        <v>High</v>
      </c>
      <c r="I32" s="1" t="str">
        <f t="shared" si="2"/>
        <v>Other</v>
      </c>
      <c r="J32" s="1">
        <f t="shared" si="4"/>
        <v>641461.32999999984</v>
      </c>
    </row>
    <row r="33" spans="1:10" ht="12.75">
      <c r="A33" s="1" t="s">
        <v>19</v>
      </c>
      <c r="B33" s="1" t="s">
        <v>39</v>
      </c>
      <c r="C33" s="1" t="s">
        <v>51</v>
      </c>
      <c r="D33" s="2">
        <v>44741</v>
      </c>
      <c r="E33" s="1" t="s">
        <v>89</v>
      </c>
      <c r="F33" s="5">
        <f t="shared" si="0"/>
        <v>12446</v>
      </c>
      <c r="G33" s="1">
        <v>150</v>
      </c>
      <c r="H33" s="1" t="str">
        <f t="shared" si="1"/>
        <v>High</v>
      </c>
      <c r="I33" s="1" t="str">
        <f t="shared" si="2"/>
        <v>Other</v>
      </c>
      <c r="J33" s="1">
        <f t="shared" si="4"/>
        <v>641461.32999999984</v>
      </c>
    </row>
    <row r="34" spans="1:10" ht="12.75">
      <c r="A34" s="1" t="s">
        <v>29</v>
      </c>
      <c r="B34" s="1" t="s">
        <v>5</v>
      </c>
      <c r="C34" s="1" t="s">
        <v>86</v>
      </c>
      <c r="D34" s="2">
        <v>44692</v>
      </c>
      <c r="E34" s="1" t="s">
        <v>90</v>
      </c>
      <c r="F34" s="5">
        <f t="shared" si="0"/>
        <v>4284</v>
      </c>
      <c r="G34" s="1">
        <v>94</v>
      </c>
      <c r="H34" s="1" t="str">
        <f t="shared" si="1"/>
        <v>High</v>
      </c>
      <c r="I34" s="1" t="str">
        <f t="shared" si="2"/>
        <v>Other</v>
      </c>
      <c r="J34" s="1">
        <f t="shared" si="4"/>
        <v>641461.32999999984</v>
      </c>
    </row>
    <row r="35" spans="1:10" ht="12.75">
      <c r="A35" s="1" t="s">
        <v>18</v>
      </c>
      <c r="B35" s="1" t="s">
        <v>39</v>
      </c>
      <c r="C35" s="1" t="s">
        <v>91</v>
      </c>
      <c r="D35" s="2">
        <v>44742</v>
      </c>
      <c r="E35" s="1" t="s">
        <v>92</v>
      </c>
      <c r="F35" s="5">
        <f t="shared" si="0"/>
        <v>6839</v>
      </c>
      <c r="G35" s="1">
        <v>133</v>
      </c>
      <c r="H35" s="1" t="str">
        <f t="shared" si="1"/>
        <v>High</v>
      </c>
      <c r="I35" s="1" t="str">
        <f t="shared" si="2"/>
        <v>Other</v>
      </c>
      <c r="J35" s="1">
        <f t="shared" si="4"/>
        <v>641461.32999999984</v>
      </c>
    </row>
    <row r="36" spans="1:10" ht="12.75">
      <c r="A36" s="1" t="s">
        <v>27</v>
      </c>
      <c r="B36" s="1" t="s">
        <v>62</v>
      </c>
      <c r="C36" s="1" t="s">
        <v>52</v>
      </c>
      <c r="D36" s="2">
        <v>44692</v>
      </c>
      <c r="E36" s="1" t="s">
        <v>93</v>
      </c>
      <c r="F36" s="5">
        <f t="shared" si="0"/>
        <v>2163</v>
      </c>
      <c r="G36" s="1">
        <v>70</v>
      </c>
      <c r="H36" s="1" t="str">
        <f t="shared" si="1"/>
        <v>High</v>
      </c>
      <c r="I36" s="1" t="str">
        <f t="shared" si="2"/>
        <v>Other</v>
      </c>
      <c r="J36" s="1">
        <f t="shared" si="4"/>
        <v>641461.32999999984</v>
      </c>
    </row>
    <row r="37" spans="1:10" ht="12.75">
      <c r="A37" s="1" t="s">
        <v>26</v>
      </c>
      <c r="B37" s="1" t="s">
        <v>59</v>
      </c>
      <c r="C37" s="1" t="s">
        <v>86</v>
      </c>
      <c r="D37" s="2">
        <v>44764</v>
      </c>
      <c r="E37" s="1" t="s">
        <v>94</v>
      </c>
      <c r="F37" s="5">
        <f t="shared" si="0"/>
        <v>9583</v>
      </c>
      <c r="G37" s="1">
        <v>315</v>
      </c>
      <c r="H37" s="1" t="str">
        <f t="shared" si="1"/>
        <v>High</v>
      </c>
      <c r="I37" s="1" t="str">
        <f t="shared" si="2"/>
        <v>Other</v>
      </c>
      <c r="J37" s="1">
        <f t="shared" si="4"/>
        <v>641461.32999999984</v>
      </c>
    </row>
    <row r="38" spans="1:10" ht="12.75">
      <c r="A38" s="1" t="s">
        <v>27</v>
      </c>
      <c r="B38" s="1" t="s">
        <v>39</v>
      </c>
      <c r="C38" s="1" t="s">
        <v>55</v>
      </c>
      <c r="D38" s="2">
        <v>44797</v>
      </c>
      <c r="E38" s="1" t="s">
        <v>95</v>
      </c>
      <c r="F38" s="5">
        <f t="shared" si="0"/>
        <v>2653</v>
      </c>
      <c r="G38" s="1">
        <v>314</v>
      </c>
      <c r="H38" s="1" t="str">
        <f t="shared" si="1"/>
        <v>High</v>
      </c>
      <c r="I38" s="1" t="str">
        <f t="shared" si="2"/>
        <v>Other</v>
      </c>
      <c r="J38" s="1">
        <f t="shared" si="4"/>
        <v>641461.32999999984</v>
      </c>
    </row>
    <row r="39" spans="1:10" ht="12.75">
      <c r="A39" s="1" t="s">
        <v>12</v>
      </c>
      <c r="B39" s="1" t="s">
        <v>54</v>
      </c>
      <c r="C39" s="1" t="s">
        <v>52</v>
      </c>
      <c r="D39" s="2">
        <v>44749</v>
      </c>
      <c r="E39" s="1" t="s">
        <v>96</v>
      </c>
      <c r="F39" s="5">
        <f t="shared" si="0"/>
        <v>147</v>
      </c>
      <c r="G39" s="1">
        <v>72</v>
      </c>
      <c r="H39" s="1" t="str">
        <f t="shared" si="1"/>
        <v>Low</v>
      </c>
      <c r="I39" s="1" t="str">
        <f t="shared" si="2"/>
        <v>Other</v>
      </c>
      <c r="J39" s="1">
        <f t="shared" si="4"/>
        <v>641461.32999999984</v>
      </c>
    </row>
    <row r="40" spans="1:10" ht="12.75">
      <c r="A40" s="1" t="s">
        <v>25</v>
      </c>
      <c r="B40" s="1" t="s">
        <v>5</v>
      </c>
      <c r="C40" s="1" t="s">
        <v>43</v>
      </c>
      <c r="D40" s="2">
        <v>44700</v>
      </c>
      <c r="E40" s="1" t="s">
        <v>97</v>
      </c>
      <c r="F40" s="5">
        <f t="shared" si="0"/>
        <v>3654</v>
      </c>
      <c r="G40" s="1">
        <v>14</v>
      </c>
      <c r="H40" s="1" t="str">
        <f t="shared" si="1"/>
        <v>High</v>
      </c>
      <c r="I40" s="1" t="str">
        <f t="shared" si="2"/>
        <v>Other</v>
      </c>
      <c r="J40" s="1">
        <f t="shared" si="4"/>
        <v>641461.32999999984</v>
      </c>
    </row>
    <row r="41" spans="1:10" ht="12.75">
      <c r="A41" s="1" t="s">
        <v>18</v>
      </c>
      <c r="B41" s="1" t="s">
        <v>42</v>
      </c>
      <c r="C41" s="1" t="s">
        <v>86</v>
      </c>
      <c r="D41" s="2">
        <v>44746</v>
      </c>
      <c r="E41" s="1" t="s">
        <v>98</v>
      </c>
      <c r="F41" s="5">
        <f t="shared" si="0"/>
        <v>2443</v>
      </c>
      <c r="G41" s="1">
        <v>581</v>
      </c>
      <c r="H41" s="1" t="str">
        <f t="shared" si="1"/>
        <v>High</v>
      </c>
      <c r="I41" s="1" t="str">
        <f t="shared" si="2"/>
        <v>Other</v>
      </c>
      <c r="J41" s="1">
        <f t="shared" si="4"/>
        <v>641461.32999999984</v>
      </c>
    </row>
    <row r="42" spans="1:10" ht="12.75">
      <c r="A42" s="1" t="s">
        <v>12</v>
      </c>
      <c r="B42" s="1" t="s">
        <v>59</v>
      </c>
      <c r="C42" s="1" t="s">
        <v>52</v>
      </c>
      <c r="D42" s="2">
        <v>44714</v>
      </c>
      <c r="E42" s="1" t="s">
        <v>99</v>
      </c>
      <c r="F42" s="5">
        <f t="shared" si="0"/>
        <v>938</v>
      </c>
      <c r="G42" s="1">
        <v>16</v>
      </c>
      <c r="H42" s="1" t="str">
        <f t="shared" si="1"/>
        <v>High</v>
      </c>
      <c r="I42" s="1" t="str">
        <f t="shared" si="2"/>
        <v>Other</v>
      </c>
      <c r="J42" s="1">
        <f t="shared" si="4"/>
        <v>641461.32999999984</v>
      </c>
    </row>
    <row r="43" spans="1:10" ht="12.75">
      <c r="A43" s="1" t="s">
        <v>18</v>
      </c>
      <c r="B43" s="1" t="s">
        <v>59</v>
      </c>
      <c r="C43" s="1" t="s">
        <v>100</v>
      </c>
      <c r="D43" s="2">
        <v>44666</v>
      </c>
      <c r="E43" s="1" t="s">
        <v>101</v>
      </c>
      <c r="F43" s="5">
        <f t="shared" si="0"/>
        <v>14749</v>
      </c>
      <c r="G43" s="1">
        <v>354</v>
      </c>
      <c r="H43" s="1" t="str">
        <f t="shared" si="1"/>
        <v>High</v>
      </c>
      <c r="I43" s="1" t="str">
        <f t="shared" si="2"/>
        <v>Other</v>
      </c>
      <c r="J43" s="1">
        <f t="shared" si="4"/>
        <v>641461.32999999984</v>
      </c>
    </row>
    <row r="44" spans="1:10" ht="12.75">
      <c r="A44" s="1" t="s">
        <v>2</v>
      </c>
      <c r="B44" s="1" t="s">
        <v>62</v>
      </c>
      <c r="C44" s="1" t="s">
        <v>102</v>
      </c>
      <c r="D44" s="2">
        <v>44753</v>
      </c>
      <c r="E44" s="1" t="s">
        <v>103</v>
      </c>
      <c r="F44" s="5">
        <f t="shared" si="0"/>
        <v>4781</v>
      </c>
      <c r="G44" s="1">
        <v>241</v>
      </c>
      <c r="H44" s="1" t="str">
        <f t="shared" si="1"/>
        <v>High</v>
      </c>
      <c r="I44" s="1" t="str">
        <f t="shared" si="2"/>
        <v>Other</v>
      </c>
      <c r="J44" s="1">
        <f t="shared" si="4"/>
        <v>641461.32999999984</v>
      </c>
    </row>
    <row r="45" spans="1:10" ht="12.75">
      <c r="A45" s="1" t="s">
        <v>27</v>
      </c>
      <c r="B45" s="1" t="s">
        <v>42</v>
      </c>
      <c r="C45" s="1" t="s">
        <v>76</v>
      </c>
      <c r="D45" s="2">
        <v>44615</v>
      </c>
      <c r="E45" s="1" t="s">
        <v>104</v>
      </c>
      <c r="F45" s="5">
        <f t="shared" si="0"/>
        <v>6307</v>
      </c>
      <c r="G45" s="1">
        <v>142</v>
      </c>
      <c r="H45" s="1" t="str">
        <f t="shared" si="1"/>
        <v>High</v>
      </c>
      <c r="I45" s="1" t="str">
        <f t="shared" si="2"/>
        <v>Other</v>
      </c>
      <c r="J45" s="1">
        <f t="shared" si="4"/>
        <v>636680.32999999996</v>
      </c>
    </row>
    <row r="46" spans="1:10" ht="12.75">
      <c r="A46" s="1" t="s">
        <v>9</v>
      </c>
      <c r="B46" s="1" t="s">
        <v>62</v>
      </c>
      <c r="C46" s="1" t="s">
        <v>91</v>
      </c>
      <c r="D46" s="2">
        <v>44795</v>
      </c>
      <c r="E46" s="1" t="s">
        <v>105</v>
      </c>
      <c r="F46" s="5">
        <f t="shared" si="0"/>
        <v>7602</v>
      </c>
      <c r="G46" s="1">
        <v>102</v>
      </c>
      <c r="H46" s="1" t="str">
        <f t="shared" si="1"/>
        <v>High</v>
      </c>
      <c r="I46" s="1" t="str">
        <f t="shared" si="2"/>
        <v>Other</v>
      </c>
      <c r="J46" s="1">
        <f t="shared" si="4"/>
        <v>636680.32999999996</v>
      </c>
    </row>
    <row r="47" spans="1:10" ht="12.75">
      <c r="A47" s="1" t="s">
        <v>8</v>
      </c>
      <c r="B47" s="1" t="s">
        <v>59</v>
      </c>
      <c r="C47" s="1" t="s">
        <v>45</v>
      </c>
      <c r="D47" s="2">
        <v>44608</v>
      </c>
      <c r="E47" s="1" t="s">
        <v>69</v>
      </c>
      <c r="F47" s="5">
        <f t="shared" si="0"/>
        <v>6790</v>
      </c>
      <c r="G47" s="1">
        <v>188</v>
      </c>
      <c r="H47" s="1" t="str">
        <f t="shared" si="1"/>
        <v>High</v>
      </c>
      <c r="I47" s="1" t="str">
        <f t="shared" si="2"/>
        <v>Other</v>
      </c>
      <c r="J47" s="1">
        <f t="shared" si="4"/>
        <v>636680.32999999996</v>
      </c>
    </row>
    <row r="48" spans="1:10" ht="12.75">
      <c r="A48" s="1" t="s">
        <v>10</v>
      </c>
      <c r="B48" s="1" t="s">
        <v>59</v>
      </c>
      <c r="C48" s="1" t="s">
        <v>55</v>
      </c>
      <c r="D48" s="2">
        <v>44574</v>
      </c>
      <c r="E48" s="1" t="s">
        <v>106</v>
      </c>
      <c r="F48" s="5">
        <f t="shared" si="0"/>
        <v>9737</v>
      </c>
      <c r="G48" s="1">
        <v>160</v>
      </c>
      <c r="H48" s="1" t="str">
        <f t="shared" si="1"/>
        <v>High</v>
      </c>
      <c r="I48" s="1" t="str">
        <f t="shared" si="2"/>
        <v>Other</v>
      </c>
      <c r="J48" s="1">
        <f t="shared" si="4"/>
        <v>636680.32999999996</v>
      </c>
    </row>
    <row r="49" spans="1:10" ht="12.75">
      <c r="A49" s="1" t="s">
        <v>24</v>
      </c>
      <c r="B49" s="1" t="s">
        <v>5</v>
      </c>
      <c r="C49" s="1" t="s">
        <v>72</v>
      </c>
      <c r="D49" s="2">
        <v>44606</v>
      </c>
      <c r="E49" s="1" t="s">
        <v>107</v>
      </c>
      <c r="F49" s="5">
        <f t="shared" si="0"/>
        <v>6979</v>
      </c>
      <c r="G49" s="1">
        <v>18</v>
      </c>
      <c r="H49" s="1" t="str">
        <f t="shared" si="1"/>
        <v>High</v>
      </c>
      <c r="I49" s="1" t="str">
        <f t="shared" si="2"/>
        <v>Other</v>
      </c>
      <c r="J49" s="1">
        <f t="shared" si="4"/>
        <v>636680.32999999996</v>
      </c>
    </row>
    <row r="50" spans="1:10" ht="12.75">
      <c r="A50" s="1" t="s">
        <v>26</v>
      </c>
      <c r="B50" s="1" t="s">
        <v>42</v>
      </c>
      <c r="C50" s="1" t="s">
        <v>63</v>
      </c>
      <c r="D50" s="2">
        <v>44722</v>
      </c>
      <c r="E50" s="1" t="s">
        <v>108</v>
      </c>
      <c r="F50" s="5">
        <f t="shared" si="0"/>
        <v>4382</v>
      </c>
      <c r="G50" s="1">
        <v>303</v>
      </c>
      <c r="H50" s="1" t="str">
        <f t="shared" si="1"/>
        <v>High</v>
      </c>
      <c r="I50" s="1" t="str">
        <f t="shared" si="2"/>
        <v>Other</v>
      </c>
      <c r="J50" s="1">
        <f t="shared" si="4"/>
        <v>636680.32999999996</v>
      </c>
    </row>
    <row r="51" spans="1:10" ht="12.75">
      <c r="A51" s="1" t="s">
        <v>24</v>
      </c>
      <c r="B51" s="1" t="s">
        <v>42</v>
      </c>
      <c r="C51" s="1" t="s">
        <v>81</v>
      </c>
      <c r="D51" s="2">
        <v>44749</v>
      </c>
      <c r="E51" s="1" t="s">
        <v>109</v>
      </c>
      <c r="F51" s="5">
        <f t="shared" si="0"/>
        <v>5243</v>
      </c>
      <c r="G51" s="1">
        <v>176</v>
      </c>
      <c r="H51" s="1" t="str">
        <f t="shared" si="1"/>
        <v>High</v>
      </c>
      <c r="I51" s="1" t="str">
        <f t="shared" si="2"/>
        <v>Other</v>
      </c>
      <c r="J51" s="1">
        <f t="shared" si="4"/>
        <v>636680.32999999996</v>
      </c>
    </row>
    <row r="52" spans="1:10" ht="12.75">
      <c r="A52" s="1" t="s">
        <v>24</v>
      </c>
      <c r="B52" s="1" t="s">
        <v>62</v>
      </c>
      <c r="C52" s="1" t="s">
        <v>91</v>
      </c>
      <c r="D52" s="2">
        <v>44644</v>
      </c>
      <c r="E52" s="1" t="s">
        <v>110</v>
      </c>
      <c r="F52" s="5">
        <f t="shared" si="0"/>
        <v>4865</v>
      </c>
      <c r="G52" s="1">
        <v>70</v>
      </c>
      <c r="H52" s="1" t="str">
        <f t="shared" si="1"/>
        <v>High</v>
      </c>
      <c r="I52" s="1" t="str">
        <f t="shared" si="2"/>
        <v>Other</v>
      </c>
      <c r="J52" s="1">
        <f t="shared" si="4"/>
        <v>636680.32999999996</v>
      </c>
    </row>
    <row r="53" spans="1:10" ht="12.75">
      <c r="A53" s="1" t="s">
        <v>7</v>
      </c>
      <c r="B53" s="1" t="s">
        <v>5</v>
      </c>
      <c r="C53" s="1" t="s">
        <v>81</v>
      </c>
      <c r="D53" s="2">
        <v>44718</v>
      </c>
      <c r="E53" s="1" t="s">
        <v>111</v>
      </c>
      <c r="F53" s="5">
        <f t="shared" si="0"/>
        <v>8575</v>
      </c>
      <c r="G53" s="1">
        <v>23</v>
      </c>
      <c r="H53" s="1" t="str">
        <f t="shared" si="1"/>
        <v>High</v>
      </c>
      <c r="I53" s="1" t="str">
        <f t="shared" si="2"/>
        <v>Other</v>
      </c>
      <c r="J53" s="1">
        <f t="shared" si="4"/>
        <v>636680.32999999996</v>
      </c>
    </row>
    <row r="54" spans="1:10" ht="12.75">
      <c r="A54" s="1" t="s">
        <v>21</v>
      </c>
      <c r="B54" s="1" t="s">
        <v>5</v>
      </c>
      <c r="C54" s="1" t="s">
        <v>65</v>
      </c>
      <c r="D54" s="2">
        <v>44761</v>
      </c>
      <c r="E54" s="1" t="s">
        <v>112</v>
      </c>
      <c r="F54" s="5">
        <f t="shared" si="0"/>
        <v>91</v>
      </c>
      <c r="G54" s="1">
        <v>135</v>
      </c>
      <c r="H54" s="1" t="str">
        <f t="shared" si="1"/>
        <v>Low</v>
      </c>
      <c r="I54" s="1" t="str">
        <f t="shared" si="2"/>
        <v>Other</v>
      </c>
      <c r="J54" s="1">
        <f t="shared" si="4"/>
        <v>636680.32999999996</v>
      </c>
    </row>
    <row r="55" spans="1:10" ht="12.75">
      <c r="A55" s="1" t="s">
        <v>28</v>
      </c>
      <c r="B55" s="1" t="s">
        <v>59</v>
      </c>
      <c r="C55" s="1" t="s">
        <v>100</v>
      </c>
      <c r="D55" s="2">
        <v>44670</v>
      </c>
      <c r="E55" s="1" t="s">
        <v>113</v>
      </c>
      <c r="F55" s="5">
        <f t="shared" si="0"/>
        <v>14798</v>
      </c>
      <c r="G55" s="1">
        <v>83</v>
      </c>
      <c r="H55" s="1" t="str">
        <f t="shared" si="1"/>
        <v>High</v>
      </c>
      <c r="I55" s="1" t="str">
        <f t="shared" si="2"/>
        <v>Other</v>
      </c>
      <c r="J55" s="1">
        <f t="shared" si="4"/>
        <v>636680.32999999996</v>
      </c>
    </row>
    <row r="56" spans="1:10" ht="12.75">
      <c r="A56" s="1" t="s">
        <v>14</v>
      </c>
      <c r="B56" s="1" t="s">
        <v>42</v>
      </c>
      <c r="C56" s="1" t="s">
        <v>43</v>
      </c>
      <c r="D56" s="2">
        <v>44761</v>
      </c>
      <c r="E56" s="1" t="s">
        <v>114</v>
      </c>
      <c r="F56" s="5">
        <f t="shared" si="0"/>
        <v>2205</v>
      </c>
      <c r="G56" s="1">
        <v>179</v>
      </c>
      <c r="H56" s="1" t="str">
        <f t="shared" si="1"/>
        <v>High</v>
      </c>
      <c r="I56" s="1" t="str">
        <f t="shared" si="2"/>
        <v>Other</v>
      </c>
      <c r="J56" s="1">
        <f t="shared" si="4"/>
        <v>636680.32999999996</v>
      </c>
    </row>
    <row r="57" spans="1:10" ht="12.75">
      <c r="A57" s="1" t="s">
        <v>11</v>
      </c>
      <c r="B57" s="1" t="s">
        <v>62</v>
      </c>
      <c r="C57" s="1" t="s">
        <v>65</v>
      </c>
      <c r="D57" s="2">
        <v>44757</v>
      </c>
      <c r="E57" s="1" t="s">
        <v>115</v>
      </c>
      <c r="F57" s="5">
        <f t="shared" si="0"/>
        <v>441</v>
      </c>
      <c r="G57" s="1">
        <v>24</v>
      </c>
      <c r="H57" s="1" t="str">
        <f t="shared" si="1"/>
        <v>Low</v>
      </c>
      <c r="I57" s="1" t="str">
        <f t="shared" si="2"/>
        <v>Other</v>
      </c>
      <c r="J57" s="1">
        <f t="shared" si="4"/>
        <v>636680.32999999996</v>
      </c>
    </row>
    <row r="58" spans="1:10" ht="12.75">
      <c r="A58" s="1" t="s">
        <v>17</v>
      </c>
      <c r="B58" s="1" t="s">
        <v>54</v>
      </c>
      <c r="C58" s="1" t="s">
        <v>76</v>
      </c>
      <c r="D58" s="2">
        <v>44606</v>
      </c>
      <c r="E58" s="1" t="s">
        <v>116</v>
      </c>
      <c r="F58" s="5">
        <f t="shared" si="0"/>
        <v>3556</v>
      </c>
      <c r="G58" s="1">
        <v>18</v>
      </c>
      <c r="H58" s="1" t="str">
        <f t="shared" si="1"/>
        <v>High</v>
      </c>
      <c r="I58" s="1" t="str">
        <f t="shared" si="2"/>
        <v>Other</v>
      </c>
      <c r="J58" s="1">
        <f t="shared" si="4"/>
        <v>636680.32999999996</v>
      </c>
    </row>
    <row r="59" spans="1:10" ht="12.75">
      <c r="A59" s="1" t="s">
        <v>7</v>
      </c>
      <c r="B59" s="1" t="s">
        <v>62</v>
      </c>
      <c r="C59" s="1" t="s">
        <v>51</v>
      </c>
      <c r="D59" s="2">
        <v>44699</v>
      </c>
      <c r="E59" s="1" t="s">
        <v>117</v>
      </c>
      <c r="F59" s="5">
        <f t="shared" si="0"/>
        <v>16793</v>
      </c>
      <c r="G59" s="1">
        <v>416</v>
      </c>
      <c r="H59" s="1" t="str">
        <f t="shared" si="1"/>
        <v>High</v>
      </c>
      <c r="I59" s="1" t="str">
        <f t="shared" si="2"/>
        <v>Other</v>
      </c>
      <c r="J59" s="1">
        <f t="shared" si="4"/>
        <v>636680.32999999996</v>
      </c>
    </row>
    <row r="60" spans="1:10" ht="12.75">
      <c r="A60" s="1" t="s">
        <v>16</v>
      </c>
      <c r="B60" s="1" t="s">
        <v>5</v>
      </c>
      <c r="C60" s="1" t="s">
        <v>81</v>
      </c>
      <c r="D60" s="2">
        <v>44742</v>
      </c>
      <c r="E60" s="1" t="s">
        <v>118</v>
      </c>
      <c r="F60" s="5">
        <f t="shared" si="0"/>
        <v>15421</v>
      </c>
      <c r="G60" s="1">
        <v>55</v>
      </c>
      <c r="H60" s="1" t="str">
        <f t="shared" si="1"/>
        <v>High</v>
      </c>
      <c r="I60" s="1" t="str">
        <f t="shared" si="2"/>
        <v>Other</v>
      </c>
      <c r="J60" s="1">
        <f t="shared" si="4"/>
        <v>636680.32999999996</v>
      </c>
    </row>
    <row r="61" spans="1:10" ht="12.75">
      <c r="A61" s="1" t="s">
        <v>27</v>
      </c>
      <c r="B61" s="1" t="s">
        <v>5</v>
      </c>
      <c r="C61" s="1" t="s">
        <v>55</v>
      </c>
      <c r="D61" s="2">
        <v>44714</v>
      </c>
      <c r="E61" s="1" t="s">
        <v>119</v>
      </c>
      <c r="F61" s="5">
        <f t="shared" si="0"/>
        <v>4438</v>
      </c>
      <c r="G61" s="1">
        <v>227</v>
      </c>
      <c r="H61" s="1" t="str">
        <f t="shared" si="1"/>
        <v>High</v>
      </c>
      <c r="I61" s="1" t="str">
        <f t="shared" si="2"/>
        <v>Other</v>
      </c>
      <c r="J61" s="1">
        <f t="shared" si="4"/>
        <v>636680.32999999996</v>
      </c>
    </row>
    <row r="62" spans="1:10" ht="12.75">
      <c r="A62" s="1" t="s">
        <v>27</v>
      </c>
      <c r="B62" s="1" t="s">
        <v>5</v>
      </c>
      <c r="C62" s="1" t="s">
        <v>65</v>
      </c>
      <c r="D62" s="2">
        <v>44740</v>
      </c>
      <c r="E62" s="1" t="s">
        <v>120</v>
      </c>
      <c r="F62" s="5">
        <f t="shared" si="0"/>
        <v>1603</v>
      </c>
      <c r="G62" s="1">
        <v>48</v>
      </c>
      <c r="H62" s="1" t="str">
        <f t="shared" si="1"/>
        <v>High</v>
      </c>
      <c r="I62" s="1" t="str">
        <f t="shared" si="2"/>
        <v>Other</v>
      </c>
      <c r="J62" s="1">
        <f t="shared" si="4"/>
        <v>636680.32999999996</v>
      </c>
    </row>
    <row r="63" spans="1:10" ht="12.75">
      <c r="A63" s="1" t="s">
        <v>14</v>
      </c>
      <c r="B63" s="1" t="s">
        <v>5</v>
      </c>
      <c r="C63" s="1" t="s">
        <v>68</v>
      </c>
      <c r="D63" s="2">
        <v>44697</v>
      </c>
      <c r="E63" s="1" t="s">
        <v>121</v>
      </c>
      <c r="F63" s="5">
        <f t="shared" si="0"/>
        <v>273</v>
      </c>
      <c r="G63" s="1">
        <v>174</v>
      </c>
      <c r="H63" s="1" t="str">
        <f t="shared" si="1"/>
        <v>Low</v>
      </c>
      <c r="I63" s="1" t="str">
        <f t="shared" si="2"/>
        <v>Other</v>
      </c>
      <c r="J63" s="1">
        <f t="shared" si="4"/>
        <v>636680.32999999996</v>
      </c>
    </row>
    <row r="64" spans="1:10" ht="12.75">
      <c r="A64" s="1" t="s">
        <v>12</v>
      </c>
      <c r="B64" s="1" t="s">
        <v>62</v>
      </c>
      <c r="C64" s="1" t="s">
        <v>122</v>
      </c>
      <c r="D64" s="2">
        <v>44707</v>
      </c>
      <c r="E64" s="1" t="s">
        <v>123</v>
      </c>
      <c r="F64" s="5">
        <f t="shared" si="0"/>
        <v>3073</v>
      </c>
      <c r="G64" s="1">
        <v>302</v>
      </c>
      <c r="H64" s="1" t="str">
        <f t="shared" si="1"/>
        <v>High</v>
      </c>
      <c r="I64" s="1" t="str">
        <f t="shared" si="2"/>
        <v>Other</v>
      </c>
      <c r="J64" s="1">
        <f t="shared" si="4"/>
        <v>636680.32999999996</v>
      </c>
    </row>
    <row r="65" spans="1:10" ht="12.75">
      <c r="A65" s="1" t="s">
        <v>18</v>
      </c>
      <c r="B65" s="1" t="s">
        <v>42</v>
      </c>
      <c r="C65" s="1" t="s">
        <v>91</v>
      </c>
      <c r="D65" s="2">
        <v>44748</v>
      </c>
      <c r="E65" s="1" t="s">
        <v>124</v>
      </c>
      <c r="F65" s="5">
        <f t="shared" si="0"/>
        <v>6090</v>
      </c>
      <c r="G65" s="1">
        <v>149</v>
      </c>
      <c r="H65" s="1" t="str">
        <f t="shared" si="1"/>
        <v>High</v>
      </c>
      <c r="I65" s="1" t="str">
        <f t="shared" si="2"/>
        <v>Other</v>
      </c>
      <c r="J65" s="1">
        <f t="shared" si="4"/>
        <v>636680.32999999996</v>
      </c>
    </row>
    <row r="66" spans="1:10" ht="12.75">
      <c r="A66" s="1" t="s">
        <v>22</v>
      </c>
      <c r="B66" s="1" t="s">
        <v>42</v>
      </c>
      <c r="C66" s="1" t="s">
        <v>51</v>
      </c>
      <c r="D66" s="2">
        <v>44708</v>
      </c>
      <c r="E66" s="1" t="s">
        <v>125</v>
      </c>
      <c r="F66" s="5">
        <f t="shared" ref="F66:F129" si="5">VALUE(SUBSTITUTE(E66,"$",""))</f>
        <v>10255</v>
      </c>
      <c r="G66" s="1">
        <v>11</v>
      </c>
      <c r="H66" s="1" t="str">
        <f t="shared" ref="H66:H129" si="6">IF(F66&gt;800,"High",IF(F66&gt;500,"Medium","Low"))</f>
        <v>High</v>
      </c>
      <c r="I66" s="1" t="str">
        <f t="shared" ref="I66:I129" si="7">IF(AND(B66="Australia",A66="Mallorie Waber"),"Top Local","Other")</f>
        <v>Other</v>
      </c>
      <c r="J66" s="1">
        <f t="shared" ref="J66:J129" si="8">SUMIF(A66:A3346,"Mallorie Waber",F66:F3346)</f>
        <v>636680.32999999996</v>
      </c>
    </row>
    <row r="67" spans="1:10" ht="12.75">
      <c r="A67" s="1" t="s">
        <v>29</v>
      </c>
      <c r="B67" s="1" t="s">
        <v>5</v>
      </c>
      <c r="C67" s="1" t="s">
        <v>126</v>
      </c>
      <c r="D67" s="2">
        <v>44665</v>
      </c>
      <c r="E67" s="1" t="s">
        <v>127</v>
      </c>
      <c r="F67" s="5">
        <f t="shared" si="5"/>
        <v>2030</v>
      </c>
      <c r="G67" s="1">
        <v>11</v>
      </c>
      <c r="H67" s="1" t="str">
        <f t="shared" si="6"/>
        <v>High</v>
      </c>
      <c r="I67" s="1" t="str">
        <f t="shared" si="7"/>
        <v>Other</v>
      </c>
      <c r="J67" s="1">
        <f t="shared" si="8"/>
        <v>636680.32999999996</v>
      </c>
    </row>
    <row r="68" spans="1:10" ht="12.75">
      <c r="A68" s="1" t="s">
        <v>10</v>
      </c>
      <c r="B68" s="1" t="s">
        <v>5</v>
      </c>
      <c r="C68" s="1" t="s">
        <v>68</v>
      </c>
      <c r="D68" s="2">
        <v>44783</v>
      </c>
      <c r="E68" s="1" t="s">
        <v>128</v>
      </c>
      <c r="F68" s="5">
        <f t="shared" si="5"/>
        <v>19453</v>
      </c>
      <c r="G68" s="1">
        <v>14</v>
      </c>
      <c r="H68" s="1" t="str">
        <f t="shared" si="6"/>
        <v>High</v>
      </c>
      <c r="I68" s="1" t="str">
        <f t="shared" si="7"/>
        <v>Other</v>
      </c>
      <c r="J68" s="1">
        <f t="shared" si="8"/>
        <v>636680.32999999996</v>
      </c>
    </row>
    <row r="69" spans="1:10" ht="12.75">
      <c r="A69" s="1" t="s">
        <v>25</v>
      </c>
      <c r="B69" s="1" t="s">
        <v>42</v>
      </c>
      <c r="C69" s="1" t="s">
        <v>55</v>
      </c>
      <c r="D69" s="2">
        <v>44746</v>
      </c>
      <c r="E69" s="1" t="s">
        <v>129</v>
      </c>
      <c r="F69" s="5">
        <f t="shared" si="5"/>
        <v>9275</v>
      </c>
      <c r="G69" s="1">
        <v>411</v>
      </c>
      <c r="H69" s="1" t="str">
        <f t="shared" si="6"/>
        <v>High</v>
      </c>
      <c r="I69" s="1" t="str">
        <f t="shared" si="7"/>
        <v>Other</v>
      </c>
      <c r="J69" s="1">
        <f t="shared" si="8"/>
        <v>636680.32999999996</v>
      </c>
    </row>
    <row r="70" spans="1:10" ht="12.75">
      <c r="A70" s="1" t="s">
        <v>22</v>
      </c>
      <c r="B70" s="1" t="s">
        <v>42</v>
      </c>
      <c r="C70" s="1" t="s">
        <v>68</v>
      </c>
      <c r="D70" s="2">
        <v>44750</v>
      </c>
      <c r="E70" s="1" t="s">
        <v>130</v>
      </c>
      <c r="F70" s="5">
        <f t="shared" si="5"/>
        <v>6181</v>
      </c>
      <c r="G70" s="1">
        <v>56</v>
      </c>
      <c r="H70" s="1" t="str">
        <f t="shared" si="6"/>
        <v>High</v>
      </c>
      <c r="I70" s="1" t="str">
        <f t="shared" si="7"/>
        <v>Other</v>
      </c>
      <c r="J70" s="1">
        <f t="shared" si="8"/>
        <v>636680.32999999996</v>
      </c>
    </row>
    <row r="71" spans="1:10" ht="12.75">
      <c r="A71" s="1" t="s">
        <v>15</v>
      </c>
      <c r="B71" s="1" t="s">
        <v>59</v>
      </c>
      <c r="C71" s="1" t="s">
        <v>45</v>
      </c>
      <c r="D71" s="2">
        <v>44764</v>
      </c>
      <c r="E71" s="1" t="s">
        <v>131</v>
      </c>
      <c r="F71" s="5">
        <f t="shared" si="5"/>
        <v>9037</v>
      </c>
      <c r="G71" s="1">
        <v>102</v>
      </c>
      <c r="H71" s="1" t="str">
        <f t="shared" si="6"/>
        <v>High</v>
      </c>
      <c r="I71" s="1" t="str">
        <f t="shared" si="7"/>
        <v>Other</v>
      </c>
      <c r="J71" s="1">
        <f t="shared" si="8"/>
        <v>636680.32999999996</v>
      </c>
    </row>
    <row r="72" spans="1:10" ht="12.75">
      <c r="A72" s="1" t="s">
        <v>20</v>
      </c>
      <c r="B72" s="1" t="s">
        <v>59</v>
      </c>
      <c r="C72" s="1" t="s">
        <v>102</v>
      </c>
      <c r="D72" s="2">
        <v>44622</v>
      </c>
      <c r="E72" s="1" t="s">
        <v>132</v>
      </c>
      <c r="F72" s="5">
        <f t="shared" si="5"/>
        <v>12313</v>
      </c>
      <c r="G72" s="1">
        <v>103</v>
      </c>
      <c r="H72" s="1" t="str">
        <f t="shared" si="6"/>
        <v>High</v>
      </c>
      <c r="I72" s="1" t="str">
        <f t="shared" si="7"/>
        <v>Other</v>
      </c>
      <c r="J72" s="1">
        <f t="shared" si="8"/>
        <v>636680.32999999996</v>
      </c>
    </row>
    <row r="73" spans="1:10" ht="12.75">
      <c r="A73" s="1" t="s">
        <v>20</v>
      </c>
      <c r="B73" s="1" t="s">
        <v>39</v>
      </c>
      <c r="C73" s="1" t="s">
        <v>91</v>
      </c>
      <c r="D73" s="2">
        <v>44571</v>
      </c>
      <c r="E73" s="1" t="s">
        <v>133</v>
      </c>
      <c r="F73" s="5">
        <f t="shared" si="5"/>
        <v>5642</v>
      </c>
      <c r="G73" s="1">
        <v>9</v>
      </c>
      <c r="H73" s="1" t="str">
        <f t="shared" si="6"/>
        <v>High</v>
      </c>
      <c r="I73" s="1" t="str">
        <f t="shared" si="7"/>
        <v>Other</v>
      </c>
      <c r="J73" s="1">
        <f t="shared" si="8"/>
        <v>636680.32999999996</v>
      </c>
    </row>
    <row r="74" spans="1:10" ht="12.75">
      <c r="A74" s="1" t="s">
        <v>11</v>
      </c>
      <c r="B74" s="1" t="s">
        <v>54</v>
      </c>
      <c r="C74" s="1" t="s">
        <v>84</v>
      </c>
      <c r="D74" s="2">
        <v>44631</v>
      </c>
      <c r="E74" s="1" t="s">
        <v>134</v>
      </c>
      <c r="F74" s="5">
        <f t="shared" si="5"/>
        <v>2800</v>
      </c>
      <c r="G74" s="1">
        <v>241</v>
      </c>
      <c r="H74" s="1" t="str">
        <f t="shared" si="6"/>
        <v>High</v>
      </c>
      <c r="I74" s="1" t="str">
        <f t="shared" si="7"/>
        <v>Other</v>
      </c>
      <c r="J74" s="1">
        <f t="shared" si="8"/>
        <v>636680.32999999996</v>
      </c>
    </row>
    <row r="75" spans="1:10" ht="12.75">
      <c r="A75" s="1" t="s">
        <v>27</v>
      </c>
      <c r="B75" s="1" t="s">
        <v>54</v>
      </c>
      <c r="C75" s="1" t="s">
        <v>45</v>
      </c>
      <c r="D75" s="2">
        <v>44732</v>
      </c>
      <c r="E75" s="1" t="s">
        <v>135</v>
      </c>
      <c r="F75" s="5">
        <f t="shared" si="5"/>
        <v>959</v>
      </c>
      <c r="G75" s="1">
        <v>265</v>
      </c>
      <c r="H75" s="1" t="str">
        <f t="shared" si="6"/>
        <v>High</v>
      </c>
      <c r="I75" s="1" t="str">
        <f t="shared" si="7"/>
        <v>Other</v>
      </c>
      <c r="J75" s="1">
        <f t="shared" si="8"/>
        <v>636680.32999999996</v>
      </c>
    </row>
    <row r="76" spans="1:10" ht="12.75">
      <c r="A76" s="1" t="s">
        <v>10</v>
      </c>
      <c r="B76" s="1" t="s">
        <v>39</v>
      </c>
      <c r="C76" s="1" t="s">
        <v>68</v>
      </c>
      <c r="D76" s="2">
        <v>44799</v>
      </c>
      <c r="E76" s="1" t="s">
        <v>136</v>
      </c>
      <c r="F76" s="5">
        <f t="shared" si="5"/>
        <v>2002</v>
      </c>
      <c r="G76" s="1">
        <v>214</v>
      </c>
      <c r="H76" s="1" t="str">
        <f t="shared" si="6"/>
        <v>High</v>
      </c>
      <c r="I76" s="1" t="str">
        <f t="shared" si="7"/>
        <v>Other</v>
      </c>
      <c r="J76" s="1">
        <f t="shared" si="8"/>
        <v>636680.32999999996</v>
      </c>
    </row>
    <row r="77" spans="1:10" ht="12.75">
      <c r="A77" s="1" t="s">
        <v>26</v>
      </c>
      <c r="B77" s="1" t="s">
        <v>62</v>
      </c>
      <c r="C77" s="1" t="s">
        <v>72</v>
      </c>
      <c r="D77" s="2">
        <v>44755</v>
      </c>
      <c r="E77" s="1" t="s">
        <v>137</v>
      </c>
      <c r="F77" s="5">
        <f t="shared" si="5"/>
        <v>609</v>
      </c>
      <c r="G77" s="1">
        <v>32</v>
      </c>
      <c r="H77" s="1" t="str">
        <f t="shared" si="6"/>
        <v>Medium</v>
      </c>
      <c r="I77" s="1" t="str">
        <f t="shared" si="7"/>
        <v>Other</v>
      </c>
      <c r="J77" s="1">
        <f t="shared" si="8"/>
        <v>636680.32999999996</v>
      </c>
    </row>
    <row r="78" spans="1:10" ht="12.75">
      <c r="A78" s="1" t="s">
        <v>25</v>
      </c>
      <c r="B78" s="1" t="s">
        <v>59</v>
      </c>
      <c r="C78" s="1" t="s">
        <v>76</v>
      </c>
      <c r="D78" s="2">
        <v>44603</v>
      </c>
      <c r="E78" s="1" t="s">
        <v>138</v>
      </c>
      <c r="F78" s="5">
        <f t="shared" si="5"/>
        <v>1274</v>
      </c>
      <c r="G78" s="1">
        <v>244</v>
      </c>
      <c r="H78" s="1" t="str">
        <f t="shared" si="6"/>
        <v>High</v>
      </c>
      <c r="I78" s="1" t="str">
        <f t="shared" si="7"/>
        <v>Other</v>
      </c>
      <c r="J78" s="1">
        <f t="shared" si="8"/>
        <v>636680.32999999996</v>
      </c>
    </row>
    <row r="79" spans="1:10" ht="12.75">
      <c r="A79" s="1" t="s">
        <v>14</v>
      </c>
      <c r="B79" s="1" t="s">
        <v>59</v>
      </c>
      <c r="C79" s="1" t="s">
        <v>60</v>
      </c>
      <c r="D79" s="2">
        <v>44588</v>
      </c>
      <c r="E79" s="1" t="s">
        <v>139</v>
      </c>
      <c r="F79" s="5">
        <f t="shared" si="5"/>
        <v>7595</v>
      </c>
      <c r="G79" s="1">
        <v>181</v>
      </c>
      <c r="H79" s="1" t="str">
        <f t="shared" si="6"/>
        <v>High</v>
      </c>
      <c r="I79" s="1" t="str">
        <f t="shared" si="7"/>
        <v>Other</v>
      </c>
      <c r="J79" s="1">
        <f t="shared" si="8"/>
        <v>636680.32999999996</v>
      </c>
    </row>
    <row r="80" spans="1:10" ht="12.75">
      <c r="A80" s="1" t="s">
        <v>10</v>
      </c>
      <c r="B80" s="1" t="s">
        <v>39</v>
      </c>
      <c r="C80" s="1" t="s">
        <v>51</v>
      </c>
      <c r="D80" s="2">
        <v>44592</v>
      </c>
      <c r="E80" s="1" t="s">
        <v>140</v>
      </c>
      <c r="F80" s="5">
        <f t="shared" si="5"/>
        <v>4725</v>
      </c>
      <c r="G80" s="1">
        <v>137</v>
      </c>
      <c r="H80" s="1" t="str">
        <f t="shared" si="6"/>
        <v>High</v>
      </c>
      <c r="I80" s="1" t="str">
        <f t="shared" si="7"/>
        <v>Other</v>
      </c>
      <c r="J80" s="1">
        <f t="shared" si="8"/>
        <v>636680.32999999996</v>
      </c>
    </row>
    <row r="81" spans="1:10" ht="12.75">
      <c r="A81" s="1" t="s">
        <v>25</v>
      </c>
      <c r="B81" s="1" t="s">
        <v>59</v>
      </c>
      <c r="C81" s="1" t="s">
        <v>84</v>
      </c>
      <c r="D81" s="2">
        <v>44791</v>
      </c>
      <c r="E81" s="1" t="s">
        <v>141</v>
      </c>
      <c r="F81" s="5">
        <f t="shared" si="5"/>
        <v>9681</v>
      </c>
      <c r="G81" s="1">
        <v>24</v>
      </c>
      <c r="H81" s="1" t="str">
        <f t="shared" si="6"/>
        <v>High</v>
      </c>
      <c r="I81" s="1" t="str">
        <f t="shared" si="7"/>
        <v>Other</v>
      </c>
      <c r="J81" s="1">
        <f t="shared" si="8"/>
        <v>636680.32999999996</v>
      </c>
    </row>
    <row r="82" spans="1:10" ht="12.75">
      <c r="A82" s="1" t="s">
        <v>27</v>
      </c>
      <c r="B82" s="1" t="s">
        <v>59</v>
      </c>
      <c r="C82" s="1" t="s">
        <v>100</v>
      </c>
      <c r="D82" s="2">
        <v>44742</v>
      </c>
      <c r="E82" s="1" t="s">
        <v>142</v>
      </c>
      <c r="F82" s="5">
        <f t="shared" si="5"/>
        <v>14504</v>
      </c>
      <c r="G82" s="1">
        <v>21</v>
      </c>
      <c r="H82" s="1" t="str">
        <f t="shared" si="6"/>
        <v>High</v>
      </c>
      <c r="I82" s="1" t="str">
        <f t="shared" si="7"/>
        <v>Other</v>
      </c>
      <c r="J82" s="1">
        <f t="shared" si="8"/>
        <v>636680.32999999996</v>
      </c>
    </row>
    <row r="83" spans="1:10" ht="12.75">
      <c r="A83" s="1" t="s">
        <v>21</v>
      </c>
      <c r="B83" s="1" t="s">
        <v>5</v>
      </c>
      <c r="C83" s="1" t="s">
        <v>81</v>
      </c>
      <c r="D83" s="2">
        <v>44796</v>
      </c>
      <c r="E83" s="1" t="s">
        <v>143</v>
      </c>
      <c r="F83" s="5">
        <f t="shared" si="5"/>
        <v>280</v>
      </c>
      <c r="G83" s="1">
        <v>311</v>
      </c>
      <c r="H83" s="1" t="str">
        <f t="shared" si="6"/>
        <v>Low</v>
      </c>
      <c r="I83" s="1" t="str">
        <f t="shared" si="7"/>
        <v>Other</v>
      </c>
      <c r="J83" s="1">
        <f t="shared" si="8"/>
        <v>636680.32999999996</v>
      </c>
    </row>
    <row r="84" spans="1:10" ht="12.75">
      <c r="A84" s="1" t="s">
        <v>7</v>
      </c>
      <c r="B84" s="1" t="s">
        <v>54</v>
      </c>
      <c r="C84" s="1" t="s">
        <v>40</v>
      </c>
      <c r="D84" s="2">
        <v>44774</v>
      </c>
      <c r="E84" s="1" t="s">
        <v>144</v>
      </c>
      <c r="F84" s="5">
        <f t="shared" si="5"/>
        <v>63</v>
      </c>
      <c r="G84" s="1">
        <v>181</v>
      </c>
      <c r="H84" s="1" t="str">
        <f t="shared" si="6"/>
        <v>Low</v>
      </c>
      <c r="I84" s="1" t="str">
        <f t="shared" si="7"/>
        <v>Other</v>
      </c>
      <c r="J84" s="1">
        <f t="shared" si="8"/>
        <v>636680.32999999996</v>
      </c>
    </row>
    <row r="85" spans="1:10" ht="12.75">
      <c r="A85" s="1" t="s">
        <v>26</v>
      </c>
      <c r="B85" s="1" t="s">
        <v>54</v>
      </c>
      <c r="C85" s="1" t="s">
        <v>52</v>
      </c>
      <c r="D85" s="2">
        <v>44706</v>
      </c>
      <c r="E85" s="1" t="s">
        <v>145</v>
      </c>
      <c r="F85" s="5">
        <f t="shared" si="5"/>
        <v>8001</v>
      </c>
      <c r="G85" s="1">
        <v>10</v>
      </c>
      <c r="H85" s="1" t="str">
        <f t="shared" si="6"/>
        <v>High</v>
      </c>
      <c r="I85" s="1" t="str">
        <f t="shared" si="7"/>
        <v>Other</v>
      </c>
      <c r="J85" s="1">
        <f t="shared" si="8"/>
        <v>636680.32999999996</v>
      </c>
    </row>
    <row r="86" spans="1:10" ht="12.75">
      <c r="A86" s="1" t="s">
        <v>26</v>
      </c>
      <c r="B86" s="1" t="s">
        <v>62</v>
      </c>
      <c r="C86" s="1" t="s">
        <v>68</v>
      </c>
      <c r="D86" s="2">
        <v>44571</v>
      </c>
      <c r="E86" s="1" t="s">
        <v>146</v>
      </c>
      <c r="F86" s="5">
        <f t="shared" si="5"/>
        <v>4032</v>
      </c>
      <c r="G86" s="1">
        <v>82</v>
      </c>
      <c r="H86" s="1" t="str">
        <f t="shared" si="6"/>
        <v>High</v>
      </c>
      <c r="I86" s="1" t="str">
        <f t="shared" si="7"/>
        <v>Other</v>
      </c>
      <c r="J86" s="1">
        <f t="shared" si="8"/>
        <v>636680.32999999996</v>
      </c>
    </row>
    <row r="87" spans="1:10" ht="12.75">
      <c r="A87" s="1" t="s">
        <v>6</v>
      </c>
      <c r="B87" s="1" t="s">
        <v>5</v>
      </c>
      <c r="C87" s="1" t="s">
        <v>147</v>
      </c>
      <c r="D87" s="2">
        <v>44599</v>
      </c>
      <c r="E87" s="1" t="s">
        <v>148</v>
      </c>
      <c r="F87" s="5">
        <f t="shared" si="5"/>
        <v>5859</v>
      </c>
      <c r="G87" s="1">
        <v>108</v>
      </c>
      <c r="H87" s="1" t="str">
        <f t="shared" si="6"/>
        <v>High</v>
      </c>
      <c r="I87" s="1" t="str">
        <f t="shared" si="7"/>
        <v>Other</v>
      </c>
      <c r="J87" s="1">
        <f t="shared" si="8"/>
        <v>636680.32999999996</v>
      </c>
    </row>
    <row r="88" spans="1:10" ht="12.75">
      <c r="A88" s="1" t="s">
        <v>18</v>
      </c>
      <c r="B88" s="1" t="s">
        <v>59</v>
      </c>
      <c r="C88" s="1" t="s">
        <v>60</v>
      </c>
      <c r="D88" s="2">
        <v>44693</v>
      </c>
      <c r="E88" s="1" t="s">
        <v>149</v>
      </c>
      <c r="F88" s="5">
        <f t="shared" si="5"/>
        <v>11095</v>
      </c>
      <c r="G88" s="1">
        <v>401</v>
      </c>
      <c r="H88" s="1" t="str">
        <f t="shared" si="6"/>
        <v>High</v>
      </c>
      <c r="I88" s="1" t="str">
        <f t="shared" si="7"/>
        <v>Other</v>
      </c>
      <c r="J88" s="1">
        <f t="shared" si="8"/>
        <v>636680.32999999996</v>
      </c>
    </row>
    <row r="89" spans="1:10" ht="12.75">
      <c r="A89" s="1" t="s">
        <v>9</v>
      </c>
      <c r="B89" s="1" t="s">
        <v>5</v>
      </c>
      <c r="C89" s="1" t="s">
        <v>76</v>
      </c>
      <c r="D89" s="2">
        <v>44627</v>
      </c>
      <c r="E89" s="1" t="s">
        <v>150</v>
      </c>
      <c r="F89" s="5">
        <f t="shared" si="5"/>
        <v>7182</v>
      </c>
      <c r="G89" s="1">
        <v>408</v>
      </c>
      <c r="H89" s="1" t="str">
        <f t="shared" si="6"/>
        <v>High</v>
      </c>
      <c r="I89" s="1" t="str">
        <f t="shared" si="7"/>
        <v>Other</v>
      </c>
      <c r="J89" s="1">
        <f t="shared" si="8"/>
        <v>636680.32999999996</v>
      </c>
    </row>
    <row r="90" spans="1:10" ht="12.75">
      <c r="A90" s="1" t="s">
        <v>6</v>
      </c>
      <c r="B90" s="1" t="s">
        <v>5</v>
      </c>
      <c r="C90" s="1" t="s">
        <v>43</v>
      </c>
      <c r="D90" s="2">
        <v>44656</v>
      </c>
      <c r="E90" s="1" t="s">
        <v>151</v>
      </c>
      <c r="F90" s="5">
        <f t="shared" si="5"/>
        <v>6881</v>
      </c>
      <c r="G90" s="1">
        <v>420</v>
      </c>
      <c r="H90" s="1" t="str">
        <f t="shared" si="6"/>
        <v>High</v>
      </c>
      <c r="I90" s="1" t="str">
        <f t="shared" si="7"/>
        <v>Other</v>
      </c>
      <c r="J90" s="1">
        <f t="shared" si="8"/>
        <v>636680.32999999996</v>
      </c>
    </row>
    <row r="91" spans="1:10" ht="12.75">
      <c r="A91" s="1" t="s">
        <v>27</v>
      </c>
      <c r="B91" s="1" t="s">
        <v>62</v>
      </c>
      <c r="C91" s="1" t="s">
        <v>126</v>
      </c>
      <c r="D91" s="2">
        <v>44564</v>
      </c>
      <c r="E91" s="1" t="s">
        <v>152</v>
      </c>
      <c r="F91" s="5">
        <f t="shared" si="5"/>
        <v>7154</v>
      </c>
      <c r="G91" s="1">
        <v>348</v>
      </c>
      <c r="H91" s="1" t="str">
        <f t="shared" si="6"/>
        <v>High</v>
      </c>
      <c r="I91" s="1" t="str">
        <f t="shared" si="7"/>
        <v>Other</v>
      </c>
      <c r="J91" s="1">
        <f t="shared" si="8"/>
        <v>636680.32999999996</v>
      </c>
    </row>
    <row r="92" spans="1:10" ht="12.75">
      <c r="A92" s="1" t="s">
        <v>6</v>
      </c>
      <c r="B92" s="1" t="s">
        <v>39</v>
      </c>
      <c r="C92" s="1" t="s">
        <v>63</v>
      </c>
      <c r="D92" s="2">
        <v>44644</v>
      </c>
      <c r="E92" s="1" t="s">
        <v>153</v>
      </c>
      <c r="F92" s="5">
        <f t="shared" si="5"/>
        <v>6188</v>
      </c>
      <c r="G92" s="1">
        <v>270</v>
      </c>
      <c r="H92" s="1" t="str">
        <f t="shared" si="6"/>
        <v>High</v>
      </c>
      <c r="I92" s="1" t="str">
        <f t="shared" si="7"/>
        <v>Other</v>
      </c>
      <c r="J92" s="1">
        <f t="shared" si="8"/>
        <v>636680.32999999996</v>
      </c>
    </row>
    <row r="93" spans="1:10" ht="12.75">
      <c r="A93" s="1" t="s">
        <v>9</v>
      </c>
      <c r="B93" s="1" t="s">
        <v>42</v>
      </c>
      <c r="C93" s="1" t="s">
        <v>100</v>
      </c>
      <c r="D93" s="2">
        <v>44749</v>
      </c>
      <c r="E93" s="1" t="s">
        <v>154</v>
      </c>
      <c r="F93" s="5">
        <f t="shared" si="5"/>
        <v>4221</v>
      </c>
      <c r="G93" s="1">
        <v>9</v>
      </c>
      <c r="H93" s="1" t="str">
        <f t="shared" si="6"/>
        <v>High</v>
      </c>
      <c r="I93" s="1" t="str">
        <f t="shared" si="7"/>
        <v>Other</v>
      </c>
      <c r="J93" s="1">
        <f t="shared" si="8"/>
        <v>636680.32999999996</v>
      </c>
    </row>
    <row r="94" spans="1:10" ht="12.75">
      <c r="A94" s="1" t="s">
        <v>10</v>
      </c>
      <c r="B94" s="1" t="s">
        <v>59</v>
      </c>
      <c r="C94" s="1" t="s">
        <v>52</v>
      </c>
      <c r="D94" s="2">
        <v>44768</v>
      </c>
      <c r="E94" s="1" t="s">
        <v>155</v>
      </c>
      <c r="F94" s="5">
        <f t="shared" si="5"/>
        <v>630</v>
      </c>
      <c r="G94" s="1">
        <v>264</v>
      </c>
      <c r="H94" s="1" t="str">
        <f t="shared" si="6"/>
        <v>Medium</v>
      </c>
      <c r="I94" s="1" t="str">
        <f t="shared" si="7"/>
        <v>Other</v>
      </c>
      <c r="J94" s="1">
        <f t="shared" si="8"/>
        <v>636680.32999999996</v>
      </c>
    </row>
    <row r="95" spans="1:10" ht="12.75">
      <c r="A95" s="1" t="s">
        <v>29</v>
      </c>
      <c r="B95" s="1" t="s">
        <v>5</v>
      </c>
      <c r="C95" s="1" t="s">
        <v>68</v>
      </c>
      <c r="D95" s="2">
        <v>44749</v>
      </c>
      <c r="E95" s="1" t="s">
        <v>156</v>
      </c>
      <c r="F95" s="5">
        <f t="shared" si="5"/>
        <v>1743</v>
      </c>
      <c r="G95" s="1">
        <v>111</v>
      </c>
      <c r="H95" s="1" t="str">
        <f t="shared" si="6"/>
        <v>High</v>
      </c>
      <c r="I95" s="1" t="str">
        <f t="shared" si="7"/>
        <v>Other</v>
      </c>
      <c r="J95" s="1">
        <f t="shared" si="8"/>
        <v>636680.32999999996</v>
      </c>
    </row>
    <row r="96" spans="1:10" ht="12.75">
      <c r="A96" s="1" t="s">
        <v>18</v>
      </c>
      <c r="B96" s="1" t="s">
        <v>62</v>
      </c>
      <c r="C96" s="1" t="s">
        <v>55</v>
      </c>
      <c r="D96" s="2">
        <v>44757</v>
      </c>
      <c r="E96" s="1" t="s">
        <v>157</v>
      </c>
      <c r="F96" s="5">
        <f t="shared" si="5"/>
        <v>2919</v>
      </c>
      <c r="G96" s="1">
        <v>65</v>
      </c>
      <c r="H96" s="1" t="str">
        <f t="shared" si="6"/>
        <v>High</v>
      </c>
      <c r="I96" s="1" t="str">
        <f t="shared" si="7"/>
        <v>Other</v>
      </c>
      <c r="J96" s="1">
        <f t="shared" si="8"/>
        <v>636680.32999999996</v>
      </c>
    </row>
    <row r="97" spans="1:10" ht="12.75">
      <c r="A97" s="1" t="s">
        <v>26</v>
      </c>
      <c r="B97" s="1" t="s">
        <v>54</v>
      </c>
      <c r="C97" s="1" t="s">
        <v>60</v>
      </c>
      <c r="D97" s="2">
        <v>44652</v>
      </c>
      <c r="E97" s="1" t="s">
        <v>158</v>
      </c>
      <c r="F97" s="5">
        <f t="shared" si="5"/>
        <v>49</v>
      </c>
      <c r="G97" s="1">
        <v>97</v>
      </c>
      <c r="H97" s="1" t="str">
        <f t="shared" si="6"/>
        <v>Low</v>
      </c>
      <c r="I97" s="1" t="str">
        <f t="shared" si="7"/>
        <v>Other</v>
      </c>
      <c r="J97" s="1">
        <f t="shared" si="8"/>
        <v>636680.32999999996</v>
      </c>
    </row>
    <row r="98" spans="1:10" ht="12.75">
      <c r="A98" s="1" t="s">
        <v>28</v>
      </c>
      <c r="B98" s="1" t="s">
        <v>5</v>
      </c>
      <c r="C98" s="1" t="s">
        <v>63</v>
      </c>
      <c r="D98" s="2">
        <v>44732</v>
      </c>
      <c r="E98" s="1" t="s">
        <v>159</v>
      </c>
      <c r="F98" s="5">
        <f t="shared" si="5"/>
        <v>1827</v>
      </c>
      <c r="G98" s="1">
        <v>6</v>
      </c>
      <c r="H98" s="1" t="str">
        <f t="shared" si="6"/>
        <v>High</v>
      </c>
      <c r="I98" s="1" t="str">
        <f t="shared" si="7"/>
        <v>Other</v>
      </c>
      <c r="J98" s="1">
        <f t="shared" si="8"/>
        <v>636680.32999999996</v>
      </c>
    </row>
    <row r="99" spans="1:10" ht="12.75">
      <c r="A99" s="1" t="s">
        <v>12</v>
      </c>
      <c r="B99" s="1" t="s">
        <v>39</v>
      </c>
      <c r="C99" s="1" t="s">
        <v>81</v>
      </c>
      <c r="D99" s="2">
        <v>44741</v>
      </c>
      <c r="E99" s="1" t="s">
        <v>160</v>
      </c>
      <c r="F99" s="5">
        <f t="shared" si="5"/>
        <v>13006</v>
      </c>
      <c r="G99" s="1">
        <v>482</v>
      </c>
      <c r="H99" s="1" t="str">
        <f t="shared" si="6"/>
        <v>High</v>
      </c>
      <c r="I99" s="1" t="str">
        <f t="shared" si="7"/>
        <v>Other</v>
      </c>
      <c r="J99" s="1">
        <f t="shared" si="8"/>
        <v>636680.32999999996</v>
      </c>
    </row>
    <row r="100" spans="1:10" ht="12.75">
      <c r="A100" s="1" t="s">
        <v>14</v>
      </c>
      <c r="B100" s="1" t="s">
        <v>59</v>
      </c>
      <c r="C100" s="1" t="s">
        <v>55</v>
      </c>
      <c r="D100" s="2">
        <v>44727</v>
      </c>
      <c r="E100" s="1" t="s">
        <v>161</v>
      </c>
      <c r="F100" s="5">
        <f t="shared" si="5"/>
        <v>1064</v>
      </c>
      <c r="G100" s="1">
        <v>106</v>
      </c>
      <c r="H100" s="1" t="str">
        <f t="shared" si="6"/>
        <v>High</v>
      </c>
      <c r="I100" s="1" t="str">
        <f t="shared" si="7"/>
        <v>Other</v>
      </c>
      <c r="J100" s="1">
        <f t="shared" si="8"/>
        <v>636680.32999999996</v>
      </c>
    </row>
    <row r="101" spans="1:10" ht="12.75">
      <c r="A101" s="1" t="s">
        <v>13</v>
      </c>
      <c r="B101" s="1" t="s">
        <v>59</v>
      </c>
      <c r="C101" s="1" t="s">
        <v>52</v>
      </c>
      <c r="D101" s="2">
        <v>44659</v>
      </c>
      <c r="E101" s="1" t="s">
        <v>162</v>
      </c>
      <c r="F101" s="5">
        <f t="shared" si="5"/>
        <v>11571</v>
      </c>
      <c r="G101" s="1">
        <v>180</v>
      </c>
      <c r="H101" s="1" t="str">
        <f t="shared" si="6"/>
        <v>High</v>
      </c>
      <c r="I101" s="1" t="str">
        <f t="shared" si="7"/>
        <v>Other</v>
      </c>
      <c r="J101" s="1">
        <f t="shared" si="8"/>
        <v>636680.32999999996</v>
      </c>
    </row>
    <row r="102" spans="1:10" ht="12.75">
      <c r="A102" s="1" t="s">
        <v>6</v>
      </c>
      <c r="B102" s="1" t="s">
        <v>5</v>
      </c>
      <c r="C102" s="1" t="s">
        <v>100</v>
      </c>
      <c r="D102" s="2">
        <v>44634</v>
      </c>
      <c r="E102" s="1" t="s">
        <v>163</v>
      </c>
      <c r="F102" s="5">
        <f t="shared" si="5"/>
        <v>5740</v>
      </c>
      <c r="G102" s="1">
        <v>31</v>
      </c>
      <c r="H102" s="1" t="str">
        <f t="shared" si="6"/>
        <v>High</v>
      </c>
      <c r="I102" s="1" t="str">
        <f t="shared" si="7"/>
        <v>Other</v>
      </c>
      <c r="J102" s="1">
        <f t="shared" si="8"/>
        <v>636680.32999999996</v>
      </c>
    </row>
    <row r="103" spans="1:10" ht="12.75">
      <c r="A103" s="1" t="s">
        <v>27</v>
      </c>
      <c r="B103" s="1" t="s">
        <v>59</v>
      </c>
      <c r="C103" s="1" t="s">
        <v>81</v>
      </c>
      <c r="D103" s="2">
        <v>44757</v>
      </c>
      <c r="E103" s="1" t="s">
        <v>164</v>
      </c>
      <c r="F103" s="5">
        <f t="shared" si="5"/>
        <v>1456</v>
      </c>
      <c r="G103" s="1">
        <v>359</v>
      </c>
      <c r="H103" s="1" t="str">
        <f t="shared" si="6"/>
        <v>High</v>
      </c>
      <c r="I103" s="1" t="str">
        <f t="shared" si="7"/>
        <v>Other</v>
      </c>
      <c r="J103" s="1">
        <f t="shared" si="8"/>
        <v>636680.32999999996</v>
      </c>
    </row>
    <row r="104" spans="1:10" ht="12.75">
      <c r="A104" s="1" t="s">
        <v>12</v>
      </c>
      <c r="B104" s="1" t="s">
        <v>42</v>
      </c>
      <c r="C104" s="1" t="s">
        <v>63</v>
      </c>
      <c r="D104" s="2">
        <v>44670</v>
      </c>
      <c r="E104" s="1" t="s">
        <v>165</v>
      </c>
      <c r="F104" s="5">
        <f t="shared" si="5"/>
        <v>5334</v>
      </c>
      <c r="G104" s="1">
        <v>80</v>
      </c>
      <c r="H104" s="1" t="str">
        <f t="shared" si="6"/>
        <v>High</v>
      </c>
      <c r="I104" s="1" t="str">
        <f t="shared" si="7"/>
        <v>Other</v>
      </c>
      <c r="J104" s="1">
        <f t="shared" si="8"/>
        <v>636680.32999999996</v>
      </c>
    </row>
    <row r="105" spans="1:10" ht="12.75">
      <c r="A105" s="1" t="s">
        <v>14</v>
      </c>
      <c r="B105" s="1" t="s">
        <v>59</v>
      </c>
      <c r="C105" s="1" t="s">
        <v>51</v>
      </c>
      <c r="D105" s="2">
        <v>44648</v>
      </c>
      <c r="E105" s="1" t="s">
        <v>166</v>
      </c>
      <c r="F105" s="5">
        <f t="shared" si="5"/>
        <v>4151</v>
      </c>
      <c r="G105" s="1">
        <v>296</v>
      </c>
      <c r="H105" s="1" t="str">
        <f t="shared" si="6"/>
        <v>High</v>
      </c>
      <c r="I105" s="1" t="str">
        <f t="shared" si="7"/>
        <v>Other</v>
      </c>
      <c r="J105" s="1">
        <f t="shared" si="8"/>
        <v>636680.32999999996</v>
      </c>
    </row>
    <row r="106" spans="1:10" ht="12.75">
      <c r="A106" s="1" t="s">
        <v>7</v>
      </c>
      <c r="B106" s="1" t="s">
        <v>62</v>
      </c>
      <c r="C106" s="1" t="s">
        <v>76</v>
      </c>
      <c r="D106" s="2">
        <v>44624</v>
      </c>
      <c r="E106" s="1" t="s">
        <v>167</v>
      </c>
      <c r="F106" s="5">
        <f t="shared" si="5"/>
        <v>8106</v>
      </c>
      <c r="G106" s="1">
        <v>101</v>
      </c>
      <c r="H106" s="1" t="str">
        <f t="shared" si="6"/>
        <v>High</v>
      </c>
      <c r="I106" s="1" t="str">
        <f t="shared" si="7"/>
        <v>Other</v>
      </c>
      <c r="J106" s="1">
        <f t="shared" si="8"/>
        <v>636680.32999999996</v>
      </c>
    </row>
    <row r="107" spans="1:10" ht="12.75">
      <c r="A107" s="1" t="s">
        <v>18</v>
      </c>
      <c r="B107" s="1" t="s">
        <v>54</v>
      </c>
      <c r="C107" s="1" t="s">
        <v>147</v>
      </c>
      <c r="D107" s="2">
        <v>44775</v>
      </c>
      <c r="E107" s="1" t="s">
        <v>168</v>
      </c>
      <c r="F107" s="5">
        <f t="shared" si="5"/>
        <v>126</v>
      </c>
      <c r="G107" s="1">
        <v>40</v>
      </c>
      <c r="H107" s="1" t="str">
        <f t="shared" si="6"/>
        <v>Low</v>
      </c>
      <c r="I107" s="1" t="str">
        <f t="shared" si="7"/>
        <v>Other</v>
      </c>
      <c r="J107" s="1">
        <f t="shared" si="8"/>
        <v>636680.32999999996</v>
      </c>
    </row>
    <row r="108" spans="1:10" ht="12.75">
      <c r="A108" s="1" t="s">
        <v>13</v>
      </c>
      <c r="B108" s="1" t="s">
        <v>39</v>
      </c>
      <c r="C108" s="1" t="s">
        <v>76</v>
      </c>
      <c r="D108" s="2">
        <v>44798</v>
      </c>
      <c r="E108" s="1" t="s">
        <v>169</v>
      </c>
      <c r="F108" s="5">
        <f t="shared" si="5"/>
        <v>4697</v>
      </c>
      <c r="G108" s="1">
        <v>42</v>
      </c>
      <c r="H108" s="1" t="str">
        <f t="shared" si="6"/>
        <v>High</v>
      </c>
      <c r="I108" s="1" t="str">
        <f t="shared" si="7"/>
        <v>Other</v>
      </c>
      <c r="J108" s="1">
        <f t="shared" si="8"/>
        <v>636680.32999999996</v>
      </c>
    </row>
    <row r="109" spans="1:10" ht="12.75">
      <c r="A109" s="1" t="s">
        <v>14</v>
      </c>
      <c r="B109" s="1" t="s">
        <v>59</v>
      </c>
      <c r="C109" s="1" t="s">
        <v>91</v>
      </c>
      <c r="D109" s="2">
        <v>44617</v>
      </c>
      <c r="E109" s="1" t="s">
        <v>170</v>
      </c>
      <c r="F109" s="5">
        <f t="shared" si="5"/>
        <v>7798</v>
      </c>
      <c r="G109" s="1">
        <v>167</v>
      </c>
      <c r="H109" s="1" t="str">
        <f t="shared" si="6"/>
        <v>High</v>
      </c>
      <c r="I109" s="1" t="str">
        <f t="shared" si="7"/>
        <v>Other</v>
      </c>
      <c r="J109" s="1">
        <f t="shared" si="8"/>
        <v>636680.32999999996</v>
      </c>
    </row>
    <row r="110" spans="1:10" ht="12.75">
      <c r="A110" s="1" t="s">
        <v>12</v>
      </c>
      <c r="B110" s="1" t="s">
        <v>42</v>
      </c>
      <c r="C110" s="1" t="s">
        <v>60</v>
      </c>
      <c r="D110" s="2">
        <v>44719</v>
      </c>
      <c r="E110" s="1" t="s">
        <v>171</v>
      </c>
      <c r="F110" s="5">
        <f t="shared" si="5"/>
        <v>9408</v>
      </c>
      <c r="G110" s="1">
        <v>138</v>
      </c>
      <c r="H110" s="1" t="str">
        <f t="shared" si="6"/>
        <v>High</v>
      </c>
      <c r="I110" s="1" t="str">
        <f t="shared" si="7"/>
        <v>Other</v>
      </c>
      <c r="J110" s="1">
        <f t="shared" si="8"/>
        <v>636680.32999999996</v>
      </c>
    </row>
    <row r="111" spans="1:10" ht="12.75">
      <c r="A111" s="1" t="s">
        <v>15</v>
      </c>
      <c r="B111" s="1" t="s">
        <v>42</v>
      </c>
      <c r="C111" s="1" t="s">
        <v>76</v>
      </c>
      <c r="D111" s="2">
        <v>44663</v>
      </c>
      <c r="E111" s="1" t="s">
        <v>172</v>
      </c>
      <c r="F111" s="5">
        <f t="shared" si="5"/>
        <v>1939</v>
      </c>
      <c r="G111" s="1">
        <v>520</v>
      </c>
      <c r="H111" s="1" t="str">
        <f t="shared" si="6"/>
        <v>High</v>
      </c>
      <c r="I111" s="1" t="str">
        <f t="shared" si="7"/>
        <v>Other</v>
      </c>
      <c r="J111" s="1">
        <f t="shared" si="8"/>
        <v>636680.32999999996</v>
      </c>
    </row>
    <row r="112" spans="1:10" ht="12.75">
      <c r="A112" s="1" t="s">
        <v>17</v>
      </c>
      <c r="B112" s="1" t="s">
        <v>42</v>
      </c>
      <c r="C112" s="1" t="s">
        <v>76</v>
      </c>
      <c r="D112" s="2">
        <v>44748</v>
      </c>
      <c r="E112" s="1" t="s">
        <v>173</v>
      </c>
      <c r="F112" s="5">
        <f t="shared" si="5"/>
        <v>10906</v>
      </c>
      <c r="G112" s="1">
        <v>94</v>
      </c>
      <c r="H112" s="1" t="str">
        <f t="shared" si="6"/>
        <v>High</v>
      </c>
      <c r="I112" s="1" t="str">
        <f t="shared" si="7"/>
        <v>Other</v>
      </c>
      <c r="J112" s="1">
        <f t="shared" si="8"/>
        <v>636680.32999999996</v>
      </c>
    </row>
    <row r="113" spans="1:10" ht="12.75">
      <c r="A113" s="1" t="s">
        <v>12</v>
      </c>
      <c r="B113" s="1" t="s">
        <v>39</v>
      </c>
      <c r="C113" s="1" t="s">
        <v>49</v>
      </c>
      <c r="D113" s="2">
        <v>44580</v>
      </c>
      <c r="E113" s="1" t="s">
        <v>174</v>
      </c>
      <c r="F113" s="5">
        <f t="shared" si="5"/>
        <v>5929</v>
      </c>
      <c r="G113" s="1">
        <v>175</v>
      </c>
      <c r="H113" s="1" t="str">
        <f t="shared" si="6"/>
        <v>High</v>
      </c>
      <c r="I113" s="1" t="str">
        <f t="shared" si="7"/>
        <v>Other</v>
      </c>
      <c r="J113" s="1">
        <f t="shared" si="8"/>
        <v>636680.32999999996</v>
      </c>
    </row>
    <row r="114" spans="1:10" ht="12.75">
      <c r="A114" s="1" t="s">
        <v>9</v>
      </c>
      <c r="B114" s="1" t="s">
        <v>5</v>
      </c>
      <c r="C114" s="1" t="s">
        <v>81</v>
      </c>
      <c r="D114" s="2">
        <v>44566</v>
      </c>
      <c r="E114" s="1" t="s">
        <v>175</v>
      </c>
      <c r="F114" s="5">
        <f t="shared" si="5"/>
        <v>5579</v>
      </c>
      <c r="G114" s="1">
        <v>92</v>
      </c>
      <c r="H114" s="1" t="str">
        <f t="shared" si="6"/>
        <v>High</v>
      </c>
      <c r="I114" s="1" t="str">
        <f t="shared" si="7"/>
        <v>Other</v>
      </c>
      <c r="J114" s="1">
        <f t="shared" si="8"/>
        <v>636680.32999999996</v>
      </c>
    </row>
    <row r="115" spans="1:10" ht="12.75">
      <c r="A115" s="1" t="s">
        <v>9</v>
      </c>
      <c r="B115" s="1" t="s">
        <v>62</v>
      </c>
      <c r="C115" s="1" t="s">
        <v>147</v>
      </c>
      <c r="D115" s="2">
        <v>44585</v>
      </c>
      <c r="E115" s="1" t="s">
        <v>176</v>
      </c>
      <c r="F115" s="5">
        <f t="shared" si="5"/>
        <v>10927</v>
      </c>
      <c r="G115" s="1">
        <v>141</v>
      </c>
      <c r="H115" s="1" t="str">
        <f t="shared" si="6"/>
        <v>High</v>
      </c>
      <c r="I115" s="1" t="str">
        <f t="shared" si="7"/>
        <v>Other</v>
      </c>
      <c r="J115" s="1">
        <f t="shared" si="8"/>
        <v>636680.32999999996</v>
      </c>
    </row>
    <row r="116" spans="1:10" ht="12.75">
      <c r="A116" s="1" t="s">
        <v>29</v>
      </c>
      <c r="B116" s="1" t="s">
        <v>5</v>
      </c>
      <c r="C116" s="1" t="s">
        <v>65</v>
      </c>
      <c r="D116" s="2">
        <v>44657</v>
      </c>
      <c r="E116" s="1" t="s">
        <v>177</v>
      </c>
      <c r="F116" s="5">
        <f t="shared" si="5"/>
        <v>623</v>
      </c>
      <c r="G116" s="1">
        <v>283</v>
      </c>
      <c r="H116" s="1" t="str">
        <f t="shared" si="6"/>
        <v>Medium</v>
      </c>
      <c r="I116" s="1" t="str">
        <f t="shared" si="7"/>
        <v>Other</v>
      </c>
      <c r="J116" s="1">
        <f t="shared" si="8"/>
        <v>636680.32999999996</v>
      </c>
    </row>
    <row r="117" spans="1:10" ht="12.75">
      <c r="A117" s="1" t="s">
        <v>23</v>
      </c>
      <c r="B117" s="1" t="s">
        <v>5</v>
      </c>
      <c r="C117" s="1" t="s">
        <v>81</v>
      </c>
      <c r="D117" s="2">
        <v>44727</v>
      </c>
      <c r="E117" s="1" t="s">
        <v>178</v>
      </c>
      <c r="F117" s="5">
        <f t="shared" si="5"/>
        <v>6013</v>
      </c>
      <c r="G117" s="1">
        <v>21</v>
      </c>
      <c r="H117" s="1" t="str">
        <f t="shared" si="6"/>
        <v>High</v>
      </c>
      <c r="I117" s="1" t="str">
        <f t="shared" si="7"/>
        <v>Other</v>
      </c>
      <c r="J117" s="1">
        <f t="shared" si="8"/>
        <v>636680.32999999996</v>
      </c>
    </row>
    <row r="118" spans="1:10" ht="12.75">
      <c r="A118" s="1" t="s">
        <v>20</v>
      </c>
      <c r="B118" s="1" t="s">
        <v>62</v>
      </c>
      <c r="C118" s="1" t="s">
        <v>122</v>
      </c>
      <c r="D118" s="2">
        <v>44589</v>
      </c>
      <c r="E118" s="1" t="s">
        <v>179</v>
      </c>
      <c r="F118" s="5">
        <f t="shared" si="5"/>
        <v>1505</v>
      </c>
      <c r="G118" s="1">
        <v>47</v>
      </c>
      <c r="H118" s="1" t="str">
        <f t="shared" si="6"/>
        <v>High</v>
      </c>
      <c r="I118" s="1" t="str">
        <f t="shared" si="7"/>
        <v>Other</v>
      </c>
      <c r="J118" s="1">
        <f t="shared" si="8"/>
        <v>636680.32999999996</v>
      </c>
    </row>
    <row r="119" spans="1:10" ht="12.75">
      <c r="A119" s="1" t="s">
        <v>12</v>
      </c>
      <c r="B119" s="1" t="s">
        <v>42</v>
      </c>
      <c r="C119" s="1" t="s">
        <v>126</v>
      </c>
      <c r="D119" s="2">
        <v>44636</v>
      </c>
      <c r="E119" s="1" t="s">
        <v>180</v>
      </c>
      <c r="F119" s="5">
        <f t="shared" si="5"/>
        <v>476</v>
      </c>
      <c r="G119" s="1">
        <v>125</v>
      </c>
      <c r="H119" s="1" t="str">
        <f t="shared" si="6"/>
        <v>Low</v>
      </c>
      <c r="I119" s="1" t="str">
        <f t="shared" si="7"/>
        <v>Other</v>
      </c>
      <c r="J119" s="1">
        <f t="shared" si="8"/>
        <v>636680.32999999996</v>
      </c>
    </row>
    <row r="120" spans="1:10" ht="12.75">
      <c r="A120" s="1" t="s">
        <v>19</v>
      </c>
      <c r="B120" s="1" t="s">
        <v>5</v>
      </c>
      <c r="C120" s="1" t="s">
        <v>65</v>
      </c>
      <c r="D120" s="2">
        <v>44613</v>
      </c>
      <c r="E120" s="1" t="s">
        <v>181</v>
      </c>
      <c r="F120" s="5">
        <f t="shared" si="5"/>
        <v>11550</v>
      </c>
      <c r="G120" s="1">
        <v>396</v>
      </c>
      <c r="H120" s="1" t="str">
        <f t="shared" si="6"/>
        <v>High</v>
      </c>
      <c r="I120" s="1" t="str">
        <f t="shared" si="7"/>
        <v>Other</v>
      </c>
      <c r="J120" s="1">
        <f t="shared" si="8"/>
        <v>636680.32999999996</v>
      </c>
    </row>
    <row r="121" spans="1:10" ht="12.75">
      <c r="A121" s="1" t="s">
        <v>12</v>
      </c>
      <c r="B121" s="1" t="s">
        <v>59</v>
      </c>
      <c r="C121" s="1" t="s">
        <v>86</v>
      </c>
      <c r="D121" s="2">
        <v>44608</v>
      </c>
      <c r="E121" s="1" t="s">
        <v>182</v>
      </c>
      <c r="F121" s="5">
        <f t="shared" si="5"/>
        <v>17318</v>
      </c>
      <c r="G121" s="1">
        <v>87</v>
      </c>
      <c r="H121" s="1" t="str">
        <f t="shared" si="6"/>
        <v>High</v>
      </c>
      <c r="I121" s="1" t="str">
        <f t="shared" si="7"/>
        <v>Other</v>
      </c>
      <c r="J121" s="1">
        <f t="shared" si="8"/>
        <v>636680.32999999996</v>
      </c>
    </row>
    <row r="122" spans="1:10" ht="12.75">
      <c r="A122" s="1" t="s">
        <v>11</v>
      </c>
      <c r="B122" s="1" t="s">
        <v>62</v>
      </c>
      <c r="C122" s="1" t="s">
        <v>76</v>
      </c>
      <c r="D122" s="2">
        <v>44574</v>
      </c>
      <c r="E122" s="1" t="s">
        <v>183</v>
      </c>
      <c r="F122" s="5">
        <f t="shared" si="5"/>
        <v>1848</v>
      </c>
      <c r="G122" s="1">
        <v>27</v>
      </c>
      <c r="H122" s="1" t="str">
        <f t="shared" si="6"/>
        <v>High</v>
      </c>
      <c r="I122" s="1" t="str">
        <f t="shared" si="7"/>
        <v>Other</v>
      </c>
      <c r="J122" s="1">
        <f t="shared" si="8"/>
        <v>636680.32999999996</v>
      </c>
    </row>
    <row r="123" spans="1:10" ht="12.75">
      <c r="A123" s="1" t="s">
        <v>12</v>
      </c>
      <c r="B123" s="1" t="s">
        <v>5</v>
      </c>
      <c r="C123" s="1" t="s">
        <v>63</v>
      </c>
      <c r="D123" s="2">
        <v>44643</v>
      </c>
      <c r="E123" s="1" t="s">
        <v>184</v>
      </c>
      <c r="F123" s="5">
        <f t="shared" si="5"/>
        <v>7273</v>
      </c>
      <c r="G123" s="1">
        <v>547</v>
      </c>
      <c r="H123" s="1" t="str">
        <f t="shared" si="6"/>
        <v>High</v>
      </c>
      <c r="I123" s="1" t="str">
        <f t="shared" si="7"/>
        <v>Other</v>
      </c>
      <c r="J123" s="1">
        <f t="shared" si="8"/>
        <v>636680.32999999996</v>
      </c>
    </row>
    <row r="124" spans="1:10" ht="12.75">
      <c r="A124" s="1" t="s">
        <v>24</v>
      </c>
      <c r="B124" s="1" t="s">
        <v>62</v>
      </c>
      <c r="C124" s="1" t="s">
        <v>76</v>
      </c>
      <c r="D124" s="2">
        <v>44728</v>
      </c>
      <c r="E124" s="1" t="s">
        <v>185</v>
      </c>
      <c r="F124" s="5">
        <f t="shared" si="5"/>
        <v>854</v>
      </c>
      <c r="G124" s="1">
        <v>118</v>
      </c>
      <c r="H124" s="1" t="str">
        <f t="shared" si="6"/>
        <v>High</v>
      </c>
      <c r="I124" s="1" t="str">
        <f t="shared" si="7"/>
        <v>Other</v>
      </c>
      <c r="J124" s="1">
        <f t="shared" si="8"/>
        <v>636680.32999999996</v>
      </c>
    </row>
    <row r="125" spans="1:10" ht="12.75">
      <c r="A125" s="1" t="s">
        <v>22</v>
      </c>
      <c r="B125" s="1" t="s">
        <v>42</v>
      </c>
      <c r="C125" s="1" t="s">
        <v>100</v>
      </c>
      <c r="D125" s="2">
        <v>44665</v>
      </c>
      <c r="E125" s="1" t="s">
        <v>186</v>
      </c>
      <c r="F125" s="5">
        <f t="shared" si="5"/>
        <v>6832</v>
      </c>
      <c r="G125" s="1">
        <v>46</v>
      </c>
      <c r="H125" s="1" t="str">
        <f t="shared" si="6"/>
        <v>High</v>
      </c>
      <c r="I125" s="1" t="str">
        <f t="shared" si="7"/>
        <v>Other</v>
      </c>
      <c r="J125" s="1">
        <f t="shared" si="8"/>
        <v>636680.32999999996</v>
      </c>
    </row>
    <row r="126" spans="1:10" ht="12.75">
      <c r="A126" s="1" t="s">
        <v>12</v>
      </c>
      <c r="B126" s="1" t="s">
        <v>39</v>
      </c>
      <c r="C126" s="1" t="s">
        <v>63</v>
      </c>
      <c r="D126" s="2">
        <v>44586</v>
      </c>
      <c r="E126" s="1" t="s">
        <v>187</v>
      </c>
      <c r="F126" s="5">
        <f t="shared" si="5"/>
        <v>4606</v>
      </c>
      <c r="G126" s="1">
        <v>57</v>
      </c>
      <c r="H126" s="1" t="str">
        <f t="shared" si="6"/>
        <v>High</v>
      </c>
      <c r="I126" s="1" t="str">
        <f t="shared" si="7"/>
        <v>Other</v>
      </c>
      <c r="J126" s="1">
        <f t="shared" si="8"/>
        <v>636680.32999999996</v>
      </c>
    </row>
    <row r="127" spans="1:10" ht="12.75">
      <c r="A127" s="1" t="s">
        <v>15</v>
      </c>
      <c r="B127" s="1" t="s">
        <v>42</v>
      </c>
      <c r="C127" s="1" t="s">
        <v>91</v>
      </c>
      <c r="D127" s="2">
        <v>44631</v>
      </c>
      <c r="E127" s="1" t="s">
        <v>188</v>
      </c>
      <c r="F127" s="5">
        <f t="shared" si="5"/>
        <v>4466</v>
      </c>
      <c r="G127" s="1">
        <v>22</v>
      </c>
      <c r="H127" s="1" t="str">
        <f t="shared" si="6"/>
        <v>High</v>
      </c>
      <c r="I127" s="1" t="str">
        <f t="shared" si="7"/>
        <v>Other</v>
      </c>
      <c r="J127" s="1">
        <f t="shared" si="8"/>
        <v>636680.32999999996</v>
      </c>
    </row>
    <row r="128" spans="1:10" ht="12.75">
      <c r="A128" s="1" t="s">
        <v>21</v>
      </c>
      <c r="B128" s="1" t="s">
        <v>39</v>
      </c>
      <c r="C128" s="1" t="s">
        <v>91</v>
      </c>
      <c r="D128" s="2">
        <v>44770</v>
      </c>
      <c r="E128" s="1" t="s">
        <v>189</v>
      </c>
      <c r="F128" s="5">
        <f t="shared" si="5"/>
        <v>16114</v>
      </c>
      <c r="G128" s="1">
        <v>96</v>
      </c>
      <c r="H128" s="1" t="str">
        <f t="shared" si="6"/>
        <v>High</v>
      </c>
      <c r="I128" s="1" t="str">
        <f t="shared" si="7"/>
        <v>Other</v>
      </c>
      <c r="J128" s="1">
        <f t="shared" si="8"/>
        <v>636680.32999999996</v>
      </c>
    </row>
    <row r="129" spans="1:10" ht="12.75">
      <c r="A129" s="1" t="s">
        <v>14</v>
      </c>
      <c r="B129" s="1" t="s">
        <v>54</v>
      </c>
      <c r="C129" s="1" t="s">
        <v>52</v>
      </c>
      <c r="D129" s="2">
        <v>44629</v>
      </c>
      <c r="E129" s="1" t="s">
        <v>190</v>
      </c>
      <c r="F129" s="5">
        <f t="shared" si="5"/>
        <v>1561</v>
      </c>
      <c r="G129" s="1">
        <v>44</v>
      </c>
      <c r="H129" s="1" t="str">
        <f t="shared" si="6"/>
        <v>High</v>
      </c>
      <c r="I129" s="1" t="str">
        <f t="shared" si="7"/>
        <v>Other</v>
      </c>
      <c r="J129" s="1">
        <f t="shared" si="8"/>
        <v>636680.32999999996</v>
      </c>
    </row>
    <row r="130" spans="1:10" ht="12.75">
      <c r="A130" s="1" t="s">
        <v>13</v>
      </c>
      <c r="B130" s="1" t="s">
        <v>5</v>
      </c>
      <c r="C130" s="1" t="s">
        <v>60</v>
      </c>
      <c r="D130" s="2">
        <v>44740</v>
      </c>
      <c r="E130" s="1" t="s">
        <v>191</v>
      </c>
      <c r="F130" s="5">
        <f t="shared" ref="F130:F193" si="9">VALUE(SUBSTITUTE(E130,"$",""))</f>
        <v>8897</v>
      </c>
      <c r="G130" s="1">
        <v>188</v>
      </c>
      <c r="H130" s="1" t="str">
        <f t="shared" ref="H130:H193" si="10">IF(F130&gt;800,"High",IF(F130&gt;500,"Medium","Low"))</f>
        <v>High</v>
      </c>
      <c r="I130" s="1" t="str">
        <f t="shared" ref="I130:I193" si="11">IF(AND(B130="Australia",A130="Mallorie Waber"),"Top Local","Other")</f>
        <v>Other</v>
      </c>
      <c r="J130" s="1">
        <f t="shared" ref="J130:J193" si="12">SUMIF(A130:A3410,"Mallorie Waber",F130:F3410)</f>
        <v>636680.32999999996</v>
      </c>
    </row>
    <row r="131" spans="1:10" ht="12.75">
      <c r="A131" s="1" t="s">
        <v>14</v>
      </c>
      <c r="B131" s="1" t="s">
        <v>5</v>
      </c>
      <c r="C131" s="1" t="s">
        <v>72</v>
      </c>
      <c r="D131" s="2">
        <v>44770</v>
      </c>
      <c r="E131" s="1" t="s">
        <v>192</v>
      </c>
      <c r="F131" s="5">
        <f t="shared" si="9"/>
        <v>2464</v>
      </c>
      <c r="G131" s="1">
        <v>387</v>
      </c>
      <c r="H131" s="1" t="str">
        <f t="shared" si="10"/>
        <v>High</v>
      </c>
      <c r="I131" s="1" t="str">
        <f t="shared" si="11"/>
        <v>Other</v>
      </c>
      <c r="J131" s="1">
        <f t="shared" si="12"/>
        <v>636680.32999999996</v>
      </c>
    </row>
    <row r="132" spans="1:10" ht="12.75">
      <c r="A132" s="1" t="s">
        <v>12</v>
      </c>
      <c r="B132" s="1" t="s">
        <v>62</v>
      </c>
      <c r="C132" s="1" t="s">
        <v>51</v>
      </c>
      <c r="D132" s="2">
        <v>44788</v>
      </c>
      <c r="E132" s="1" t="s">
        <v>193</v>
      </c>
      <c r="F132" s="5">
        <f t="shared" si="9"/>
        <v>4830</v>
      </c>
      <c r="G132" s="1">
        <v>50</v>
      </c>
      <c r="H132" s="1" t="str">
        <f t="shared" si="10"/>
        <v>High</v>
      </c>
      <c r="I132" s="1" t="str">
        <f t="shared" si="11"/>
        <v>Other</v>
      </c>
      <c r="J132" s="1">
        <f t="shared" si="12"/>
        <v>636680.32999999996</v>
      </c>
    </row>
    <row r="133" spans="1:10" ht="12.75">
      <c r="A133" s="1" t="s">
        <v>8</v>
      </c>
      <c r="B133" s="1" t="s">
        <v>5</v>
      </c>
      <c r="C133" s="1" t="s">
        <v>86</v>
      </c>
      <c r="D133" s="2">
        <v>44573</v>
      </c>
      <c r="E133" s="1" t="s">
        <v>194</v>
      </c>
      <c r="F133" s="5">
        <f t="shared" si="9"/>
        <v>2765</v>
      </c>
      <c r="G133" s="1">
        <v>264</v>
      </c>
      <c r="H133" s="1" t="str">
        <f t="shared" si="10"/>
        <v>High</v>
      </c>
      <c r="I133" s="1" t="str">
        <f t="shared" si="11"/>
        <v>Other</v>
      </c>
      <c r="J133" s="1">
        <f t="shared" si="12"/>
        <v>636680.32999999996</v>
      </c>
    </row>
    <row r="134" spans="1:10" ht="12.75">
      <c r="A134" s="1" t="s">
        <v>28</v>
      </c>
      <c r="B134" s="1" t="s">
        <v>54</v>
      </c>
      <c r="C134" s="1" t="s">
        <v>84</v>
      </c>
      <c r="D134" s="2">
        <v>44644</v>
      </c>
      <c r="E134" s="1" t="s">
        <v>195</v>
      </c>
      <c r="F134" s="5">
        <f t="shared" si="9"/>
        <v>7126</v>
      </c>
      <c r="G134" s="1">
        <v>7</v>
      </c>
      <c r="H134" s="1" t="str">
        <f t="shared" si="10"/>
        <v>High</v>
      </c>
      <c r="I134" s="1" t="str">
        <f t="shared" si="11"/>
        <v>Other</v>
      </c>
      <c r="J134" s="1">
        <f t="shared" si="12"/>
        <v>636680.32999999996</v>
      </c>
    </row>
    <row r="135" spans="1:10" ht="12.75">
      <c r="A135" s="1" t="s">
        <v>10</v>
      </c>
      <c r="B135" s="1" t="s">
        <v>39</v>
      </c>
      <c r="C135" s="1" t="s">
        <v>72</v>
      </c>
      <c r="D135" s="2">
        <v>44767</v>
      </c>
      <c r="E135" s="1" t="s">
        <v>196</v>
      </c>
      <c r="F135" s="5">
        <f t="shared" si="9"/>
        <v>4263</v>
      </c>
      <c r="G135" s="1">
        <v>90</v>
      </c>
      <c r="H135" s="1" t="str">
        <f t="shared" si="10"/>
        <v>High</v>
      </c>
      <c r="I135" s="1" t="str">
        <f t="shared" si="11"/>
        <v>Other</v>
      </c>
      <c r="J135" s="1">
        <f t="shared" si="12"/>
        <v>636680.32999999996</v>
      </c>
    </row>
    <row r="136" spans="1:10" ht="12.75">
      <c r="A136" s="1" t="s">
        <v>22</v>
      </c>
      <c r="B136" s="1" t="s">
        <v>62</v>
      </c>
      <c r="C136" s="1" t="s">
        <v>51</v>
      </c>
      <c r="D136" s="2">
        <v>44774</v>
      </c>
      <c r="E136" s="1" t="s">
        <v>197</v>
      </c>
      <c r="F136" s="5">
        <f t="shared" si="9"/>
        <v>3605</v>
      </c>
      <c r="G136" s="1">
        <v>403</v>
      </c>
      <c r="H136" s="1" t="str">
        <f t="shared" si="10"/>
        <v>High</v>
      </c>
      <c r="I136" s="1" t="str">
        <f t="shared" si="11"/>
        <v>Other</v>
      </c>
      <c r="J136" s="1">
        <f t="shared" si="12"/>
        <v>636680.32999999996</v>
      </c>
    </row>
    <row r="137" spans="1:10" ht="12.75">
      <c r="A137" s="1" t="s">
        <v>10</v>
      </c>
      <c r="B137" s="1" t="s">
        <v>42</v>
      </c>
      <c r="C137" s="1" t="s">
        <v>68</v>
      </c>
      <c r="D137" s="2">
        <v>44697</v>
      </c>
      <c r="E137" s="1" t="s">
        <v>198</v>
      </c>
      <c r="F137" s="5">
        <f t="shared" si="9"/>
        <v>19929</v>
      </c>
      <c r="G137" s="1">
        <v>174</v>
      </c>
      <c r="H137" s="1" t="str">
        <f t="shared" si="10"/>
        <v>High</v>
      </c>
      <c r="I137" s="1" t="str">
        <f t="shared" si="11"/>
        <v>Other</v>
      </c>
      <c r="J137" s="1">
        <f t="shared" si="12"/>
        <v>636680.32999999996</v>
      </c>
    </row>
    <row r="138" spans="1:10" ht="12.75">
      <c r="A138" s="1" t="s">
        <v>26</v>
      </c>
      <c r="B138" s="1" t="s">
        <v>42</v>
      </c>
      <c r="C138" s="1" t="s">
        <v>49</v>
      </c>
      <c r="D138" s="2">
        <v>44783</v>
      </c>
      <c r="E138" s="1" t="s">
        <v>199</v>
      </c>
      <c r="F138" s="5">
        <f t="shared" si="9"/>
        <v>5103</v>
      </c>
      <c r="G138" s="1">
        <v>140</v>
      </c>
      <c r="H138" s="1" t="str">
        <f t="shared" si="10"/>
        <v>High</v>
      </c>
      <c r="I138" s="1" t="str">
        <f t="shared" si="11"/>
        <v>Other</v>
      </c>
      <c r="J138" s="1">
        <f t="shared" si="12"/>
        <v>636680.32999999996</v>
      </c>
    </row>
    <row r="139" spans="1:10" ht="12.75">
      <c r="A139" s="1" t="s">
        <v>15</v>
      </c>
      <c r="B139" s="1" t="s">
        <v>42</v>
      </c>
      <c r="C139" s="1" t="s">
        <v>63</v>
      </c>
      <c r="D139" s="2">
        <v>44566</v>
      </c>
      <c r="E139" s="1" t="s">
        <v>200</v>
      </c>
      <c r="F139" s="5">
        <f t="shared" si="9"/>
        <v>2541</v>
      </c>
      <c r="G139" s="1">
        <v>27</v>
      </c>
      <c r="H139" s="1" t="str">
        <f t="shared" si="10"/>
        <v>High</v>
      </c>
      <c r="I139" s="1" t="str">
        <f t="shared" si="11"/>
        <v>Other</v>
      </c>
      <c r="J139" s="1">
        <f t="shared" si="12"/>
        <v>636680.32999999996</v>
      </c>
    </row>
    <row r="140" spans="1:10" ht="12.75">
      <c r="A140" s="1" t="s">
        <v>17</v>
      </c>
      <c r="B140" s="1" t="s">
        <v>39</v>
      </c>
      <c r="C140" s="1" t="s">
        <v>49</v>
      </c>
      <c r="D140" s="2">
        <v>44753</v>
      </c>
      <c r="E140" s="1" t="s">
        <v>201</v>
      </c>
      <c r="F140" s="5">
        <f t="shared" si="9"/>
        <v>5663</v>
      </c>
      <c r="G140" s="1">
        <v>110</v>
      </c>
      <c r="H140" s="1" t="str">
        <f t="shared" si="10"/>
        <v>High</v>
      </c>
      <c r="I140" s="1" t="str">
        <f t="shared" si="11"/>
        <v>Other</v>
      </c>
      <c r="J140" s="1">
        <f t="shared" si="12"/>
        <v>636680.32999999996</v>
      </c>
    </row>
    <row r="141" spans="1:10" ht="12.75">
      <c r="A141" s="1" t="s">
        <v>29</v>
      </c>
      <c r="B141" s="1" t="s">
        <v>59</v>
      </c>
      <c r="C141" s="1" t="s">
        <v>52</v>
      </c>
      <c r="D141" s="2">
        <v>44676</v>
      </c>
      <c r="E141" s="1" t="s">
        <v>202</v>
      </c>
      <c r="F141" s="5">
        <f t="shared" si="9"/>
        <v>392</v>
      </c>
      <c r="G141" s="1">
        <v>30</v>
      </c>
      <c r="H141" s="1" t="str">
        <f t="shared" si="10"/>
        <v>Low</v>
      </c>
      <c r="I141" s="1" t="str">
        <f t="shared" si="11"/>
        <v>Other</v>
      </c>
      <c r="J141" s="1">
        <f t="shared" si="12"/>
        <v>636680.32999999996</v>
      </c>
    </row>
    <row r="142" spans="1:10" ht="12.75">
      <c r="A142" s="1" t="s">
        <v>20</v>
      </c>
      <c r="B142" s="1" t="s">
        <v>54</v>
      </c>
      <c r="C142" s="1" t="s">
        <v>81</v>
      </c>
      <c r="D142" s="2">
        <v>44655</v>
      </c>
      <c r="E142" s="1" t="s">
        <v>203</v>
      </c>
      <c r="F142" s="5">
        <f t="shared" si="9"/>
        <v>10976</v>
      </c>
      <c r="G142" s="1">
        <v>121</v>
      </c>
      <c r="H142" s="1" t="str">
        <f t="shared" si="10"/>
        <v>High</v>
      </c>
      <c r="I142" s="1" t="str">
        <f t="shared" si="11"/>
        <v>Other</v>
      </c>
      <c r="J142" s="1">
        <f t="shared" si="12"/>
        <v>636680.32999999996</v>
      </c>
    </row>
    <row r="143" spans="1:10" ht="12.75">
      <c r="A143" s="1" t="s">
        <v>16</v>
      </c>
      <c r="B143" s="1" t="s">
        <v>59</v>
      </c>
      <c r="C143" s="1" t="s">
        <v>100</v>
      </c>
      <c r="D143" s="2">
        <v>44663</v>
      </c>
      <c r="E143" s="1" t="s">
        <v>204</v>
      </c>
      <c r="F143" s="5">
        <f t="shared" si="9"/>
        <v>9282</v>
      </c>
      <c r="G143" s="1">
        <v>101</v>
      </c>
      <c r="H143" s="1" t="str">
        <f t="shared" si="10"/>
        <v>High</v>
      </c>
      <c r="I143" s="1" t="str">
        <f t="shared" si="11"/>
        <v>Other</v>
      </c>
      <c r="J143" s="1">
        <f t="shared" si="12"/>
        <v>636680.32999999996</v>
      </c>
    </row>
    <row r="144" spans="1:10" ht="12.75">
      <c r="A144" s="1" t="s">
        <v>29</v>
      </c>
      <c r="B144" s="1" t="s">
        <v>54</v>
      </c>
      <c r="C144" s="1" t="s">
        <v>43</v>
      </c>
      <c r="D144" s="2">
        <v>44775</v>
      </c>
      <c r="E144" s="1" t="s">
        <v>159</v>
      </c>
      <c r="F144" s="5">
        <f t="shared" si="9"/>
        <v>1827</v>
      </c>
      <c r="G144" s="1">
        <v>117</v>
      </c>
      <c r="H144" s="1" t="str">
        <f t="shared" si="10"/>
        <v>High</v>
      </c>
      <c r="I144" s="1" t="str">
        <f t="shared" si="11"/>
        <v>Other</v>
      </c>
      <c r="J144" s="1">
        <f t="shared" si="12"/>
        <v>636680.32999999996</v>
      </c>
    </row>
    <row r="145" spans="1:10" ht="12.75">
      <c r="A145" s="1" t="s">
        <v>20</v>
      </c>
      <c r="B145" s="1" t="s">
        <v>54</v>
      </c>
      <c r="C145" s="1" t="s">
        <v>86</v>
      </c>
      <c r="D145" s="2">
        <v>44740</v>
      </c>
      <c r="E145" s="1" t="s">
        <v>205</v>
      </c>
      <c r="F145" s="5">
        <f t="shared" si="9"/>
        <v>8267</v>
      </c>
      <c r="G145" s="1">
        <v>272</v>
      </c>
      <c r="H145" s="1" t="str">
        <f t="shared" si="10"/>
        <v>High</v>
      </c>
      <c r="I145" s="1" t="str">
        <f t="shared" si="11"/>
        <v>Other</v>
      </c>
      <c r="J145" s="1">
        <f t="shared" si="12"/>
        <v>636680.32999999996</v>
      </c>
    </row>
    <row r="146" spans="1:10" ht="12.75">
      <c r="A146" s="1" t="s">
        <v>17</v>
      </c>
      <c r="B146" s="1" t="s">
        <v>5</v>
      </c>
      <c r="C146" s="1" t="s">
        <v>63</v>
      </c>
      <c r="D146" s="2">
        <v>44747</v>
      </c>
      <c r="E146" s="1" t="s">
        <v>206</v>
      </c>
      <c r="F146" s="5">
        <f t="shared" si="9"/>
        <v>4116</v>
      </c>
      <c r="G146" s="1">
        <v>128</v>
      </c>
      <c r="H146" s="1" t="str">
        <f t="shared" si="10"/>
        <v>High</v>
      </c>
      <c r="I146" s="1" t="str">
        <f t="shared" si="11"/>
        <v>Other</v>
      </c>
      <c r="J146" s="1">
        <f t="shared" si="12"/>
        <v>636680.32999999996</v>
      </c>
    </row>
    <row r="147" spans="1:10" ht="12.75">
      <c r="A147" s="1" t="s">
        <v>19</v>
      </c>
      <c r="B147" s="1" t="s">
        <v>54</v>
      </c>
      <c r="C147" s="1" t="s">
        <v>102</v>
      </c>
      <c r="D147" s="2">
        <v>44719</v>
      </c>
      <c r="E147" s="1" t="s">
        <v>207</v>
      </c>
      <c r="F147" s="5">
        <f t="shared" si="9"/>
        <v>2093</v>
      </c>
      <c r="G147" s="1">
        <v>45</v>
      </c>
      <c r="H147" s="1" t="str">
        <f t="shared" si="10"/>
        <v>High</v>
      </c>
      <c r="I147" s="1" t="str">
        <f t="shared" si="11"/>
        <v>Other</v>
      </c>
      <c r="J147" s="1">
        <f t="shared" si="12"/>
        <v>636680.32999999996</v>
      </c>
    </row>
    <row r="148" spans="1:10" ht="12.75">
      <c r="A148" s="1" t="s">
        <v>7</v>
      </c>
      <c r="B148" s="1" t="s">
        <v>54</v>
      </c>
      <c r="C148" s="1" t="s">
        <v>49</v>
      </c>
      <c r="D148" s="2">
        <v>44579</v>
      </c>
      <c r="E148" s="1" t="s">
        <v>208</v>
      </c>
      <c r="F148" s="5">
        <f t="shared" si="9"/>
        <v>1015</v>
      </c>
      <c r="G148" s="1">
        <v>27</v>
      </c>
      <c r="H148" s="1" t="str">
        <f t="shared" si="10"/>
        <v>High</v>
      </c>
      <c r="I148" s="1" t="str">
        <f t="shared" si="11"/>
        <v>Other</v>
      </c>
      <c r="J148" s="1">
        <f t="shared" si="12"/>
        <v>636680.32999999996</v>
      </c>
    </row>
    <row r="149" spans="1:10" ht="12.75">
      <c r="A149" s="1" t="s">
        <v>7</v>
      </c>
      <c r="B149" s="1" t="s">
        <v>5</v>
      </c>
      <c r="C149" s="1" t="s">
        <v>122</v>
      </c>
      <c r="D149" s="2">
        <v>44565</v>
      </c>
      <c r="E149" s="1" t="s">
        <v>209</v>
      </c>
      <c r="F149" s="5">
        <f t="shared" si="9"/>
        <v>12516</v>
      </c>
      <c r="G149" s="1">
        <v>212</v>
      </c>
      <c r="H149" s="1" t="str">
        <f t="shared" si="10"/>
        <v>High</v>
      </c>
      <c r="I149" s="1" t="str">
        <f t="shared" si="11"/>
        <v>Other</v>
      </c>
      <c r="J149" s="1">
        <f t="shared" si="12"/>
        <v>636680.32999999996</v>
      </c>
    </row>
    <row r="150" spans="1:10" ht="12.75">
      <c r="A150" s="1" t="s">
        <v>6</v>
      </c>
      <c r="B150" s="1" t="s">
        <v>5</v>
      </c>
      <c r="C150" s="1" t="s">
        <v>51</v>
      </c>
      <c r="D150" s="2">
        <v>44592</v>
      </c>
      <c r="E150" s="1" t="s">
        <v>210</v>
      </c>
      <c r="F150" s="5">
        <f t="shared" si="9"/>
        <v>2758</v>
      </c>
      <c r="G150" s="1">
        <v>18</v>
      </c>
      <c r="H150" s="1" t="str">
        <f t="shared" si="10"/>
        <v>High</v>
      </c>
      <c r="I150" s="1" t="str">
        <f t="shared" si="11"/>
        <v>Other</v>
      </c>
      <c r="J150" s="1">
        <f t="shared" si="12"/>
        <v>636680.32999999996</v>
      </c>
    </row>
    <row r="151" spans="1:10" ht="12.75">
      <c r="A151" s="1" t="s">
        <v>12</v>
      </c>
      <c r="B151" s="1" t="s">
        <v>42</v>
      </c>
      <c r="C151" s="1" t="s">
        <v>91</v>
      </c>
      <c r="D151" s="2">
        <v>44634</v>
      </c>
      <c r="E151" s="1" t="s">
        <v>211</v>
      </c>
      <c r="F151" s="5">
        <f t="shared" si="9"/>
        <v>3297</v>
      </c>
      <c r="G151" s="1">
        <v>149</v>
      </c>
      <c r="H151" s="1" t="str">
        <f t="shared" si="10"/>
        <v>High</v>
      </c>
      <c r="I151" s="1" t="str">
        <f t="shared" si="11"/>
        <v>Other</v>
      </c>
      <c r="J151" s="1">
        <f t="shared" si="12"/>
        <v>636680.32999999996</v>
      </c>
    </row>
    <row r="152" spans="1:10" ht="12.75">
      <c r="A152" s="1" t="s">
        <v>25</v>
      </c>
      <c r="B152" s="1" t="s">
        <v>5</v>
      </c>
      <c r="C152" s="1" t="s">
        <v>147</v>
      </c>
      <c r="D152" s="2">
        <v>44680</v>
      </c>
      <c r="E152" s="1" t="s">
        <v>212</v>
      </c>
      <c r="F152" s="5">
        <f t="shared" si="9"/>
        <v>6048</v>
      </c>
      <c r="G152" s="1">
        <v>477</v>
      </c>
      <c r="H152" s="1" t="str">
        <f t="shared" si="10"/>
        <v>High</v>
      </c>
      <c r="I152" s="1" t="str">
        <f t="shared" si="11"/>
        <v>Other</v>
      </c>
      <c r="J152" s="1">
        <f t="shared" si="12"/>
        <v>636680.32999999996</v>
      </c>
    </row>
    <row r="153" spans="1:10" ht="12.75">
      <c r="A153" s="1" t="s">
        <v>22</v>
      </c>
      <c r="B153" s="1" t="s">
        <v>42</v>
      </c>
      <c r="C153" s="1" t="s">
        <v>49</v>
      </c>
      <c r="D153" s="2">
        <v>44599</v>
      </c>
      <c r="E153" s="1" t="s">
        <v>213</v>
      </c>
      <c r="F153" s="5">
        <f t="shared" si="9"/>
        <v>10101</v>
      </c>
      <c r="G153" s="1">
        <v>108</v>
      </c>
      <c r="H153" s="1" t="str">
        <f t="shared" si="10"/>
        <v>High</v>
      </c>
      <c r="I153" s="1" t="str">
        <f t="shared" si="11"/>
        <v>Other</v>
      </c>
      <c r="J153" s="1">
        <f t="shared" si="12"/>
        <v>636680.32999999996</v>
      </c>
    </row>
    <row r="154" spans="1:10" ht="12.75">
      <c r="A154" s="1" t="s">
        <v>8</v>
      </c>
      <c r="B154" s="1" t="s">
        <v>39</v>
      </c>
      <c r="C154" s="1" t="s">
        <v>68</v>
      </c>
      <c r="D154" s="2">
        <v>44651</v>
      </c>
      <c r="E154" s="1" t="s">
        <v>214</v>
      </c>
      <c r="F154" s="5">
        <f t="shared" si="9"/>
        <v>2282</v>
      </c>
      <c r="G154" s="1">
        <v>178</v>
      </c>
      <c r="H154" s="1" t="str">
        <f t="shared" si="10"/>
        <v>High</v>
      </c>
      <c r="I154" s="1" t="str">
        <f t="shared" si="11"/>
        <v>Other</v>
      </c>
      <c r="J154" s="1">
        <f t="shared" si="12"/>
        <v>636680.32999999996</v>
      </c>
    </row>
    <row r="155" spans="1:10" ht="12.75">
      <c r="A155" s="1" t="s">
        <v>14</v>
      </c>
      <c r="B155" s="1" t="s">
        <v>42</v>
      </c>
      <c r="C155" s="1" t="s">
        <v>126</v>
      </c>
      <c r="D155" s="2">
        <v>44636</v>
      </c>
      <c r="E155" s="1" t="s">
        <v>215</v>
      </c>
      <c r="F155" s="5">
        <f t="shared" si="9"/>
        <v>4361</v>
      </c>
      <c r="G155" s="1">
        <v>81</v>
      </c>
      <c r="H155" s="1" t="str">
        <f t="shared" si="10"/>
        <v>High</v>
      </c>
      <c r="I155" s="1" t="str">
        <f t="shared" si="11"/>
        <v>Other</v>
      </c>
      <c r="J155" s="1">
        <f t="shared" si="12"/>
        <v>636680.32999999996</v>
      </c>
    </row>
    <row r="156" spans="1:10" ht="12.75">
      <c r="A156" s="1" t="s">
        <v>18</v>
      </c>
      <c r="B156" s="1" t="s">
        <v>39</v>
      </c>
      <c r="C156" s="1" t="s">
        <v>63</v>
      </c>
      <c r="D156" s="2">
        <v>44586</v>
      </c>
      <c r="E156" s="1" t="s">
        <v>170</v>
      </c>
      <c r="F156" s="5">
        <f t="shared" si="9"/>
        <v>7798</v>
      </c>
      <c r="G156" s="1">
        <v>196</v>
      </c>
      <c r="H156" s="1" t="str">
        <f t="shared" si="10"/>
        <v>High</v>
      </c>
      <c r="I156" s="1" t="str">
        <f t="shared" si="11"/>
        <v>Other</v>
      </c>
      <c r="J156" s="1">
        <f t="shared" si="12"/>
        <v>636680.32999999996</v>
      </c>
    </row>
    <row r="157" spans="1:10" ht="12.75">
      <c r="A157" s="1" t="s">
        <v>10</v>
      </c>
      <c r="B157" s="1" t="s">
        <v>42</v>
      </c>
      <c r="C157" s="1" t="s">
        <v>122</v>
      </c>
      <c r="D157" s="2">
        <v>44732</v>
      </c>
      <c r="E157" s="1" t="s">
        <v>216</v>
      </c>
      <c r="F157" s="5">
        <f t="shared" si="9"/>
        <v>3052</v>
      </c>
      <c r="G157" s="1">
        <v>447</v>
      </c>
      <c r="H157" s="1" t="str">
        <f t="shared" si="10"/>
        <v>High</v>
      </c>
      <c r="I157" s="1" t="str">
        <f t="shared" si="11"/>
        <v>Other</v>
      </c>
      <c r="J157" s="1">
        <f t="shared" si="12"/>
        <v>636680.32999999996</v>
      </c>
    </row>
    <row r="158" spans="1:10" ht="12.75">
      <c r="A158" s="1" t="s">
        <v>20</v>
      </c>
      <c r="B158" s="1" t="s">
        <v>39</v>
      </c>
      <c r="C158" s="1" t="s">
        <v>52</v>
      </c>
      <c r="D158" s="2">
        <v>44649</v>
      </c>
      <c r="E158" s="1" t="s">
        <v>217</v>
      </c>
      <c r="F158" s="5">
        <f t="shared" si="9"/>
        <v>8029</v>
      </c>
      <c r="G158" s="1">
        <v>175</v>
      </c>
      <c r="H158" s="1" t="str">
        <f t="shared" si="10"/>
        <v>High</v>
      </c>
      <c r="I158" s="1" t="str">
        <f t="shared" si="11"/>
        <v>Other</v>
      </c>
      <c r="J158" s="1">
        <f t="shared" si="12"/>
        <v>636680.32999999996</v>
      </c>
    </row>
    <row r="159" spans="1:10" ht="12.75">
      <c r="A159" s="1" t="s">
        <v>24</v>
      </c>
      <c r="B159" s="1" t="s">
        <v>5</v>
      </c>
      <c r="C159" s="1" t="s">
        <v>60</v>
      </c>
      <c r="D159" s="2">
        <v>44754</v>
      </c>
      <c r="E159" s="1" t="s">
        <v>185</v>
      </c>
      <c r="F159" s="5">
        <f t="shared" si="9"/>
        <v>854</v>
      </c>
      <c r="G159" s="1">
        <v>136</v>
      </c>
      <c r="H159" s="1" t="str">
        <f t="shared" si="10"/>
        <v>High</v>
      </c>
      <c r="I159" s="1" t="str">
        <f t="shared" si="11"/>
        <v>Other</v>
      </c>
      <c r="J159" s="1">
        <f t="shared" si="12"/>
        <v>636680.32999999996</v>
      </c>
    </row>
    <row r="160" spans="1:10" ht="12.75">
      <c r="A160" s="1" t="s">
        <v>11</v>
      </c>
      <c r="B160" s="1" t="s">
        <v>62</v>
      </c>
      <c r="C160" s="1" t="s">
        <v>49</v>
      </c>
      <c r="D160" s="2">
        <v>44753</v>
      </c>
      <c r="E160" s="1" t="s">
        <v>218</v>
      </c>
      <c r="F160" s="5">
        <f t="shared" si="9"/>
        <v>5460</v>
      </c>
      <c r="G160" s="1">
        <v>138</v>
      </c>
      <c r="H160" s="1" t="str">
        <f t="shared" si="10"/>
        <v>High</v>
      </c>
      <c r="I160" s="1" t="str">
        <f t="shared" si="11"/>
        <v>Other</v>
      </c>
      <c r="J160" s="1">
        <f t="shared" si="12"/>
        <v>636680.32999999996</v>
      </c>
    </row>
    <row r="161" spans="1:10" ht="12.75">
      <c r="A161" s="1" t="s">
        <v>18</v>
      </c>
      <c r="B161" s="1" t="s">
        <v>62</v>
      </c>
      <c r="C161" s="1" t="s">
        <v>49</v>
      </c>
      <c r="D161" s="2">
        <v>44580</v>
      </c>
      <c r="E161" s="1" t="s">
        <v>71</v>
      </c>
      <c r="F161" s="5">
        <f t="shared" si="9"/>
        <v>3017</v>
      </c>
      <c r="G161" s="1">
        <v>184</v>
      </c>
      <c r="H161" s="1" t="str">
        <f t="shared" si="10"/>
        <v>High</v>
      </c>
      <c r="I161" s="1" t="str">
        <f t="shared" si="11"/>
        <v>Other</v>
      </c>
      <c r="J161" s="1">
        <f t="shared" si="12"/>
        <v>636680.32999999996</v>
      </c>
    </row>
    <row r="162" spans="1:10" ht="12.75">
      <c r="A162" s="1" t="s">
        <v>27</v>
      </c>
      <c r="B162" s="1" t="s">
        <v>59</v>
      </c>
      <c r="C162" s="1" t="s">
        <v>43</v>
      </c>
      <c r="D162" s="2">
        <v>44656</v>
      </c>
      <c r="E162" s="1" t="s">
        <v>219</v>
      </c>
      <c r="F162" s="5">
        <f t="shared" si="9"/>
        <v>8911</v>
      </c>
      <c r="G162" s="1">
        <v>82</v>
      </c>
      <c r="H162" s="1" t="str">
        <f t="shared" si="10"/>
        <v>High</v>
      </c>
      <c r="I162" s="1" t="str">
        <f t="shared" si="11"/>
        <v>Other</v>
      </c>
      <c r="J162" s="1">
        <f t="shared" si="12"/>
        <v>636680.32999999996</v>
      </c>
    </row>
    <row r="163" spans="1:10" ht="12.75">
      <c r="A163" s="1" t="s">
        <v>11</v>
      </c>
      <c r="B163" s="1" t="s">
        <v>62</v>
      </c>
      <c r="C163" s="1" t="s">
        <v>72</v>
      </c>
      <c r="D163" s="2">
        <v>44613</v>
      </c>
      <c r="E163" s="1" t="s">
        <v>220</v>
      </c>
      <c r="F163" s="5">
        <f t="shared" si="9"/>
        <v>7203</v>
      </c>
      <c r="G163" s="1">
        <v>12</v>
      </c>
      <c r="H163" s="1" t="str">
        <f t="shared" si="10"/>
        <v>High</v>
      </c>
      <c r="I163" s="1" t="str">
        <f t="shared" si="11"/>
        <v>Other</v>
      </c>
      <c r="J163" s="1">
        <f t="shared" si="12"/>
        <v>636680.32999999996</v>
      </c>
    </row>
    <row r="164" spans="1:10" ht="12.75">
      <c r="A164" s="1" t="s">
        <v>19</v>
      </c>
      <c r="B164" s="1" t="s">
        <v>54</v>
      </c>
      <c r="C164" s="1" t="s">
        <v>126</v>
      </c>
      <c r="D164" s="2">
        <v>44701</v>
      </c>
      <c r="E164" s="1" t="s">
        <v>221</v>
      </c>
      <c r="F164" s="5">
        <f t="shared" si="9"/>
        <v>13083</v>
      </c>
      <c r="G164" s="1">
        <v>14</v>
      </c>
      <c r="H164" s="1" t="str">
        <f t="shared" si="10"/>
        <v>High</v>
      </c>
      <c r="I164" s="1" t="str">
        <f t="shared" si="11"/>
        <v>Other</v>
      </c>
      <c r="J164" s="1">
        <f t="shared" si="12"/>
        <v>636680.32999999996</v>
      </c>
    </row>
    <row r="165" spans="1:10" ht="12.75">
      <c r="A165" s="1" t="s">
        <v>2</v>
      </c>
      <c r="B165" s="1" t="s">
        <v>5</v>
      </c>
      <c r="C165" s="1" t="s">
        <v>72</v>
      </c>
      <c r="D165" s="2">
        <v>44771</v>
      </c>
      <c r="E165" s="1" t="s">
        <v>222</v>
      </c>
      <c r="F165" s="5">
        <f t="shared" si="9"/>
        <v>2779</v>
      </c>
      <c r="G165" s="1">
        <v>104</v>
      </c>
      <c r="H165" s="1" t="str">
        <f t="shared" si="10"/>
        <v>High</v>
      </c>
      <c r="I165" s="1" t="str">
        <f t="shared" si="11"/>
        <v>Top Local</v>
      </c>
      <c r="J165" s="1">
        <f t="shared" si="12"/>
        <v>636680.32999999996</v>
      </c>
    </row>
    <row r="166" spans="1:10" ht="12.75">
      <c r="A166" s="1" t="s">
        <v>16</v>
      </c>
      <c r="B166" s="1" t="s">
        <v>59</v>
      </c>
      <c r="C166" s="1" t="s">
        <v>81</v>
      </c>
      <c r="D166" s="2">
        <v>44589</v>
      </c>
      <c r="E166" s="1" t="s">
        <v>223</v>
      </c>
      <c r="F166" s="5">
        <f t="shared" si="9"/>
        <v>9058</v>
      </c>
      <c r="G166" s="1">
        <v>46</v>
      </c>
      <c r="H166" s="1" t="str">
        <f t="shared" si="10"/>
        <v>High</v>
      </c>
      <c r="I166" s="1" t="str">
        <f t="shared" si="11"/>
        <v>Other</v>
      </c>
      <c r="J166" s="1">
        <f t="shared" si="12"/>
        <v>633901.32999999984</v>
      </c>
    </row>
    <row r="167" spans="1:10" ht="12.75">
      <c r="A167" s="1" t="s">
        <v>14</v>
      </c>
      <c r="B167" s="1" t="s">
        <v>39</v>
      </c>
      <c r="C167" s="1" t="s">
        <v>126</v>
      </c>
      <c r="D167" s="2">
        <v>44761</v>
      </c>
      <c r="E167" s="1" t="s">
        <v>224</v>
      </c>
      <c r="F167" s="5">
        <f t="shared" si="9"/>
        <v>3549</v>
      </c>
      <c r="G167" s="1">
        <v>112</v>
      </c>
      <c r="H167" s="1" t="str">
        <f t="shared" si="10"/>
        <v>High</v>
      </c>
      <c r="I167" s="1" t="str">
        <f t="shared" si="11"/>
        <v>Other</v>
      </c>
      <c r="J167" s="1">
        <f t="shared" si="12"/>
        <v>633901.32999999984</v>
      </c>
    </row>
    <row r="168" spans="1:10" ht="12.75">
      <c r="A168" s="1" t="s">
        <v>2</v>
      </c>
      <c r="B168" s="1" t="s">
        <v>54</v>
      </c>
      <c r="C168" s="1" t="s">
        <v>86</v>
      </c>
      <c r="D168" s="2">
        <v>44664</v>
      </c>
      <c r="E168" s="1" t="s">
        <v>225</v>
      </c>
      <c r="F168" s="5">
        <f t="shared" si="9"/>
        <v>9436</v>
      </c>
      <c r="G168" s="1">
        <v>11</v>
      </c>
      <c r="H168" s="1" t="str">
        <f t="shared" si="10"/>
        <v>High</v>
      </c>
      <c r="I168" s="1" t="str">
        <f t="shared" si="11"/>
        <v>Other</v>
      </c>
      <c r="J168" s="1">
        <f t="shared" si="12"/>
        <v>633901.32999999984</v>
      </c>
    </row>
    <row r="169" spans="1:10" ht="12.75">
      <c r="A169" s="1" t="s">
        <v>26</v>
      </c>
      <c r="B169" s="1" t="s">
        <v>42</v>
      </c>
      <c r="C169" s="1" t="s">
        <v>45</v>
      </c>
      <c r="D169" s="2">
        <v>44603</v>
      </c>
      <c r="E169" s="1" t="s">
        <v>226</v>
      </c>
      <c r="F169" s="5">
        <f t="shared" si="9"/>
        <v>10283</v>
      </c>
      <c r="G169" s="1">
        <v>21</v>
      </c>
      <c r="H169" s="1" t="str">
        <f t="shared" si="10"/>
        <v>High</v>
      </c>
      <c r="I169" s="1" t="str">
        <f t="shared" si="11"/>
        <v>Other</v>
      </c>
      <c r="J169" s="1">
        <f t="shared" si="12"/>
        <v>624465.32999999996</v>
      </c>
    </row>
    <row r="170" spans="1:10" ht="12.75">
      <c r="A170" s="1" t="s">
        <v>26</v>
      </c>
      <c r="B170" s="1" t="s">
        <v>54</v>
      </c>
      <c r="C170" s="1" t="s">
        <v>72</v>
      </c>
      <c r="D170" s="2">
        <v>44622</v>
      </c>
      <c r="E170" s="1" t="s">
        <v>227</v>
      </c>
      <c r="F170" s="5">
        <f t="shared" si="9"/>
        <v>5446</v>
      </c>
      <c r="G170" s="1">
        <v>116</v>
      </c>
      <c r="H170" s="1" t="str">
        <f t="shared" si="10"/>
        <v>High</v>
      </c>
      <c r="I170" s="1" t="str">
        <f t="shared" si="11"/>
        <v>Other</v>
      </c>
      <c r="J170" s="1">
        <f t="shared" si="12"/>
        <v>624465.32999999996</v>
      </c>
    </row>
    <row r="171" spans="1:10" ht="12.75">
      <c r="A171" s="1" t="s">
        <v>17</v>
      </c>
      <c r="B171" s="1" t="s">
        <v>5</v>
      </c>
      <c r="C171" s="1" t="s">
        <v>84</v>
      </c>
      <c r="D171" s="2">
        <v>44622</v>
      </c>
      <c r="E171" s="1" t="s">
        <v>228</v>
      </c>
      <c r="F171" s="5">
        <f t="shared" si="9"/>
        <v>1043</v>
      </c>
      <c r="G171" s="1">
        <v>202</v>
      </c>
      <c r="H171" s="1" t="str">
        <f t="shared" si="10"/>
        <v>High</v>
      </c>
      <c r="I171" s="1" t="str">
        <f t="shared" si="11"/>
        <v>Other</v>
      </c>
      <c r="J171" s="1">
        <f t="shared" si="12"/>
        <v>624465.32999999996</v>
      </c>
    </row>
    <row r="172" spans="1:10" ht="12.75">
      <c r="A172" s="1" t="s">
        <v>10</v>
      </c>
      <c r="B172" s="1" t="s">
        <v>59</v>
      </c>
      <c r="C172" s="1" t="s">
        <v>51</v>
      </c>
      <c r="D172" s="2">
        <v>44770</v>
      </c>
      <c r="E172" s="1" t="s">
        <v>229</v>
      </c>
      <c r="F172" s="5">
        <f t="shared" si="9"/>
        <v>12586</v>
      </c>
      <c r="G172" s="1">
        <v>6</v>
      </c>
      <c r="H172" s="1" t="str">
        <f t="shared" si="10"/>
        <v>High</v>
      </c>
      <c r="I172" s="1" t="str">
        <f t="shared" si="11"/>
        <v>Other</v>
      </c>
      <c r="J172" s="1">
        <f t="shared" si="12"/>
        <v>624465.32999999996</v>
      </c>
    </row>
    <row r="173" spans="1:10" ht="12.75">
      <c r="A173" s="1" t="s">
        <v>12</v>
      </c>
      <c r="B173" s="1" t="s">
        <v>42</v>
      </c>
      <c r="C173" s="1" t="s">
        <v>52</v>
      </c>
      <c r="D173" s="2">
        <v>44568</v>
      </c>
      <c r="E173" s="1" t="s">
        <v>230</v>
      </c>
      <c r="F173" s="5">
        <f t="shared" si="9"/>
        <v>1687</v>
      </c>
      <c r="G173" s="1">
        <v>520</v>
      </c>
      <c r="H173" s="1" t="str">
        <f t="shared" si="10"/>
        <v>High</v>
      </c>
      <c r="I173" s="1" t="str">
        <f t="shared" si="11"/>
        <v>Other</v>
      </c>
      <c r="J173" s="1">
        <f t="shared" si="12"/>
        <v>624465.32999999996</v>
      </c>
    </row>
    <row r="174" spans="1:10" ht="12.75">
      <c r="A174" s="1" t="s">
        <v>7</v>
      </c>
      <c r="B174" s="1" t="s">
        <v>39</v>
      </c>
      <c r="C174" s="1" t="s">
        <v>84</v>
      </c>
      <c r="D174" s="2">
        <v>44663</v>
      </c>
      <c r="E174" s="1" t="s">
        <v>231</v>
      </c>
      <c r="F174" s="5">
        <f t="shared" si="9"/>
        <v>5299</v>
      </c>
      <c r="G174" s="1">
        <v>167</v>
      </c>
      <c r="H174" s="1" t="str">
        <f t="shared" si="10"/>
        <v>High</v>
      </c>
      <c r="I174" s="1" t="str">
        <f t="shared" si="11"/>
        <v>Other</v>
      </c>
      <c r="J174" s="1">
        <f t="shared" si="12"/>
        <v>624465.32999999996</v>
      </c>
    </row>
    <row r="175" spans="1:10" ht="12.75">
      <c r="A175" s="1" t="s">
        <v>10</v>
      </c>
      <c r="B175" s="1" t="s">
        <v>62</v>
      </c>
      <c r="C175" s="1" t="s">
        <v>91</v>
      </c>
      <c r="D175" s="2">
        <v>44739</v>
      </c>
      <c r="E175" s="1" t="s">
        <v>232</v>
      </c>
      <c r="F175" s="5">
        <f t="shared" si="9"/>
        <v>3213</v>
      </c>
      <c r="G175" s="1">
        <v>72</v>
      </c>
      <c r="H175" s="1" t="str">
        <f t="shared" si="10"/>
        <v>High</v>
      </c>
      <c r="I175" s="1" t="str">
        <f t="shared" si="11"/>
        <v>Other</v>
      </c>
      <c r="J175" s="1">
        <f t="shared" si="12"/>
        <v>624465.32999999996</v>
      </c>
    </row>
    <row r="176" spans="1:10" ht="12.75">
      <c r="A176" s="1" t="s">
        <v>11</v>
      </c>
      <c r="B176" s="1" t="s">
        <v>5</v>
      </c>
      <c r="C176" s="1" t="s">
        <v>55</v>
      </c>
      <c r="D176" s="2">
        <v>44575</v>
      </c>
      <c r="E176" s="1" t="s">
        <v>233</v>
      </c>
      <c r="F176" s="5">
        <f t="shared" si="9"/>
        <v>5194</v>
      </c>
      <c r="G176" s="1">
        <v>418</v>
      </c>
      <c r="H176" s="1" t="str">
        <f t="shared" si="10"/>
        <v>High</v>
      </c>
      <c r="I176" s="1" t="str">
        <f t="shared" si="11"/>
        <v>Other</v>
      </c>
      <c r="J176" s="1">
        <f t="shared" si="12"/>
        <v>624465.32999999996</v>
      </c>
    </row>
    <row r="177" spans="1:10" ht="12.75">
      <c r="A177" s="1" t="s">
        <v>18</v>
      </c>
      <c r="B177" s="1" t="s">
        <v>39</v>
      </c>
      <c r="C177" s="1" t="s">
        <v>122</v>
      </c>
      <c r="D177" s="2">
        <v>44599</v>
      </c>
      <c r="E177" s="1" t="s">
        <v>78</v>
      </c>
      <c r="F177" s="5">
        <f t="shared" si="9"/>
        <v>4753</v>
      </c>
      <c r="G177" s="1">
        <v>389</v>
      </c>
      <c r="H177" s="1" t="str">
        <f t="shared" si="10"/>
        <v>High</v>
      </c>
      <c r="I177" s="1" t="str">
        <f t="shared" si="11"/>
        <v>Other</v>
      </c>
      <c r="J177" s="1">
        <f t="shared" si="12"/>
        <v>624465.32999999996</v>
      </c>
    </row>
    <row r="178" spans="1:10" ht="12.75">
      <c r="A178" s="1" t="s">
        <v>11</v>
      </c>
      <c r="B178" s="1" t="s">
        <v>5</v>
      </c>
      <c r="C178" s="1" t="s">
        <v>60</v>
      </c>
      <c r="D178" s="2">
        <v>44643</v>
      </c>
      <c r="E178" s="1" t="s">
        <v>234</v>
      </c>
      <c r="F178" s="5">
        <f t="shared" si="9"/>
        <v>13706</v>
      </c>
      <c r="G178" s="1">
        <v>26</v>
      </c>
      <c r="H178" s="1" t="str">
        <f t="shared" si="10"/>
        <v>High</v>
      </c>
      <c r="I178" s="1" t="str">
        <f t="shared" si="11"/>
        <v>Other</v>
      </c>
      <c r="J178" s="1">
        <f t="shared" si="12"/>
        <v>624465.32999999996</v>
      </c>
    </row>
    <row r="179" spans="1:10" ht="12.75">
      <c r="A179" s="1" t="s">
        <v>14</v>
      </c>
      <c r="B179" s="1" t="s">
        <v>42</v>
      </c>
      <c r="C179" s="1" t="s">
        <v>45</v>
      </c>
      <c r="D179" s="2">
        <v>44571</v>
      </c>
      <c r="E179" s="1" t="s">
        <v>235</v>
      </c>
      <c r="F179" s="5">
        <f t="shared" si="9"/>
        <v>6489</v>
      </c>
      <c r="G179" s="1">
        <v>146</v>
      </c>
      <c r="H179" s="1" t="str">
        <f t="shared" si="10"/>
        <v>High</v>
      </c>
      <c r="I179" s="1" t="str">
        <f t="shared" si="11"/>
        <v>Other</v>
      </c>
      <c r="J179" s="1">
        <f t="shared" si="12"/>
        <v>624465.32999999996</v>
      </c>
    </row>
    <row r="180" spans="1:10" ht="12.75">
      <c r="A180" s="1" t="s">
        <v>22</v>
      </c>
      <c r="B180" s="1" t="s">
        <v>39</v>
      </c>
      <c r="C180" s="1" t="s">
        <v>102</v>
      </c>
      <c r="D180" s="2">
        <v>44637</v>
      </c>
      <c r="E180" s="1" t="s">
        <v>236</v>
      </c>
      <c r="F180" s="5">
        <f t="shared" si="9"/>
        <v>9324</v>
      </c>
      <c r="G180" s="1">
        <v>41</v>
      </c>
      <c r="H180" s="1" t="str">
        <f t="shared" si="10"/>
        <v>High</v>
      </c>
      <c r="I180" s="1" t="str">
        <f t="shared" si="11"/>
        <v>Other</v>
      </c>
      <c r="J180" s="1">
        <f t="shared" si="12"/>
        <v>624465.32999999996</v>
      </c>
    </row>
    <row r="181" spans="1:10" ht="12.75">
      <c r="A181" s="1" t="s">
        <v>20</v>
      </c>
      <c r="B181" s="1" t="s">
        <v>59</v>
      </c>
      <c r="C181" s="1" t="s">
        <v>76</v>
      </c>
      <c r="D181" s="2">
        <v>44582</v>
      </c>
      <c r="E181" s="1" t="s">
        <v>237</v>
      </c>
      <c r="F181" s="5">
        <f t="shared" si="9"/>
        <v>10829</v>
      </c>
      <c r="G181" s="1">
        <v>54</v>
      </c>
      <c r="H181" s="1" t="str">
        <f t="shared" si="10"/>
        <v>High</v>
      </c>
      <c r="I181" s="1" t="str">
        <f t="shared" si="11"/>
        <v>Other</v>
      </c>
      <c r="J181" s="1">
        <f t="shared" si="12"/>
        <v>624465.32999999996</v>
      </c>
    </row>
    <row r="182" spans="1:10" ht="12.75">
      <c r="A182" s="1" t="s">
        <v>16</v>
      </c>
      <c r="B182" s="1" t="s">
        <v>5</v>
      </c>
      <c r="C182" s="1" t="s">
        <v>84</v>
      </c>
      <c r="D182" s="2">
        <v>44746</v>
      </c>
      <c r="E182" s="1" t="s">
        <v>238</v>
      </c>
      <c r="F182" s="5">
        <f t="shared" si="9"/>
        <v>8113</v>
      </c>
      <c r="G182" s="1">
        <v>370</v>
      </c>
      <c r="H182" s="1" t="str">
        <f t="shared" si="10"/>
        <v>High</v>
      </c>
      <c r="I182" s="1" t="str">
        <f t="shared" si="11"/>
        <v>Other</v>
      </c>
      <c r="J182" s="1">
        <f t="shared" si="12"/>
        <v>624465.32999999996</v>
      </c>
    </row>
    <row r="183" spans="1:10" ht="12.75">
      <c r="A183" s="1" t="s">
        <v>8</v>
      </c>
      <c r="B183" s="1" t="s">
        <v>62</v>
      </c>
      <c r="C183" s="1" t="s">
        <v>45</v>
      </c>
      <c r="D183" s="2">
        <v>44746</v>
      </c>
      <c r="E183" s="1" t="s">
        <v>239</v>
      </c>
      <c r="F183" s="5">
        <f t="shared" si="9"/>
        <v>3269</v>
      </c>
      <c r="G183" s="1">
        <v>176</v>
      </c>
      <c r="H183" s="1" t="str">
        <f t="shared" si="10"/>
        <v>High</v>
      </c>
      <c r="I183" s="1" t="str">
        <f t="shared" si="11"/>
        <v>Other</v>
      </c>
      <c r="J183" s="1">
        <f t="shared" si="12"/>
        <v>624465.32999999996</v>
      </c>
    </row>
    <row r="184" spans="1:10" ht="12.75">
      <c r="A184" s="1" t="s">
        <v>21</v>
      </c>
      <c r="B184" s="1" t="s">
        <v>59</v>
      </c>
      <c r="C184" s="1" t="s">
        <v>86</v>
      </c>
      <c r="D184" s="2">
        <v>44783</v>
      </c>
      <c r="E184" s="1" t="s">
        <v>121</v>
      </c>
      <c r="F184" s="5">
        <f t="shared" si="9"/>
        <v>273</v>
      </c>
      <c r="G184" s="1">
        <v>210</v>
      </c>
      <c r="H184" s="1" t="str">
        <f t="shared" si="10"/>
        <v>Low</v>
      </c>
      <c r="I184" s="1" t="str">
        <f t="shared" si="11"/>
        <v>Other</v>
      </c>
      <c r="J184" s="1">
        <f t="shared" si="12"/>
        <v>624465.32999999996</v>
      </c>
    </row>
    <row r="185" spans="1:10" ht="12.75">
      <c r="A185" s="1" t="s">
        <v>6</v>
      </c>
      <c r="B185" s="1" t="s">
        <v>5</v>
      </c>
      <c r="C185" s="1" t="s">
        <v>55</v>
      </c>
      <c r="D185" s="2">
        <v>44652</v>
      </c>
      <c r="E185" s="1" t="s">
        <v>240</v>
      </c>
      <c r="F185" s="5">
        <f t="shared" si="9"/>
        <v>7287</v>
      </c>
      <c r="G185" s="1">
        <v>12</v>
      </c>
      <c r="H185" s="1" t="str">
        <f t="shared" si="10"/>
        <v>High</v>
      </c>
      <c r="I185" s="1" t="str">
        <f t="shared" si="11"/>
        <v>Other</v>
      </c>
      <c r="J185" s="1">
        <f t="shared" si="12"/>
        <v>624465.32999999996</v>
      </c>
    </row>
    <row r="186" spans="1:10" ht="12.75">
      <c r="A186" s="1" t="s">
        <v>20</v>
      </c>
      <c r="B186" s="1" t="s">
        <v>42</v>
      </c>
      <c r="C186" s="1" t="s">
        <v>100</v>
      </c>
      <c r="D186" s="2">
        <v>44614</v>
      </c>
      <c r="E186" s="1" t="s">
        <v>241</v>
      </c>
      <c r="F186" s="5">
        <f t="shared" si="9"/>
        <v>2583</v>
      </c>
      <c r="G186" s="1">
        <v>159</v>
      </c>
      <c r="H186" s="1" t="str">
        <f t="shared" si="10"/>
        <v>High</v>
      </c>
      <c r="I186" s="1" t="str">
        <f t="shared" si="11"/>
        <v>Other</v>
      </c>
      <c r="J186" s="1">
        <f t="shared" si="12"/>
        <v>624465.32999999996</v>
      </c>
    </row>
    <row r="187" spans="1:10" ht="12.75">
      <c r="A187" s="1" t="s">
        <v>25</v>
      </c>
      <c r="B187" s="1" t="s">
        <v>39</v>
      </c>
      <c r="C187" s="1" t="s">
        <v>84</v>
      </c>
      <c r="D187" s="2">
        <v>44564</v>
      </c>
      <c r="E187" s="1" t="s">
        <v>242</v>
      </c>
      <c r="F187" s="5">
        <f t="shared" si="9"/>
        <v>9982</v>
      </c>
      <c r="G187" s="1">
        <v>187</v>
      </c>
      <c r="H187" s="1" t="str">
        <f t="shared" si="10"/>
        <v>High</v>
      </c>
      <c r="I187" s="1" t="str">
        <f t="shared" si="11"/>
        <v>Other</v>
      </c>
      <c r="J187" s="1">
        <f t="shared" si="12"/>
        <v>624465.32999999996</v>
      </c>
    </row>
    <row r="188" spans="1:10" ht="12.75">
      <c r="A188" s="1" t="s">
        <v>18</v>
      </c>
      <c r="B188" s="1" t="s">
        <v>42</v>
      </c>
      <c r="C188" s="1" t="s">
        <v>65</v>
      </c>
      <c r="D188" s="2">
        <v>44712</v>
      </c>
      <c r="E188" s="1" t="s">
        <v>243</v>
      </c>
      <c r="F188" s="5">
        <f t="shared" si="9"/>
        <v>4795</v>
      </c>
      <c r="G188" s="1">
        <v>233</v>
      </c>
      <c r="H188" s="1" t="str">
        <f t="shared" si="10"/>
        <v>High</v>
      </c>
      <c r="I188" s="1" t="str">
        <f t="shared" si="11"/>
        <v>Other</v>
      </c>
      <c r="J188" s="1">
        <f t="shared" si="12"/>
        <v>624465.32999999996</v>
      </c>
    </row>
    <row r="189" spans="1:10" ht="12.75">
      <c r="A189" s="1" t="s">
        <v>21</v>
      </c>
      <c r="B189" s="1" t="s">
        <v>39</v>
      </c>
      <c r="C189" s="1" t="s">
        <v>51</v>
      </c>
      <c r="D189" s="2">
        <v>44564</v>
      </c>
      <c r="E189" s="1" t="s">
        <v>244</v>
      </c>
      <c r="F189" s="5">
        <f t="shared" si="9"/>
        <v>9310</v>
      </c>
      <c r="G189" s="1">
        <v>282</v>
      </c>
      <c r="H189" s="1" t="str">
        <f t="shared" si="10"/>
        <v>High</v>
      </c>
      <c r="I189" s="1" t="str">
        <f t="shared" si="11"/>
        <v>Other</v>
      </c>
      <c r="J189" s="1">
        <f t="shared" si="12"/>
        <v>624465.32999999996</v>
      </c>
    </row>
    <row r="190" spans="1:10" ht="12.75">
      <c r="A190" s="1" t="s">
        <v>13</v>
      </c>
      <c r="B190" s="1" t="s">
        <v>54</v>
      </c>
      <c r="C190" s="1" t="s">
        <v>126</v>
      </c>
      <c r="D190" s="2">
        <v>44588</v>
      </c>
      <c r="E190" s="1" t="s">
        <v>245</v>
      </c>
      <c r="F190" s="5">
        <f t="shared" si="9"/>
        <v>497</v>
      </c>
      <c r="G190" s="1">
        <v>475</v>
      </c>
      <c r="H190" s="1" t="str">
        <f t="shared" si="10"/>
        <v>Low</v>
      </c>
      <c r="I190" s="1" t="str">
        <f t="shared" si="11"/>
        <v>Other</v>
      </c>
      <c r="J190" s="1">
        <f t="shared" si="12"/>
        <v>624465.32999999996</v>
      </c>
    </row>
    <row r="191" spans="1:10" ht="12.75">
      <c r="A191" s="1" t="s">
        <v>16</v>
      </c>
      <c r="B191" s="1" t="s">
        <v>39</v>
      </c>
      <c r="C191" s="1" t="s">
        <v>55</v>
      </c>
      <c r="D191" s="2">
        <v>44589</v>
      </c>
      <c r="E191" s="1" t="s">
        <v>246</v>
      </c>
      <c r="F191" s="5">
        <f t="shared" si="9"/>
        <v>581</v>
      </c>
      <c r="G191" s="1">
        <v>65</v>
      </c>
      <c r="H191" s="1" t="str">
        <f t="shared" si="10"/>
        <v>Medium</v>
      </c>
      <c r="I191" s="1" t="str">
        <f t="shared" si="11"/>
        <v>Other</v>
      </c>
      <c r="J191" s="1">
        <f t="shared" si="12"/>
        <v>624465.32999999996</v>
      </c>
    </row>
    <row r="192" spans="1:10" ht="12.75">
      <c r="A192" s="1" t="s">
        <v>24</v>
      </c>
      <c r="B192" s="1" t="s">
        <v>5</v>
      </c>
      <c r="C192" s="1" t="s">
        <v>68</v>
      </c>
      <c r="D192" s="2">
        <v>44740</v>
      </c>
      <c r="E192" s="1" t="s">
        <v>247</v>
      </c>
      <c r="F192" s="5">
        <f t="shared" si="9"/>
        <v>3472</v>
      </c>
      <c r="G192" s="1">
        <v>311</v>
      </c>
      <c r="H192" s="1" t="str">
        <f t="shared" si="10"/>
        <v>High</v>
      </c>
      <c r="I192" s="1" t="str">
        <f t="shared" si="11"/>
        <v>Other</v>
      </c>
      <c r="J192" s="1">
        <f t="shared" si="12"/>
        <v>624465.32999999996</v>
      </c>
    </row>
    <row r="193" spans="1:10" ht="12.75">
      <c r="A193" s="1" t="s">
        <v>13</v>
      </c>
      <c r="B193" s="1" t="s">
        <v>39</v>
      </c>
      <c r="C193" s="1" t="s">
        <v>102</v>
      </c>
      <c r="D193" s="2">
        <v>44622</v>
      </c>
      <c r="E193" s="1" t="s">
        <v>248</v>
      </c>
      <c r="F193" s="5">
        <f t="shared" si="9"/>
        <v>4333</v>
      </c>
      <c r="G193" s="1">
        <v>43</v>
      </c>
      <c r="H193" s="1" t="str">
        <f t="shared" si="10"/>
        <v>High</v>
      </c>
      <c r="I193" s="1" t="str">
        <f t="shared" si="11"/>
        <v>Other</v>
      </c>
      <c r="J193" s="1">
        <f t="shared" si="12"/>
        <v>624465.32999999996</v>
      </c>
    </row>
    <row r="194" spans="1:10" ht="12.75">
      <c r="A194" s="1" t="s">
        <v>29</v>
      </c>
      <c r="B194" s="1" t="s">
        <v>5</v>
      </c>
      <c r="C194" s="1" t="s">
        <v>52</v>
      </c>
      <c r="D194" s="2">
        <v>44708</v>
      </c>
      <c r="E194" s="1" t="s">
        <v>249</v>
      </c>
      <c r="F194" s="5">
        <f t="shared" ref="F194:F257" si="13">VALUE(SUBSTITUTE(E194,"$",""))</f>
        <v>3325</v>
      </c>
      <c r="G194" s="1">
        <v>26</v>
      </c>
      <c r="H194" s="1" t="str">
        <f t="shared" ref="H194:H257" si="14">IF(F194&gt;800,"High",IF(F194&gt;500,"Medium","Low"))</f>
        <v>High</v>
      </c>
      <c r="I194" s="1" t="str">
        <f t="shared" ref="I194:I257" si="15">IF(AND(B194="Australia",A194="Mallorie Waber"),"Top Local","Other")</f>
        <v>Other</v>
      </c>
      <c r="J194" s="1">
        <f t="shared" ref="J194:J257" si="16">SUMIF(A194:A3474,"Mallorie Waber",F194:F3474)</f>
        <v>624465.32999999996</v>
      </c>
    </row>
    <row r="195" spans="1:10" ht="12.75">
      <c r="A195" s="1" t="s">
        <v>6</v>
      </c>
      <c r="B195" s="1" t="s">
        <v>59</v>
      </c>
      <c r="C195" s="1" t="s">
        <v>91</v>
      </c>
      <c r="D195" s="2">
        <v>44742</v>
      </c>
      <c r="E195" s="1" t="s">
        <v>250</v>
      </c>
      <c r="F195" s="5">
        <f t="shared" si="13"/>
        <v>11718</v>
      </c>
      <c r="G195" s="1">
        <v>84</v>
      </c>
      <c r="H195" s="1" t="str">
        <f t="shared" si="14"/>
        <v>High</v>
      </c>
      <c r="I195" s="1" t="str">
        <f t="shared" si="15"/>
        <v>Other</v>
      </c>
      <c r="J195" s="1">
        <f t="shared" si="16"/>
        <v>624465.32999999996</v>
      </c>
    </row>
    <row r="196" spans="1:10" ht="12.75">
      <c r="A196" s="1" t="s">
        <v>16</v>
      </c>
      <c r="B196" s="1" t="s">
        <v>62</v>
      </c>
      <c r="C196" s="1" t="s">
        <v>45</v>
      </c>
      <c r="D196" s="2">
        <v>44719</v>
      </c>
      <c r="E196" s="1" t="s">
        <v>251</v>
      </c>
      <c r="F196" s="5">
        <f t="shared" si="13"/>
        <v>2100</v>
      </c>
      <c r="G196" s="1">
        <v>78</v>
      </c>
      <c r="H196" s="1" t="str">
        <f t="shared" si="14"/>
        <v>High</v>
      </c>
      <c r="I196" s="1" t="str">
        <f t="shared" si="15"/>
        <v>Other</v>
      </c>
      <c r="J196" s="1">
        <f t="shared" si="16"/>
        <v>624465.32999999996</v>
      </c>
    </row>
    <row r="197" spans="1:10" ht="12.75">
      <c r="A197" s="1" t="s">
        <v>8</v>
      </c>
      <c r="B197" s="1" t="s">
        <v>59</v>
      </c>
      <c r="C197" s="1" t="s">
        <v>147</v>
      </c>
      <c r="D197" s="2">
        <v>44693</v>
      </c>
      <c r="E197" s="1" t="s">
        <v>252</v>
      </c>
      <c r="F197" s="5">
        <f t="shared" si="13"/>
        <v>4018</v>
      </c>
      <c r="G197" s="1">
        <v>100</v>
      </c>
      <c r="H197" s="1" t="str">
        <f t="shared" si="14"/>
        <v>High</v>
      </c>
      <c r="I197" s="1" t="str">
        <f t="shared" si="15"/>
        <v>Other</v>
      </c>
      <c r="J197" s="1">
        <f t="shared" si="16"/>
        <v>624465.32999999996</v>
      </c>
    </row>
    <row r="198" spans="1:10" ht="12.75">
      <c r="A198" s="1" t="s">
        <v>16</v>
      </c>
      <c r="B198" s="1" t="s">
        <v>54</v>
      </c>
      <c r="C198" s="1" t="s">
        <v>100</v>
      </c>
      <c r="D198" s="2">
        <v>44771</v>
      </c>
      <c r="E198" s="1" t="s">
        <v>253</v>
      </c>
      <c r="F198" s="5">
        <f t="shared" si="13"/>
        <v>6468</v>
      </c>
      <c r="G198" s="1">
        <v>66</v>
      </c>
      <c r="H198" s="1" t="str">
        <f t="shared" si="14"/>
        <v>High</v>
      </c>
      <c r="I198" s="1" t="str">
        <f t="shared" si="15"/>
        <v>Other</v>
      </c>
      <c r="J198" s="1">
        <f t="shared" si="16"/>
        <v>624465.32999999996</v>
      </c>
    </row>
    <row r="199" spans="1:10" ht="12.75">
      <c r="A199" s="1" t="s">
        <v>6</v>
      </c>
      <c r="B199" s="1" t="s">
        <v>39</v>
      </c>
      <c r="C199" s="1" t="s">
        <v>84</v>
      </c>
      <c r="D199" s="2">
        <v>44776</v>
      </c>
      <c r="E199" s="1" t="s">
        <v>254</v>
      </c>
      <c r="F199" s="5">
        <f t="shared" si="13"/>
        <v>7238</v>
      </c>
      <c r="G199" s="1">
        <v>265</v>
      </c>
      <c r="H199" s="1" t="str">
        <f t="shared" si="14"/>
        <v>High</v>
      </c>
      <c r="I199" s="1" t="str">
        <f t="shared" si="15"/>
        <v>Other</v>
      </c>
      <c r="J199" s="1">
        <f t="shared" si="16"/>
        <v>624465.32999999996</v>
      </c>
    </row>
    <row r="200" spans="1:10" ht="12.75">
      <c r="A200" s="1" t="s">
        <v>16</v>
      </c>
      <c r="B200" s="1" t="s">
        <v>42</v>
      </c>
      <c r="C200" s="1" t="s">
        <v>122</v>
      </c>
      <c r="D200" s="2">
        <v>44791</v>
      </c>
      <c r="E200" s="1" t="s">
        <v>255</v>
      </c>
      <c r="F200" s="5">
        <f t="shared" si="13"/>
        <v>6454</v>
      </c>
      <c r="G200" s="1">
        <v>141</v>
      </c>
      <c r="H200" s="1" t="str">
        <f t="shared" si="14"/>
        <v>High</v>
      </c>
      <c r="I200" s="1" t="str">
        <f t="shared" si="15"/>
        <v>Other</v>
      </c>
      <c r="J200" s="1">
        <f t="shared" si="16"/>
        <v>624465.32999999996</v>
      </c>
    </row>
    <row r="201" spans="1:10" ht="12.75">
      <c r="A201" s="1" t="s">
        <v>10</v>
      </c>
      <c r="B201" s="1" t="s">
        <v>54</v>
      </c>
      <c r="C201" s="1" t="s">
        <v>49</v>
      </c>
      <c r="D201" s="2">
        <v>44726</v>
      </c>
      <c r="E201" s="1" t="s">
        <v>256</v>
      </c>
      <c r="F201" s="5">
        <f t="shared" si="13"/>
        <v>3115</v>
      </c>
      <c r="G201" s="1">
        <v>42</v>
      </c>
      <c r="H201" s="1" t="str">
        <f t="shared" si="14"/>
        <v>High</v>
      </c>
      <c r="I201" s="1" t="str">
        <f t="shared" si="15"/>
        <v>Other</v>
      </c>
      <c r="J201" s="1">
        <f t="shared" si="16"/>
        <v>624465.32999999996</v>
      </c>
    </row>
    <row r="202" spans="1:10" ht="12.75">
      <c r="A202" s="1" t="s">
        <v>28</v>
      </c>
      <c r="B202" s="1" t="s">
        <v>39</v>
      </c>
      <c r="C202" s="1" t="s">
        <v>84</v>
      </c>
      <c r="D202" s="2">
        <v>44742</v>
      </c>
      <c r="E202" s="1" t="s">
        <v>257</v>
      </c>
      <c r="F202" s="5">
        <f t="shared" si="13"/>
        <v>6475</v>
      </c>
      <c r="G202" s="1">
        <v>76</v>
      </c>
      <c r="H202" s="1" t="str">
        <f t="shared" si="14"/>
        <v>High</v>
      </c>
      <c r="I202" s="1" t="str">
        <f t="shared" si="15"/>
        <v>Other</v>
      </c>
      <c r="J202" s="1">
        <f t="shared" si="16"/>
        <v>624465.32999999996</v>
      </c>
    </row>
    <row r="203" spans="1:10" ht="12.75">
      <c r="A203" s="1" t="s">
        <v>25</v>
      </c>
      <c r="B203" s="1" t="s">
        <v>54</v>
      </c>
      <c r="C203" s="1" t="s">
        <v>40</v>
      </c>
      <c r="D203" s="2">
        <v>44725</v>
      </c>
      <c r="E203" s="1" t="s">
        <v>258</v>
      </c>
      <c r="F203" s="5">
        <f t="shared" si="13"/>
        <v>1162</v>
      </c>
      <c r="G203" s="1">
        <v>190</v>
      </c>
      <c r="H203" s="1" t="str">
        <f t="shared" si="14"/>
        <v>High</v>
      </c>
      <c r="I203" s="1" t="str">
        <f t="shared" si="15"/>
        <v>Other</v>
      </c>
      <c r="J203" s="1">
        <f t="shared" si="16"/>
        <v>624465.32999999996</v>
      </c>
    </row>
    <row r="204" spans="1:10" ht="12.75">
      <c r="A204" s="1" t="s">
        <v>17</v>
      </c>
      <c r="B204" s="1" t="s">
        <v>39</v>
      </c>
      <c r="C204" s="1" t="s">
        <v>60</v>
      </c>
      <c r="D204" s="2">
        <v>44678</v>
      </c>
      <c r="E204" s="1" t="s">
        <v>259</v>
      </c>
      <c r="F204" s="5">
        <f t="shared" si="13"/>
        <v>14238</v>
      </c>
      <c r="G204" s="1">
        <v>54</v>
      </c>
      <c r="H204" s="1" t="str">
        <f t="shared" si="14"/>
        <v>High</v>
      </c>
      <c r="I204" s="1" t="str">
        <f t="shared" si="15"/>
        <v>Other</v>
      </c>
      <c r="J204" s="1">
        <f t="shared" si="16"/>
        <v>624465.32999999996</v>
      </c>
    </row>
    <row r="205" spans="1:10" ht="12.75">
      <c r="A205" s="1" t="s">
        <v>15</v>
      </c>
      <c r="B205" s="1" t="s">
        <v>5</v>
      </c>
      <c r="C205" s="1" t="s">
        <v>84</v>
      </c>
      <c r="D205" s="2">
        <v>44769</v>
      </c>
      <c r="E205" s="1" t="s">
        <v>247</v>
      </c>
      <c r="F205" s="5">
        <f t="shared" si="13"/>
        <v>3472</v>
      </c>
      <c r="G205" s="1">
        <v>32</v>
      </c>
      <c r="H205" s="1" t="str">
        <f t="shared" si="14"/>
        <v>High</v>
      </c>
      <c r="I205" s="1" t="str">
        <f t="shared" si="15"/>
        <v>Other</v>
      </c>
      <c r="J205" s="1">
        <f t="shared" si="16"/>
        <v>624465.32999999996</v>
      </c>
    </row>
    <row r="206" spans="1:10" ht="12.75">
      <c r="A206" s="1" t="s">
        <v>2</v>
      </c>
      <c r="B206" s="1" t="s">
        <v>62</v>
      </c>
      <c r="C206" s="1" t="s">
        <v>43</v>
      </c>
      <c r="D206" s="2">
        <v>44671</v>
      </c>
      <c r="E206" s="1" t="s">
        <v>260</v>
      </c>
      <c r="F206" s="5">
        <f t="shared" si="13"/>
        <v>1428</v>
      </c>
      <c r="G206" s="1">
        <v>424</v>
      </c>
      <c r="H206" s="1" t="str">
        <f t="shared" si="14"/>
        <v>High</v>
      </c>
      <c r="I206" s="1" t="str">
        <f t="shared" si="15"/>
        <v>Other</v>
      </c>
      <c r="J206" s="1">
        <f t="shared" si="16"/>
        <v>624465.32999999996</v>
      </c>
    </row>
    <row r="207" spans="1:10" ht="12.75">
      <c r="A207" s="1" t="s">
        <v>19</v>
      </c>
      <c r="B207" s="1" t="s">
        <v>42</v>
      </c>
      <c r="C207" s="1" t="s">
        <v>76</v>
      </c>
      <c r="D207" s="2">
        <v>44565</v>
      </c>
      <c r="E207" s="1" t="s">
        <v>261</v>
      </c>
      <c r="F207" s="5">
        <f t="shared" si="13"/>
        <v>8064</v>
      </c>
      <c r="G207" s="1">
        <v>134</v>
      </c>
      <c r="H207" s="1" t="str">
        <f t="shared" si="14"/>
        <v>High</v>
      </c>
      <c r="I207" s="1" t="str">
        <f t="shared" si="15"/>
        <v>Other</v>
      </c>
      <c r="J207" s="1">
        <f t="shared" si="16"/>
        <v>623037.32999999996</v>
      </c>
    </row>
    <row r="208" spans="1:10" ht="12.75">
      <c r="A208" s="1" t="s">
        <v>17</v>
      </c>
      <c r="B208" s="1" t="s">
        <v>5</v>
      </c>
      <c r="C208" s="1" t="s">
        <v>40</v>
      </c>
      <c r="D208" s="2">
        <v>44613</v>
      </c>
      <c r="E208" s="1" t="s">
        <v>262</v>
      </c>
      <c r="F208" s="5">
        <f t="shared" si="13"/>
        <v>9660</v>
      </c>
      <c r="G208" s="1">
        <v>92</v>
      </c>
      <c r="H208" s="1" t="str">
        <f t="shared" si="14"/>
        <v>High</v>
      </c>
      <c r="I208" s="1" t="str">
        <f t="shared" si="15"/>
        <v>Other</v>
      </c>
      <c r="J208" s="1">
        <f t="shared" si="16"/>
        <v>623037.32999999996</v>
      </c>
    </row>
    <row r="209" spans="1:10" ht="12.75">
      <c r="A209" s="1" t="s">
        <v>18</v>
      </c>
      <c r="B209" s="1" t="s">
        <v>5</v>
      </c>
      <c r="C209" s="1" t="s">
        <v>84</v>
      </c>
      <c r="D209" s="2">
        <v>44566</v>
      </c>
      <c r="E209" s="1" t="s">
        <v>263</v>
      </c>
      <c r="F209" s="5">
        <f t="shared" si="13"/>
        <v>7357</v>
      </c>
      <c r="G209" s="1">
        <v>48</v>
      </c>
      <c r="H209" s="1" t="str">
        <f t="shared" si="14"/>
        <v>High</v>
      </c>
      <c r="I209" s="1" t="str">
        <f t="shared" si="15"/>
        <v>Other</v>
      </c>
      <c r="J209" s="1">
        <f t="shared" si="16"/>
        <v>623037.32999999996</v>
      </c>
    </row>
    <row r="210" spans="1:10" ht="12.75">
      <c r="A210" s="1" t="s">
        <v>28</v>
      </c>
      <c r="B210" s="1" t="s">
        <v>42</v>
      </c>
      <c r="C210" s="1" t="s">
        <v>65</v>
      </c>
      <c r="D210" s="2">
        <v>44757</v>
      </c>
      <c r="E210" s="1" t="s">
        <v>264</v>
      </c>
      <c r="F210" s="5">
        <f t="shared" si="13"/>
        <v>6055</v>
      </c>
      <c r="G210" s="1">
        <v>46</v>
      </c>
      <c r="H210" s="1" t="str">
        <f t="shared" si="14"/>
        <v>High</v>
      </c>
      <c r="I210" s="1" t="str">
        <f t="shared" si="15"/>
        <v>Other</v>
      </c>
      <c r="J210" s="1">
        <f t="shared" si="16"/>
        <v>623037.32999999996</v>
      </c>
    </row>
    <row r="211" spans="1:10" ht="12.75">
      <c r="A211" s="1" t="s">
        <v>7</v>
      </c>
      <c r="B211" s="1" t="s">
        <v>5</v>
      </c>
      <c r="C211" s="1" t="s">
        <v>102</v>
      </c>
      <c r="D211" s="2">
        <v>44706</v>
      </c>
      <c r="E211" s="1" t="s">
        <v>265</v>
      </c>
      <c r="F211" s="5">
        <f t="shared" si="13"/>
        <v>5124</v>
      </c>
      <c r="G211" s="1">
        <v>62</v>
      </c>
      <c r="H211" s="1" t="str">
        <f t="shared" si="14"/>
        <v>High</v>
      </c>
      <c r="I211" s="1" t="str">
        <f t="shared" si="15"/>
        <v>Other</v>
      </c>
      <c r="J211" s="1">
        <f t="shared" si="16"/>
        <v>623037.32999999996</v>
      </c>
    </row>
    <row r="212" spans="1:10" ht="12.75">
      <c r="A212" s="1" t="s">
        <v>18</v>
      </c>
      <c r="B212" s="1" t="s">
        <v>62</v>
      </c>
      <c r="C212" s="1" t="s">
        <v>63</v>
      </c>
      <c r="D212" s="2">
        <v>44671</v>
      </c>
      <c r="E212" s="1" t="s">
        <v>266</v>
      </c>
      <c r="F212" s="5">
        <f t="shared" si="13"/>
        <v>3479</v>
      </c>
      <c r="G212" s="1">
        <v>358</v>
      </c>
      <c r="H212" s="1" t="str">
        <f t="shared" si="14"/>
        <v>High</v>
      </c>
      <c r="I212" s="1" t="str">
        <f t="shared" si="15"/>
        <v>Other</v>
      </c>
      <c r="J212" s="1">
        <f t="shared" si="16"/>
        <v>623037.32999999996</v>
      </c>
    </row>
    <row r="213" spans="1:10" ht="12.75">
      <c r="A213" s="1" t="s">
        <v>20</v>
      </c>
      <c r="B213" s="1" t="s">
        <v>59</v>
      </c>
      <c r="C213" s="1" t="s">
        <v>51</v>
      </c>
      <c r="D213" s="2">
        <v>44714</v>
      </c>
      <c r="E213" s="1" t="s">
        <v>267</v>
      </c>
      <c r="F213" s="5">
        <f t="shared" si="13"/>
        <v>784</v>
      </c>
      <c r="G213" s="1">
        <v>249</v>
      </c>
      <c r="H213" s="1" t="str">
        <f t="shared" si="14"/>
        <v>Medium</v>
      </c>
      <c r="I213" s="1" t="str">
        <f t="shared" si="15"/>
        <v>Other</v>
      </c>
      <c r="J213" s="1">
        <f t="shared" si="16"/>
        <v>623037.32999999996</v>
      </c>
    </row>
    <row r="214" spans="1:10" ht="12.75">
      <c r="A214" s="1" t="s">
        <v>14</v>
      </c>
      <c r="B214" s="1" t="s">
        <v>39</v>
      </c>
      <c r="C214" s="1" t="s">
        <v>49</v>
      </c>
      <c r="D214" s="2">
        <v>44694</v>
      </c>
      <c r="E214" s="1" t="s">
        <v>268</v>
      </c>
      <c r="F214" s="5">
        <f t="shared" si="13"/>
        <v>18991</v>
      </c>
      <c r="G214" s="1">
        <v>88</v>
      </c>
      <c r="H214" s="1" t="str">
        <f t="shared" si="14"/>
        <v>High</v>
      </c>
      <c r="I214" s="1" t="str">
        <f t="shared" si="15"/>
        <v>Other</v>
      </c>
      <c r="J214" s="1">
        <f t="shared" si="16"/>
        <v>623037.32999999996</v>
      </c>
    </row>
    <row r="215" spans="1:10" ht="12.75">
      <c r="A215" s="1" t="s">
        <v>28</v>
      </c>
      <c r="B215" s="1" t="s">
        <v>54</v>
      </c>
      <c r="C215" s="1" t="s">
        <v>122</v>
      </c>
      <c r="D215" s="2">
        <v>44776</v>
      </c>
      <c r="E215" s="1" t="s">
        <v>269</v>
      </c>
      <c r="F215" s="5">
        <f t="shared" si="13"/>
        <v>1372</v>
      </c>
      <c r="G215" s="1">
        <v>144</v>
      </c>
      <c r="H215" s="1" t="str">
        <f t="shared" si="14"/>
        <v>High</v>
      </c>
      <c r="I215" s="1" t="str">
        <f t="shared" si="15"/>
        <v>Other</v>
      </c>
      <c r="J215" s="1">
        <f t="shared" si="16"/>
        <v>623037.32999999996</v>
      </c>
    </row>
    <row r="216" spans="1:10" ht="12.75">
      <c r="A216" s="1" t="s">
        <v>28</v>
      </c>
      <c r="B216" s="1" t="s">
        <v>5</v>
      </c>
      <c r="C216" s="1" t="s">
        <v>72</v>
      </c>
      <c r="D216" s="2">
        <v>44706</v>
      </c>
      <c r="E216" s="1" t="s">
        <v>270</v>
      </c>
      <c r="F216" s="5">
        <f t="shared" si="13"/>
        <v>735</v>
      </c>
      <c r="G216" s="1">
        <v>390</v>
      </c>
      <c r="H216" s="1" t="str">
        <f t="shared" si="14"/>
        <v>Medium</v>
      </c>
      <c r="I216" s="1" t="str">
        <f t="shared" si="15"/>
        <v>Other</v>
      </c>
      <c r="J216" s="1">
        <f t="shared" si="16"/>
        <v>623037.32999999996</v>
      </c>
    </row>
    <row r="217" spans="1:10" ht="12.75">
      <c r="A217" s="1" t="s">
        <v>10</v>
      </c>
      <c r="B217" s="1" t="s">
        <v>39</v>
      </c>
      <c r="C217" s="1" t="s">
        <v>100</v>
      </c>
      <c r="D217" s="2">
        <v>44636</v>
      </c>
      <c r="E217" s="1" t="s">
        <v>271</v>
      </c>
      <c r="F217" s="5">
        <f t="shared" si="13"/>
        <v>6538</v>
      </c>
      <c r="G217" s="1">
        <v>79</v>
      </c>
      <c r="H217" s="1" t="str">
        <f t="shared" si="14"/>
        <v>High</v>
      </c>
      <c r="I217" s="1" t="str">
        <f t="shared" si="15"/>
        <v>Other</v>
      </c>
      <c r="J217" s="1">
        <f t="shared" si="16"/>
        <v>623037.32999999996</v>
      </c>
    </row>
    <row r="218" spans="1:10" ht="12.75">
      <c r="A218" s="1" t="s">
        <v>15</v>
      </c>
      <c r="B218" s="1" t="s">
        <v>5</v>
      </c>
      <c r="C218" s="1" t="s">
        <v>60</v>
      </c>
      <c r="D218" s="2">
        <v>44746</v>
      </c>
      <c r="E218" s="1" t="s">
        <v>272</v>
      </c>
      <c r="F218" s="5">
        <f t="shared" si="13"/>
        <v>3199</v>
      </c>
      <c r="G218" s="1">
        <v>122</v>
      </c>
      <c r="H218" s="1" t="str">
        <f t="shared" si="14"/>
        <v>High</v>
      </c>
      <c r="I218" s="1" t="str">
        <f t="shared" si="15"/>
        <v>Other</v>
      </c>
      <c r="J218" s="1">
        <f t="shared" si="16"/>
        <v>623037.32999999996</v>
      </c>
    </row>
    <row r="219" spans="1:10" ht="12.75">
      <c r="A219" s="1" t="s">
        <v>11</v>
      </c>
      <c r="B219" s="1" t="s">
        <v>42</v>
      </c>
      <c r="C219" s="1" t="s">
        <v>55</v>
      </c>
      <c r="D219" s="2">
        <v>44747</v>
      </c>
      <c r="E219" s="1" t="s">
        <v>247</v>
      </c>
      <c r="F219" s="5">
        <f t="shared" si="13"/>
        <v>3472</v>
      </c>
      <c r="G219" s="1">
        <v>135</v>
      </c>
      <c r="H219" s="1" t="str">
        <f t="shared" si="14"/>
        <v>High</v>
      </c>
      <c r="I219" s="1" t="str">
        <f t="shared" si="15"/>
        <v>Other</v>
      </c>
      <c r="J219" s="1">
        <f t="shared" si="16"/>
        <v>623037.32999999996</v>
      </c>
    </row>
    <row r="220" spans="1:10" ht="12.75">
      <c r="A220" s="1" t="s">
        <v>9</v>
      </c>
      <c r="B220" s="1" t="s">
        <v>59</v>
      </c>
      <c r="C220" s="1" t="s">
        <v>52</v>
      </c>
      <c r="D220" s="2">
        <v>44635</v>
      </c>
      <c r="E220" s="1" t="s">
        <v>273</v>
      </c>
      <c r="F220" s="5">
        <f t="shared" si="13"/>
        <v>4571</v>
      </c>
      <c r="G220" s="1">
        <v>430</v>
      </c>
      <c r="H220" s="1" t="str">
        <f t="shared" si="14"/>
        <v>High</v>
      </c>
      <c r="I220" s="1" t="str">
        <f t="shared" si="15"/>
        <v>Other</v>
      </c>
      <c r="J220" s="1">
        <f t="shared" si="16"/>
        <v>623037.32999999996</v>
      </c>
    </row>
    <row r="221" spans="1:10" ht="12.75">
      <c r="A221" s="1" t="s">
        <v>16</v>
      </c>
      <c r="B221" s="1" t="s">
        <v>39</v>
      </c>
      <c r="C221" s="1" t="s">
        <v>100</v>
      </c>
      <c r="D221" s="2">
        <v>44795</v>
      </c>
      <c r="E221" s="1" t="s">
        <v>274</v>
      </c>
      <c r="F221" s="5">
        <f t="shared" si="13"/>
        <v>5481</v>
      </c>
      <c r="G221" s="1">
        <v>69</v>
      </c>
      <c r="H221" s="1" t="str">
        <f t="shared" si="14"/>
        <v>High</v>
      </c>
      <c r="I221" s="1" t="str">
        <f t="shared" si="15"/>
        <v>Other</v>
      </c>
      <c r="J221" s="1">
        <f t="shared" si="16"/>
        <v>623037.32999999996</v>
      </c>
    </row>
    <row r="222" spans="1:10" ht="12.75">
      <c r="A222" s="1" t="s">
        <v>17</v>
      </c>
      <c r="B222" s="1" t="s">
        <v>5</v>
      </c>
      <c r="C222" s="1" t="s">
        <v>147</v>
      </c>
      <c r="D222" s="2">
        <v>44573</v>
      </c>
      <c r="E222" s="1" t="s">
        <v>275</v>
      </c>
      <c r="F222" s="5">
        <f t="shared" si="13"/>
        <v>3136</v>
      </c>
      <c r="G222" s="1">
        <v>125</v>
      </c>
      <c r="H222" s="1" t="str">
        <f t="shared" si="14"/>
        <v>High</v>
      </c>
      <c r="I222" s="1" t="str">
        <f t="shared" si="15"/>
        <v>Other</v>
      </c>
      <c r="J222" s="1">
        <f t="shared" si="16"/>
        <v>623037.32999999996</v>
      </c>
    </row>
    <row r="223" spans="1:10" ht="12.75">
      <c r="A223" s="1" t="s">
        <v>14</v>
      </c>
      <c r="B223" s="1" t="s">
        <v>39</v>
      </c>
      <c r="C223" s="1" t="s">
        <v>122</v>
      </c>
      <c r="D223" s="2">
        <v>44722</v>
      </c>
      <c r="E223" s="1" t="s">
        <v>276</v>
      </c>
      <c r="F223" s="5">
        <f t="shared" si="13"/>
        <v>252</v>
      </c>
      <c r="G223" s="1">
        <v>154</v>
      </c>
      <c r="H223" s="1" t="str">
        <f t="shared" si="14"/>
        <v>Low</v>
      </c>
      <c r="I223" s="1" t="str">
        <f t="shared" si="15"/>
        <v>Other</v>
      </c>
      <c r="J223" s="1">
        <f t="shared" si="16"/>
        <v>623037.32999999996</v>
      </c>
    </row>
    <row r="224" spans="1:10" ht="12.75">
      <c r="A224" s="1" t="s">
        <v>8</v>
      </c>
      <c r="B224" s="1" t="s">
        <v>5</v>
      </c>
      <c r="C224" s="1" t="s">
        <v>45</v>
      </c>
      <c r="D224" s="2">
        <v>44645</v>
      </c>
      <c r="E224" s="1" t="s">
        <v>218</v>
      </c>
      <c r="F224" s="5">
        <f t="shared" si="13"/>
        <v>5460</v>
      </c>
      <c r="G224" s="1">
        <v>286</v>
      </c>
      <c r="H224" s="1" t="str">
        <f t="shared" si="14"/>
        <v>High</v>
      </c>
      <c r="I224" s="1" t="str">
        <f t="shared" si="15"/>
        <v>Other</v>
      </c>
      <c r="J224" s="1">
        <f t="shared" si="16"/>
        <v>623037.32999999996</v>
      </c>
    </row>
    <row r="225" spans="1:10" ht="12.75">
      <c r="A225" s="1" t="s">
        <v>19</v>
      </c>
      <c r="B225" s="1" t="s">
        <v>42</v>
      </c>
      <c r="C225" s="1" t="s">
        <v>91</v>
      </c>
      <c r="D225" s="2">
        <v>44769</v>
      </c>
      <c r="E225" s="1" t="s">
        <v>277</v>
      </c>
      <c r="F225" s="5">
        <f t="shared" si="13"/>
        <v>3395</v>
      </c>
      <c r="G225" s="1">
        <v>99</v>
      </c>
      <c r="H225" s="1" t="str">
        <f t="shared" si="14"/>
        <v>High</v>
      </c>
      <c r="I225" s="1" t="str">
        <f t="shared" si="15"/>
        <v>Other</v>
      </c>
      <c r="J225" s="1">
        <f t="shared" si="16"/>
        <v>623037.32999999996</v>
      </c>
    </row>
    <row r="226" spans="1:10" ht="12.75">
      <c r="A226" s="1" t="s">
        <v>13</v>
      </c>
      <c r="B226" s="1" t="s">
        <v>39</v>
      </c>
      <c r="C226" s="1" t="s">
        <v>126</v>
      </c>
      <c r="D226" s="2">
        <v>44666</v>
      </c>
      <c r="E226" s="1" t="s">
        <v>278</v>
      </c>
      <c r="F226" s="5">
        <f t="shared" si="13"/>
        <v>14938</v>
      </c>
      <c r="G226" s="1">
        <v>433</v>
      </c>
      <c r="H226" s="1" t="str">
        <f t="shared" si="14"/>
        <v>High</v>
      </c>
      <c r="I226" s="1" t="str">
        <f t="shared" si="15"/>
        <v>Other</v>
      </c>
      <c r="J226" s="1">
        <f t="shared" si="16"/>
        <v>623037.32999999996</v>
      </c>
    </row>
    <row r="227" spans="1:10" ht="12.75">
      <c r="A227" s="1" t="s">
        <v>26</v>
      </c>
      <c r="B227" s="1" t="s">
        <v>42</v>
      </c>
      <c r="C227" s="1" t="s">
        <v>60</v>
      </c>
      <c r="D227" s="2">
        <v>44739</v>
      </c>
      <c r="E227" s="1" t="s">
        <v>279</v>
      </c>
      <c r="F227" s="5">
        <f t="shared" si="13"/>
        <v>4053</v>
      </c>
      <c r="G227" s="1">
        <v>19</v>
      </c>
      <c r="H227" s="1" t="str">
        <f t="shared" si="14"/>
        <v>High</v>
      </c>
      <c r="I227" s="1" t="str">
        <f t="shared" si="15"/>
        <v>Other</v>
      </c>
      <c r="J227" s="1">
        <f t="shared" si="16"/>
        <v>623037.32999999996</v>
      </c>
    </row>
    <row r="228" spans="1:10" ht="12.75">
      <c r="A228" s="1" t="s">
        <v>11</v>
      </c>
      <c r="B228" s="1" t="s">
        <v>39</v>
      </c>
      <c r="C228" s="1" t="s">
        <v>147</v>
      </c>
      <c r="D228" s="2">
        <v>44665</v>
      </c>
      <c r="E228" s="1" t="s">
        <v>280</v>
      </c>
      <c r="F228" s="5">
        <f t="shared" si="13"/>
        <v>5565</v>
      </c>
      <c r="G228" s="1">
        <v>258</v>
      </c>
      <c r="H228" s="1" t="str">
        <f t="shared" si="14"/>
        <v>High</v>
      </c>
      <c r="I228" s="1" t="str">
        <f t="shared" si="15"/>
        <v>Other</v>
      </c>
      <c r="J228" s="1">
        <f t="shared" si="16"/>
        <v>623037.32999999996</v>
      </c>
    </row>
    <row r="229" spans="1:10" ht="12.75">
      <c r="A229" s="1" t="s">
        <v>13</v>
      </c>
      <c r="B229" s="1" t="s">
        <v>5</v>
      </c>
      <c r="C229" s="1" t="s">
        <v>86</v>
      </c>
      <c r="D229" s="2">
        <v>44635</v>
      </c>
      <c r="E229" s="1" t="s">
        <v>281</v>
      </c>
      <c r="F229" s="5">
        <f t="shared" si="13"/>
        <v>7161</v>
      </c>
      <c r="G229" s="1">
        <v>92</v>
      </c>
      <c r="H229" s="1" t="str">
        <f t="shared" si="14"/>
        <v>High</v>
      </c>
      <c r="I229" s="1" t="str">
        <f t="shared" si="15"/>
        <v>Other</v>
      </c>
      <c r="J229" s="1">
        <f t="shared" si="16"/>
        <v>623037.32999999996</v>
      </c>
    </row>
    <row r="230" spans="1:10" ht="12.75">
      <c r="A230" s="1" t="s">
        <v>9</v>
      </c>
      <c r="B230" s="1" t="s">
        <v>59</v>
      </c>
      <c r="C230" s="1" t="s">
        <v>63</v>
      </c>
      <c r="D230" s="2">
        <v>44638</v>
      </c>
      <c r="E230" s="1" t="s">
        <v>282</v>
      </c>
      <c r="F230" s="5">
        <f t="shared" si="13"/>
        <v>8883</v>
      </c>
      <c r="G230" s="1">
        <v>200</v>
      </c>
      <c r="H230" s="1" t="str">
        <f t="shared" si="14"/>
        <v>High</v>
      </c>
      <c r="I230" s="1" t="str">
        <f t="shared" si="15"/>
        <v>Other</v>
      </c>
      <c r="J230" s="1">
        <f t="shared" si="16"/>
        <v>623037.32999999996</v>
      </c>
    </row>
    <row r="231" spans="1:10" ht="12.75">
      <c r="A231" s="1" t="s">
        <v>7</v>
      </c>
      <c r="B231" s="1" t="s">
        <v>42</v>
      </c>
      <c r="C231" s="1" t="s">
        <v>63</v>
      </c>
      <c r="D231" s="2">
        <v>44680</v>
      </c>
      <c r="E231" s="1" t="s">
        <v>283</v>
      </c>
      <c r="F231" s="5">
        <f t="shared" si="13"/>
        <v>1351</v>
      </c>
      <c r="G231" s="1">
        <v>61</v>
      </c>
      <c r="H231" s="1" t="str">
        <f t="shared" si="14"/>
        <v>High</v>
      </c>
      <c r="I231" s="1" t="str">
        <f t="shared" si="15"/>
        <v>Other</v>
      </c>
      <c r="J231" s="1">
        <f t="shared" si="16"/>
        <v>623037.32999999996</v>
      </c>
    </row>
    <row r="232" spans="1:10" ht="12.75">
      <c r="A232" s="1" t="s">
        <v>2</v>
      </c>
      <c r="B232" s="1" t="s">
        <v>54</v>
      </c>
      <c r="C232" s="1" t="s">
        <v>84</v>
      </c>
      <c r="D232" s="2">
        <v>44617</v>
      </c>
      <c r="E232" s="1" t="s">
        <v>284</v>
      </c>
      <c r="F232" s="5">
        <f t="shared" si="13"/>
        <v>3171</v>
      </c>
      <c r="G232" s="1">
        <v>246</v>
      </c>
      <c r="H232" s="1" t="str">
        <f t="shared" si="14"/>
        <v>High</v>
      </c>
      <c r="I232" s="1" t="str">
        <f t="shared" si="15"/>
        <v>Other</v>
      </c>
      <c r="J232" s="1">
        <f t="shared" si="16"/>
        <v>623037.32999999996</v>
      </c>
    </row>
    <row r="233" spans="1:10" ht="12.75">
      <c r="A233" s="1" t="s">
        <v>13</v>
      </c>
      <c r="B233" s="1" t="s">
        <v>59</v>
      </c>
      <c r="C233" s="1" t="s">
        <v>72</v>
      </c>
      <c r="D233" s="2">
        <v>44622</v>
      </c>
      <c r="E233" s="1" t="s">
        <v>185</v>
      </c>
      <c r="F233" s="5">
        <f t="shared" si="13"/>
        <v>854</v>
      </c>
      <c r="G233" s="1">
        <v>56</v>
      </c>
      <c r="H233" s="1" t="str">
        <f t="shared" si="14"/>
        <v>High</v>
      </c>
      <c r="I233" s="1" t="str">
        <f t="shared" si="15"/>
        <v>Other</v>
      </c>
      <c r="J233" s="1">
        <f t="shared" si="16"/>
        <v>619866.32999999996</v>
      </c>
    </row>
    <row r="234" spans="1:10" ht="12.75">
      <c r="A234" s="1" t="s">
        <v>10</v>
      </c>
      <c r="B234" s="1" t="s">
        <v>5</v>
      </c>
      <c r="C234" s="1" t="s">
        <v>72</v>
      </c>
      <c r="D234" s="2">
        <v>44732</v>
      </c>
      <c r="E234" s="1" t="s">
        <v>285</v>
      </c>
      <c r="F234" s="5">
        <f t="shared" si="13"/>
        <v>7910</v>
      </c>
      <c r="G234" s="1">
        <v>87</v>
      </c>
      <c r="H234" s="1" t="str">
        <f t="shared" si="14"/>
        <v>High</v>
      </c>
      <c r="I234" s="1" t="str">
        <f t="shared" si="15"/>
        <v>Other</v>
      </c>
      <c r="J234" s="1">
        <f t="shared" si="16"/>
        <v>619866.32999999996</v>
      </c>
    </row>
    <row r="235" spans="1:10" ht="12.75">
      <c r="A235" s="1" t="s">
        <v>28</v>
      </c>
      <c r="B235" s="1" t="s">
        <v>62</v>
      </c>
      <c r="C235" s="1" t="s">
        <v>84</v>
      </c>
      <c r="D235" s="2">
        <v>44757</v>
      </c>
      <c r="E235" s="1" t="s">
        <v>129</v>
      </c>
      <c r="F235" s="5">
        <f t="shared" si="13"/>
        <v>9275</v>
      </c>
      <c r="G235" s="1">
        <v>173</v>
      </c>
      <c r="H235" s="1" t="str">
        <f t="shared" si="14"/>
        <v>High</v>
      </c>
      <c r="I235" s="1" t="str">
        <f t="shared" si="15"/>
        <v>Other</v>
      </c>
      <c r="J235" s="1">
        <f t="shared" si="16"/>
        <v>619866.32999999996</v>
      </c>
    </row>
    <row r="236" spans="1:10" ht="12.75">
      <c r="A236" s="1" t="s">
        <v>21</v>
      </c>
      <c r="B236" s="1" t="s">
        <v>5</v>
      </c>
      <c r="C236" s="1" t="s">
        <v>55</v>
      </c>
      <c r="D236" s="2">
        <v>44693</v>
      </c>
      <c r="E236" s="1" t="s">
        <v>286</v>
      </c>
      <c r="F236" s="5">
        <f t="shared" si="13"/>
        <v>3108</v>
      </c>
      <c r="G236" s="1">
        <v>252</v>
      </c>
      <c r="H236" s="1" t="str">
        <f t="shared" si="14"/>
        <v>High</v>
      </c>
      <c r="I236" s="1" t="str">
        <f t="shared" si="15"/>
        <v>Other</v>
      </c>
      <c r="J236" s="1">
        <f t="shared" si="16"/>
        <v>619866.32999999996</v>
      </c>
    </row>
    <row r="237" spans="1:10" ht="12.75">
      <c r="A237" s="1" t="s">
        <v>2</v>
      </c>
      <c r="B237" s="1" t="s">
        <v>54</v>
      </c>
      <c r="C237" s="1" t="s">
        <v>68</v>
      </c>
      <c r="D237" s="2">
        <v>44743</v>
      </c>
      <c r="E237" s="1" t="s">
        <v>287</v>
      </c>
      <c r="F237" s="5">
        <f t="shared" si="13"/>
        <v>5075</v>
      </c>
      <c r="G237" s="1">
        <v>256</v>
      </c>
      <c r="H237" s="1" t="str">
        <f t="shared" si="14"/>
        <v>High</v>
      </c>
      <c r="I237" s="1" t="str">
        <f t="shared" si="15"/>
        <v>Other</v>
      </c>
      <c r="J237" s="1">
        <f t="shared" si="16"/>
        <v>619866.32999999996</v>
      </c>
    </row>
    <row r="238" spans="1:10" ht="12.75">
      <c r="A238" s="1" t="s">
        <v>13</v>
      </c>
      <c r="B238" s="1" t="s">
        <v>59</v>
      </c>
      <c r="C238" s="1" t="s">
        <v>43</v>
      </c>
      <c r="D238" s="2">
        <v>44781</v>
      </c>
      <c r="E238" s="1" t="s">
        <v>288</v>
      </c>
      <c r="F238" s="5">
        <f t="shared" si="13"/>
        <v>378</v>
      </c>
      <c r="G238" s="1">
        <v>54</v>
      </c>
      <c r="H238" s="1" t="str">
        <f t="shared" si="14"/>
        <v>Low</v>
      </c>
      <c r="I238" s="1" t="str">
        <f t="shared" si="15"/>
        <v>Other</v>
      </c>
      <c r="J238" s="1">
        <f t="shared" si="16"/>
        <v>614791.32999999996</v>
      </c>
    </row>
    <row r="239" spans="1:10" ht="12.75">
      <c r="A239" s="1" t="s">
        <v>9</v>
      </c>
      <c r="B239" s="1" t="s">
        <v>5</v>
      </c>
      <c r="C239" s="1" t="s">
        <v>55</v>
      </c>
      <c r="D239" s="2">
        <v>44767</v>
      </c>
      <c r="E239" s="1" t="s">
        <v>289</v>
      </c>
      <c r="F239" s="5">
        <f t="shared" si="13"/>
        <v>7350</v>
      </c>
      <c r="G239" s="1">
        <v>6</v>
      </c>
      <c r="H239" s="1" t="str">
        <f t="shared" si="14"/>
        <v>High</v>
      </c>
      <c r="I239" s="1" t="str">
        <f t="shared" si="15"/>
        <v>Other</v>
      </c>
      <c r="J239" s="1">
        <f t="shared" si="16"/>
        <v>614791.32999999996</v>
      </c>
    </row>
    <row r="240" spans="1:10" ht="12.75">
      <c r="A240" s="1" t="s">
        <v>29</v>
      </c>
      <c r="B240" s="1" t="s">
        <v>39</v>
      </c>
      <c r="C240" s="1" t="s">
        <v>65</v>
      </c>
      <c r="D240" s="2">
        <v>44699</v>
      </c>
      <c r="E240" s="1" t="s">
        <v>290</v>
      </c>
      <c r="F240" s="5">
        <f t="shared" si="13"/>
        <v>3388</v>
      </c>
      <c r="G240" s="1">
        <v>55</v>
      </c>
      <c r="H240" s="1" t="str">
        <f t="shared" si="14"/>
        <v>High</v>
      </c>
      <c r="I240" s="1" t="str">
        <f t="shared" si="15"/>
        <v>Other</v>
      </c>
      <c r="J240" s="1">
        <f t="shared" si="16"/>
        <v>614791.32999999996</v>
      </c>
    </row>
    <row r="241" spans="1:10" ht="12.75">
      <c r="A241" s="1" t="s">
        <v>25</v>
      </c>
      <c r="B241" s="1" t="s">
        <v>42</v>
      </c>
      <c r="C241" s="1" t="s">
        <v>45</v>
      </c>
      <c r="D241" s="2">
        <v>44757</v>
      </c>
      <c r="E241" s="1" t="s">
        <v>291</v>
      </c>
      <c r="F241" s="5">
        <f t="shared" si="13"/>
        <v>11837</v>
      </c>
      <c r="G241" s="1">
        <v>277</v>
      </c>
      <c r="H241" s="1" t="str">
        <f t="shared" si="14"/>
        <v>High</v>
      </c>
      <c r="I241" s="1" t="str">
        <f t="shared" si="15"/>
        <v>Other</v>
      </c>
      <c r="J241" s="1">
        <f t="shared" si="16"/>
        <v>614791.32999999996</v>
      </c>
    </row>
    <row r="242" spans="1:10" ht="12.75">
      <c r="A242" s="1" t="s">
        <v>24</v>
      </c>
      <c r="B242" s="1" t="s">
        <v>42</v>
      </c>
      <c r="C242" s="1" t="s">
        <v>147</v>
      </c>
      <c r="D242" s="2">
        <v>44747</v>
      </c>
      <c r="E242" s="1" t="s">
        <v>214</v>
      </c>
      <c r="F242" s="5">
        <f t="shared" si="13"/>
        <v>2282</v>
      </c>
      <c r="G242" s="1">
        <v>44</v>
      </c>
      <c r="H242" s="1" t="str">
        <f t="shared" si="14"/>
        <v>High</v>
      </c>
      <c r="I242" s="1" t="str">
        <f t="shared" si="15"/>
        <v>Other</v>
      </c>
      <c r="J242" s="1">
        <f t="shared" si="16"/>
        <v>614791.32999999996</v>
      </c>
    </row>
    <row r="243" spans="1:10" ht="12.75">
      <c r="A243" s="1" t="s">
        <v>2</v>
      </c>
      <c r="B243" s="1" t="s">
        <v>59</v>
      </c>
      <c r="C243" s="1" t="s">
        <v>86</v>
      </c>
      <c r="D243" s="2">
        <v>44746</v>
      </c>
      <c r="E243" s="1" t="s">
        <v>292</v>
      </c>
      <c r="F243" s="5">
        <f t="shared" si="13"/>
        <v>5425</v>
      </c>
      <c r="G243" s="1">
        <v>96</v>
      </c>
      <c r="H243" s="1" t="str">
        <f t="shared" si="14"/>
        <v>High</v>
      </c>
      <c r="I243" s="1" t="str">
        <f t="shared" si="15"/>
        <v>Other</v>
      </c>
      <c r="J243" s="1">
        <f t="shared" si="16"/>
        <v>614791.32999999996</v>
      </c>
    </row>
    <row r="244" spans="1:10" ht="12.75">
      <c r="A244" s="1" t="s">
        <v>21</v>
      </c>
      <c r="B244" s="1" t="s">
        <v>39</v>
      </c>
      <c r="C244" s="1" t="s">
        <v>147</v>
      </c>
      <c r="D244" s="2">
        <v>44732</v>
      </c>
      <c r="E244" s="1" t="s">
        <v>77</v>
      </c>
      <c r="F244" s="5">
        <f t="shared" si="13"/>
        <v>1267</v>
      </c>
      <c r="G244" s="1">
        <v>216</v>
      </c>
      <c r="H244" s="1" t="str">
        <f t="shared" si="14"/>
        <v>High</v>
      </c>
      <c r="I244" s="1" t="str">
        <f t="shared" si="15"/>
        <v>Other</v>
      </c>
      <c r="J244" s="1">
        <f t="shared" si="16"/>
        <v>609366.32999999996</v>
      </c>
    </row>
    <row r="245" spans="1:10" ht="12.75">
      <c r="A245" s="1" t="s">
        <v>23</v>
      </c>
      <c r="B245" s="1" t="s">
        <v>5</v>
      </c>
      <c r="C245" s="1" t="s">
        <v>91</v>
      </c>
      <c r="D245" s="2">
        <v>44586</v>
      </c>
      <c r="E245" s="1" t="s">
        <v>293</v>
      </c>
      <c r="F245" s="5">
        <f t="shared" si="13"/>
        <v>3752</v>
      </c>
      <c r="G245" s="1">
        <v>424</v>
      </c>
      <c r="H245" s="1" t="str">
        <f t="shared" si="14"/>
        <v>High</v>
      </c>
      <c r="I245" s="1" t="str">
        <f t="shared" si="15"/>
        <v>Other</v>
      </c>
      <c r="J245" s="1">
        <f t="shared" si="16"/>
        <v>609366.32999999996</v>
      </c>
    </row>
    <row r="246" spans="1:10" ht="12.75">
      <c r="A246" s="1" t="s">
        <v>8</v>
      </c>
      <c r="B246" s="1" t="s">
        <v>54</v>
      </c>
      <c r="C246" s="1" t="s">
        <v>76</v>
      </c>
      <c r="D246" s="2">
        <v>44743</v>
      </c>
      <c r="E246" s="1" t="s">
        <v>294</v>
      </c>
      <c r="F246" s="5">
        <f t="shared" si="13"/>
        <v>7728</v>
      </c>
      <c r="G246" s="1">
        <v>37</v>
      </c>
      <c r="H246" s="1" t="str">
        <f t="shared" si="14"/>
        <v>High</v>
      </c>
      <c r="I246" s="1" t="str">
        <f t="shared" si="15"/>
        <v>Other</v>
      </c>
      <c r="J246" s="1">
        <f t="shared" si="16"/>
        <v>609366.32999999996</v>
      </c>
    </row>
    <row r="247" spans="1:10" ht="12.75">
      <c r="A247" s="1" t="s">
        <v>20</v>
      </c>
      <c r="B247" s="1" t="s">
        <v>59</v>
      </c>
      <c r="C247" s="1" t="s">
        <v>55</v>
      </c>
      <c r="D247" s="2">
        <v>44664</v>
      </c>
      <c r="E247" s="1" t="s">
        <v>295</v>
      </c>
      <c r="F247" s="5">
        <f t="shared" si="13"/>
        <v>2296</v>
      </c>
      <c r="G247" s="1">
        <v>59</v>
      </c>
      <c r="H247" s="1" t="str">
        <f t="shared" si="14"/>
        <v>High</v>
      </c>
      <c r="I247" s="1" t="str">
        <f t="shared" si="15"/>
        <v>Other</v>
      </c>
      <c r="J247" s="1">
        <f t="shared" si="16"/>
        <v>609366.32999999996</v>
      </c>
    </row>
    <row r="248" spans="1:10" ht="12.75">
      <c r="A248" s="1" t="s">
        <v>28</v>
      </c>
      <c r="B248" s="1" t="s">
        <v>39</v>
      </c>
      <c r="C248" s="1" t="s">
        <v>49</v>
      </c>
      <c r="D248" s="2">
        <v>44685</v>
      </c>
      <c r="E248" s="1" t="s">
        <v>296</v>
      </c>
      <c r="F248" s="5">
        <f t="shared" si="13"/>
        <v>4403</v>
      </c>
      <c r="G248" s="1">
        <v>76</v>
      </c>
      <c r="H248" s="1" t="str">
        <f t="shared" si="14"/>
        <v>High</v>
      </c>
      <c r="I248" s="1" t="str">
        <f t="shared" si="15"/>
        <v>Other</v>
      </c>
      <c r="J248" s="1">
        <f t="shared" si="16"/>
        <v>609366.32999999996</v>
      </c>
    </row>
    <row r="249" spans="1:10" ht="12.75">
      <c r="A249" s="1" t="s">
        <v>28</v>
      </c>
      <c r="B249" s="1" t="s">
        <v>5</v>
      </c>
      <c r="C249" s="1" t="s">
        <v>122</v>
      </c>
      <c r="D249" s="2">
        <v>44777</v>
      </c>
      <c r="E249" s="1" t="s">
        <v>297</v>
      </c>
      <c r="F249" s="5">
        <f t="shared" si="13"/>
        <v>3192</v>
      </c>
      <c r="G249" s="1">
        <v>109</v>
      </c>
      <c r="H249" s="1" t="str">
        <f t="shared" si="14"/>
        <v>High</v>
      </c>
      <c r="I249" s="1" t="str">
        <f t="shared" si="15"/>
        <v>Other</v>
      </c>
      <c r="J249" s="1">
        <f t="shared" si="16"/>
        <v>609366.32999999996</v>
      </c>
    </row>
    <row r="250" spans="1:10" ht="12.75">
      <c r="A250" s="1" t="s">
        <v>28</v>
      </c>
      <c r="B250" s="1" t="s">
        <v>42</v>
      </c>
      <c r="C250" s="1" t="s">
        <v>147</v>
      </c>
      <c r="D250" s="2">
        <v>44713</v>
      </c>
      <c r="E250" s="1" t="s">
        <v>298</v>
      </c>
      <c r="F250" s="5">
        <f t="shared" si="13"/>
        <v>448</v>
      </c>
      <c r="G250" s="1">
        <v>146</v>
      </c>
      <c r="H250" s="1" t="str">
        <f t="shared" si="14"/>
        <v>Low</v>
      </c>
      <c r="I250" s="1" t="str">
        <f t="shared" si="15"/>
        <v>Other</v>
      </c>
      <c r="J250" s="1">
        <f t="shared" si="16"/>
        <v>609366.32999999996</v>
      </c>
    </row>
    <row r="251" spans="1:10" ht="12.75">
      <c r="A251" s="1" t="s">
        <v>11</v>
      </c>
      <c r="B251" s="1" t="s">
        <v>39</v>
      </c>
      <c r="C251" s="1" t="s">
        <v>102</v>
      </c>
      <c r="D251" s="2">
        <v>44673</v>
      </c>
      <c r="E251" s="1" t="s">
        <v>299</v>
      </c>
      <c r="F251" s="5">
        <f t="shared" si="13"/>
        <v>4270</v>
      </c>
      <c r="G251" s="1">
        <v>185</v>
      </c>
      <c r="H251" s="1" t="str">
        <f t="shared" si="14"/>
        <v>High</v>
      </c>
      <c r="I251" s="1" t="str">
        <f t="shared" si="15"/>
        <v>Other</v>
      </c>
      <c r="J251" s="1">
        <f t="shared" si="16"/>
        <v>609366.32999999996</v>
      </c>
    </row>
    <row r="252" spans="1:10" ht="12.75">
      <c r="A252" s="1" t="s">
        <v>8</v>
      </c>
      <c r="B252" s="1" t="s">
        <v>59</v>
      </c>
      <c r="C252" s="1" t="s">
        <v>55</v>
      </c>
      <c r="D252" s="2">
        <v>44776</v>
      </c>
      <c r="E252" s="1" t="s">
        <v>300</v>
      </c>
      <c r="F252" s="5">
        <f t="shared" si="13"/>
        <v>70</v>
      </c>
      <c r="G252" s="1">
        <v>27</v>
      </c>
      <c r="H252" s="1" t="str">
        <f t="shared" si="14"/>
        <v>Low</v>
      </c>
      <c r="I252" s="1" t="str">
        <f t="shared" si="15"/>
        <v>Other</v>
      </c>
      <c r="J252" s="1">
        <f t="shared" si="16"/>
        <v>609366.32999999996</v>
      </c>
    </row>
    <row r="253" spans="1:10" ht="12.75">
      <c r="A253" s="1" t="s">
        <v>17</v>
      </c>
      <c r="B253" s="1" t="s">
        <v>59</v>
      </c>
      <c r="C253" s="1" t="s">
        <v>60</v>
      </c>
      <c r="D253" s="2">
        <v>44722</v>
      </c>
      <c r="E253" s="1" t="s">
        <v>156</v>
      </c>
      <c r="F253" s="5">
        <f t="shared" si="13"/>
        <v>1743</v>
      </c>
      <c r="G253" s="1">
        <v>69</v>
      </c>
      <c r="H253" s="1" t="str">
        <f t="shared" si="14"/>
        <v>High</v>
      </c>
      <c r="I253" s="1" t="str">
        <f t="shared" si="15"/>
        <v>Other</v>
      </c>
      <c r="J253" s="1">
        <f t="shared" si="16"/>
        <v>609366.32999999996</v>
      </c>
    </row>
    <row r="254" spans="1:10" ht="12.75">
      <c r="A254" s="1" t="s">
        <v>23</v>
      </c>
      <c r="B254" s="1" t="s">
        <v>39</v>
      </c>
      <c r="C254" s="1" t="s">
        <v>86</v>
      </c>
      <c r="D254" s="2">
        <v>44739</v>
      </c>
      <c r="E254" s="1" t="s">
        <v>301</v>
      </c>
      <c r="F254" s="5">
        <f t="shared" si="13"/>
        <v>6762</v>
      </c>
      <c r="G254" s="1">
        <v>46</v>
      </c>
      <c r="H254" s="1" t="str">
        <f t="shared" si="14"/>
        <v>High</v>
      </c>
      <c r="I254" s="1" t="str">
        <f t="shared" si="15"/>
        <v>Other</v>
      </c>
      <c r="J254" s="1">
        <f t="shared" si="16"/>
        <v>609366.32999999996</v>
      </c>
    </row>
    <row r="255" spans="1:10" ht="12.75">
      <c r="A255" s="1" t="s">
        <v>14</v>
      </c>
      <c r="B255" s="1" t="s">
        <v>5</v>
      </c>
      <c r="C255" s="1" t="s">
        <v>49</v>
      </c>
      <c r="D255" s="2">
        <v>44564</v>
      </c>
      <c r="E255" s="1" t="s">
        <v>302</v>
      </c>
      <c r="F255" s="5">
        <f t="shared" si="13"/>
        <v>3745</v>
      </c>
      <c r="G255" s="1">
        <v>170</v>
      </c>
      <c r="H255" s="1" t="str">
        <f t="shared" si="14"/>
        <v>High</v>
      </c>
      <c r="I255" s="1" t="str">
        <f t="shared" si="15"/>
        <v>Other</v>
      </c>
      <c r="J255" s="1">
        <f t="shared" si="16"/>
        <v>609366.32999999996</v>
      </c>
    </row>
    <row r="256" spans="1:10" ht="12.75">
      <c r="A256" s="1" t="s">
        <v>14</v>
      </c>
      <c r="B256" s="1" t="s">
        <v>42</v>
      </c>
      <c r="C256" s="1" t="s">
        <v>52</v>
      </c>
      <c r="D256" s="2">
        <v>44753</v>
      </c>
      <c r="E256" s="1" t="s">
        <v>303</v>
      </c>
      <c r="F256" s="5">
        <f t="shared" si="13"/>
        <v>2639</v>
      </c>
      <c r="G256" s="1">
        <v>179</v>
      </c>
      <c r="H256" s="1" t="str">
        <f t="shared" si="14"/>
        <v>High</v>
      </c>
      <c r="I256" s="1" t="str">
        <f t="shared" si="15"/>
        <v>Other</v>
      </c>
      <c r="J256" s="1">
        <f t="shared" si="16"/>
        <v>609366.32999999996</v>
      </c>
    </row>
    <row r="257" spans="1:10" ht="12.75">
      <c r="A257" s="1" t="s">
        <v>17</v>
      </c>
      <c r="B257" s="1" t="s">
        <v>54</v>
      </c>
      <c r="C257" s="1" t="s">
        <v>72</v>
      </c>
      <c r="D257" s="2">
        <v>44790</v>
      </c>
      <c r="E257" s="1" t="s">
        <v>304</v>
      </c>
      <c r="F257" s="5">
        <f t="shared" si="13"/>
        <v>4389</v>
      </c>
      <c r="G257" s="1">
        <v>126</v>
      </c>
      <c r="H257" s="1" t="str">
        <f t="shared" si="14"/>
        <v>High</v>
      </c>
      <c r="I257" s="1" t="str">
        <f t="shared" si="15"/>
        <v>Other</v>
      </c>
      <c r="J257" s="1">
        <f t="shared" si="16"/>
        <v>609366.32999999996</v>
      </c>
    </row>
    <row r="258" spans="1:10" ht="12.75">
      <c r="A258" s="1" t="s">
        <v>19</v>
      </c>
      <c r="B258" s="1" t="s">
        <v>59</v>
      </c>
      <c r="C258" s="1" t="s">
        <v>81</v>
      </c>
      <c r="D258" s="2">
        <v>44579</v>
      </c>
      <c r="E258" s="1" t="s">
        <v>305</v>
      </c>
      <c r="F258" s="5">
        <f t="shared" ref="F258:F321" si="17">VALUE(SUBSTITUTE(E258,"$",""))</f>
        <v>2604</v>
      </c>
      <c r="G258" s="1">
        <v>65</v>
      </c>
      <c r="H258" s="1" t="str">
        <f t="shared" ref="H258:H321" si="18">IF(F258&gt;800,"High",IF(F258&gt;500,"Medium","Low"))</f>
        <v>High</v>
      </c>
      <c r="I258" s="1" t="str">
        <f t="shared" ref="I258:I321" si="19">IF(AND(B258="Australia",A258="Mallorie Waber"),"Top Local","Other")</f>
        <v>Other</v>
      </c>
      <c r="J258" s="1">
        <f t="shared" ref="J258:J321" si="20">SUMIF(A258:A3538,"Mallorie Waber",F258:F3538)</f>
        <v>609366.32999999996</v>
      </c>
    </row>
    <row r="259" spans="1:10" ht="12.75">
      <c r="A259" s="1" t="s">
        <v>17</v>
      </c>
      <c r="B259" s="1" t="s">
        <v>42</v>
      </c>
      <c r="C259" s="1" t="s">
        <v>68</v>
      </c>
      <c r="D259" s="2">
        <v>44628</v>
      </c>
      <c r="E259" s="1" t="s">
        <v>306</v>
      </c>
      <c r="F259" s="5">
        <f t="shared" si="17"/>
        <v>16569</v>
      </c>
      <c r="G259" s="1">
        <v>99</v>
      </c>
      <c r="H259" s="1" t="str">
        <f t="shared" si="18"/>
        <v>High</v>
      </c>
      <c r="I259" s="1" t="str">
        <f t="shared" si="19"/>
        <v>Other</v>
      </c>
      <c r="J259" s="1">
        <f t="shared" si="20"/>
        <v>609366.32999999996</v>
      </c>
    </row>
    <row r="260" spans="1:10" ht="12.75">
      <c r="A260" s="1" t="s">
        <v>2</v>
      </c>
      <c r="B260" s="1" t="s">
        <v>5</v>
      </c>
      <c r="C260" s="1" t="s">
        <v>60</v>
      </c>
      <c r="D260" s="2">
        <v>44627</v>
      </c>
      <c r="E260" s="1" t="s">
        <v>307</v>
      </c>
      <c r="F260" s="5">
        <f t="shared" si="17"/>
        <v>14658</v>
      </c>
      <c r="G260" s="1">
        <v>275</v>
      </c>
      <c r="H260" s="1" t="str">
        <f t="shared" si="18"/>
        <v>High</v>
      </c>
      <c r="I260" s="1" t="str">
        <f t="shared" si="19"/>
        <v>Top Local</v>
      </c>
      <c r="J260" s="1">
        <f t="shared" si="20"/>
        <v>609366.32999999996</v>
      </c>
    </row>
    <row r="261" spans="1:10" ht="12.75">
      <c r="A261" s="1" t="s">
        <v>13</v>
      </c>
      <c r="B261" s="1" t="s">
        <v>42</v>
      </c>
      <c r="C261" s="1" t="s">
        <v>147</v>
      </c>
      <c r="D261" s="2">
        <v>44690</v>
      </c>
      <c r="E261" s="1" t="s">
        <v>255</v>
      </c>
      <c r="F261" s="5">
        <f t="shared" si="17"/>
        <v>6454</v>
      </c>
      <c r="G261" s="1">
        <v>157</v>
      </c>
      <c r="H261" s="1" t="str">
        <f t="shared" si="18"/>
        <v>High</v>
      </c>
      <c r="I261" s="1" t="str">
        <f t="shared" si="19"/>
        <v>Other</v>
      </c>
      <c r="J261" s="1">
        <f t="shared" si="20"/>
        <v>594708.32999999996</v>
      </c>
    </row>
    <row r="262" spans="1:10" ht="12.75">
      <c r="A262" s="1" t="s">
        <v>16</v>
      </c>
      <c r="B262" s="1" t="s">
        <v>54</v>
      </c>
      <c r="C262" s="1" t="s">
        <v>43</v>
      </c>
      <c r="D262" s="2">
        <v>44704</v>
      </c>
      <c r="E262" s="1" t="s">
        <v>251</v>
      </c>
      <c r="F262" s="5">
        <f t="shared" si="17"/>
        <v>2100</v>
      </c>
      <c r="G262" s="1">
        <v>157</v>
      </c>
      <c r="H262" s="1" t="str">
        <f t="shared" si="18"/>
        <v>High</v>
      </c>
      <c r="I262" s="1" t="str">
        <f t="shared" si="19"/>
        <v>Other</v>
      </c>
      <c r="J262" s="1">
        <f t="shared" si="20"/>
        <v>594708.32999999996</v>
      </c>
    </row>
    <row r="263" spans="1:10" ht="12.75">
      <c r="A263" s="1" t="s">
        <v>9</v>
      </c>
      <c r="B263" s="1" t="s">
        <v>39</v>
      </c>
      <c r="C263" s="1" t="s">
        <v>126</v>
      </c>
      <c r="D263" s="2">
        <v>44666</v>
      </c>
      <c r="E263" s="1" t="s">
        <v>308</v>
      </c>
      <c r="F263" s="5">
        <f t="shared" si="17"/>
        <v>161</v>
      </c>
      <c r="G263" s="1">
        <v>145</v>
      </c>
      <c r="H263" s="1" t="str">
        <f t="shared" si="18"/>
        <v>Low</v>
      </c>
      <c r="I263" s="1" t="str">
        <f t="shared" si="19"/>
        <v>Other</v>
      </c>
      <c r="J263" s="1">
        <f t="shared" si="20"/>
        <v>594708.32999999996</v>
      </c>
    </row>
    <row r="264" spans="1:10" ht="12.75">
      <c r="A264" s="1" t="s">
        <v>20</v>
      </c>
      <c r="B264" s="1" t="s">
        <v>5</v>
      </c>
      <c r="C264" s="1" t="s">
        <v>65</v>
      </c>
      <c r="D264" s="2">
        <v>44769</v>
      </c>
      <c r="E264" s="1" t="s">
        <v>309</v>
      </c>
      <c r="F264" s="5">
        <f t="shared" si="17"/>
        <v>2807</v>
      </c>
      <c r="G264" s="1">
        <v>139</v>
      </c>
      <c r="H264" s="1" t="str">
        <f t="shared" si="18"/>
        <v>High</v>
      </c>
      <c r="I264" s="1" t="str">
        <f t="shared" si="19"/>
        <v>Other</v>
      </c>
      <c r="J264" s="1">
        <f t="shared" si="20"/>
        <v>594708.32999999996</v>
      </c>
    </row>
    <row r="265" spans="1:10" ht="12.75">
      <c r="A265" s="1" t="s">
        <v>14</v>
      </c>
      <c r="B265" s="1" t="s">
        <v>62</v>
      </c>
      <c r="C265" s="1" t="s">
        <v>102</v>
      </c>
      <c r="D265" s="2">
        <v>44795</v>
      </c>
      <c r="E265" s="1" t="s">
        <v>303</v>
      </c>
      <c r="F265" s="5">
        <f t="shared" si="17"/>
        <v>2639</v>
      </c>
      <c r="G265" s="1">
        <v>406</v>
      </c>
      <c r="H265" s="1" t="str">
        <f t="shared" si="18"/>
        <v>High</v>
      </c>
      <c r="I265" s="1" t="str">
        <f t="shared" si="19"/>
        <v>Other</v>
      </c>
      <c r="J265" s="1">
        <f t="shared" si="20"/>
        <v>594708.32999999996</v>
      </c>
    </row>
    <row r="266" spans="1:10" ht="12.75">
      <c r="A266" s="1" t="s">
        <v>17</v>
      </c>
      <c r="B266" s="1" t="s">
        <v>59</v>
      </c>
      <c r="C266" s="1" t="s">
        <v>147</v>
      </c>
      <c r="D266" s="2">
        <v>44692</v>
      </c>
      <c r="E266" s="1" t="s">
        <v>273</v>
      </c>
      <c r="F266" s="5">
        <f t="shared" si="17"/>
        <v>4571</v>
      </c>
      <c r="G266" s="1">
        <v>122</v>
      </c>
      <c r="H266" s="1" t="str">
        <f t="shared" si="18"/>
        <v>High</v>
      </c>
      <c r="I266" s="1" t="str">
        <f t="shared" si="19"/>
        <v>Other</v>
      </c>
      <c r="J266" s="1">
        <f t="shared" si="20"/>
        <v>594708.32999999996</v>
      </c>
    </row>
    <row r="267" spans="1:10" ht="12.75">
      <c r="A267" s="1" t="s">
        <v>9</v>
      </c>
      <c r="B267" s="1" t="s">
        <v>42</v>
      </c>
      <c r="C267" s="1" t="s">
        <v>68</v>
      </c>
      <c r="D267" s="2">
        <v>44587</v>
      </c>
      <c r="E267" s="1" t="s">
        <v>103</v>
      </c>
      <c r="F267" s="5">
        <f t="shared" si="17"/>
        <v>4781</v>
      </c>
      <c r="G267" s="1">
        <v>38</v>
      </c>
      <c r="H267" s="1" t="str">
        <f t="shared" si="18"/>
        <v>High</v>
      </c>
      <c r="I267" s="1" t="str">
        <f t="shared" si="19"/>
        <v>Other</v>
      </c>
      <c r="J267" s="1">
        <f t="shared" si="20"/>
        <v>594708.32999999996</v>
      </c>
    </row>
    <row r="268" spans="1:10" ht="12.75">
      <c r="A268" s="1" t="s">
        <v>16</v>
      </c>
      <c r="B268" s="1" t="s">
        <v>59</v>
      </c>
      <c r="C268" s="1" t="s">
        <v>55</v>
      </c>
      <c r="D268" s="2">
        <v>44665</v>
      </c>
      <c r="E268" s="1" t="s">
        <v>310</v>
      </c>
      <c r="F268" s="5">
        <f t="shared" si="17"/>
        <v>13034</v>
      </c>
      <c r="G268" s="1">
        <v>117</v>
      </c>
      <c r="H268" s="1" t="str">
        <f t="shared" si="18"/>
        <v>High</v>
      </c>
      <c r="I268" s="1" t="str">
        <f t="shared" si="19"/>
        <v>Other</v>
      </c>
      <c r="J268" s="1">
        <f t="shared" si="20"/>
        <v>594708.32999999996</v>
      </c>
    </row>
    <row r="269" spans="1:10" ht="12.75">
      <c r="A269" s="1" t="s">
        <v>6</v>
      </c>
      <c r="B269" s="1" t="s">
        <v>54</v>
      </c>
      <c r="C269" s="1" t="s">
        <v>40</v>
      </c>
      <c r="D269" s="2">
        <v>44656</v>
      </c>
      <c r="E269" s="1" t="s">
        <v>255</v>
      </c>
      <c r="F269" s="5">
        <f t="shared" si="17"/>
        <v>6454</v>
      </c>
      <c r="G269" s="1">
        <v>417</v>
      </c>
      <c r="H269" s="1" t="str">
        <f t="shared" si="18"/>
        <v>High</v>
      </c>
      <c r="I269" s="1" t="str">
        <f t="shared" si="19"/>
        <v>Other</v>
      </c>
      <c r="J269" s="1">
        <f t="shared" si="20"/>
        <v>594708.32999999996</v>
      </c>
    </row>
    <row r="270" spans="1:10" ht="12.75">
      <c r="A270" s="1" t="s">
        <v>14</v>
      </c>
      <c r="B270" s="1" t="s">
        <v>54</v>
      </c>
      <c r="C270" s="1" t="s">
        <v>49</v>
      </c>
      <c r="D270" s="2">
        <v>44726</v>
      </c>
      <c r="E270" s="1" t="s">
        <v>311</v>
      </c>
      <c r="F270" s="5">
        <f t="shared" si="17"/>
        <v>8484</v>
      </c>
      <c r="G270" s="1">
        <v>57</v>
      </c>
      <c r="H270" s="1" t="str">
        <f t="shared" si="18"/>
        <v>High</v>
      </c>
      <c r="I270" s="1" t="str">
        <f t="shared" si="19"/>
        <v>Other</v>
      </c>
      <c r="J270" s="1">
        <f t="shared" si="20"/>
        <v>594708.32999999996</v>
      </c>
    </row>
    <row r="271" spans="1:10" ht="12.75">
      <c r="A271" s="1" t="s">
        <v>7</v>
      </c>
      <c r="B271" s="1" t="s">
        <v>62</v>
      </c>
      <c r="C271" s="1" t="s">
        <v>91</v>
      </c>
      <c r="D271" s="2">
        <v>44664</v>
      </c>
      <c r="E271" s="1" t="s">
        <v>103</v>
      </c>
      <c r="F271" s="5">
        <f t="shared" si="17"/>
        <v>4781</v>
      </c>
      <c r="G271" s="1">
        <v>125</v>
      </c>
      <c r="H271" s="1" t="str">
        <f t="shared" si="18"/>
        <v>High</v>
      </c>
      <c r="I271" s="1" t="str">
        <f t="shared" si="19"/>
        <v>Other</v>
      </c>
      <c r="J271" s="1">
        <f t="shared" si="20"/>
        <v>594708.32999999996</v>
      </c>
    </row>
    <row r="272" spans="1:10" ht="12.75">
      <c r="A272" s="1" t="s">
        <v>28</v>
      </c>
      <c r="B272" s="1" t="s">
        <v>5</v>
      </c>
      <c r="C272" s="1" t="s">
        <v>84</v>
      </c>
      <c r="D272" s="2">
        <v>44739</v>
      </c>
      <c r="E272" s="1" t="s">
        <v>312</v>
      </c>
      <c r="F272" s="5">
        <f t="shared" si="17"/>
        <v>2240</v>
      </c>
      <c r="G272" s="1">
        <v>166</v>
      </c>
      <c r="H272" s="1" t="str">
        <f t="shared" si="18"/>
        <v>High</v>
      </c>
      <c r="I272" s="1" t="str">
        <f t="shared" si="19"/>
        <v>Other</v>
      </c>
      <c r="J272" s="1">
        <f t="shared" si="20"/>
        <v>594708.32999999996</v>
      </c>
    </row>
    <row r="273" spans="1:10" ht="12.75">
      <c r="A273" s="1" t="s">
        <v>21</v>
      </c>
      <c r="B273" s="1" t="s">
        <v>5</v>
      </c>
      <c r="C273" s="1" t="s">
        <v>63</v>
      </c>
      <c r="D273" s="2">
        <v>44587</v>
      </c>
      <c r="E273" s="1" t="s">
        <v>107</v>
      </c>
      <c r="F273" s="5">
        <f t="shared" si="17"/>
        <v>6979</v>
      </c>
      <c r="G273" s="1">
        <v>3</v>
      </c>
      <c r="H273" s="1" t="str">
        <f t="shared" si="18"/>
        <v>High</v>
      </c>
      <c r="I273" s="1" t="str">
        <f t="shared" si="19"/>
        <v>Other</v>
      </c>
      <c r="J273" s="1">
        <f t="shared" si="20"/>
        <v>594708.32999999996</v>
      </c>
    </row>
    <row r="274" spans="1:10" ht="12.75">
      <c r="A274" s="1" t="s">
        <v>16</v>
      </c>
      <c r="B274" s="1" t="s">
        <v>39</v>
      </c>
      <c r="C274" s="1" t="s">
        <v>84</v>
      </c>
      <c r="D274" s="2">
        <v>44747</v>
      </c>
      <c r="E274" s="1" t="s">
        <v>82</v>
      </c>
      <c r="F274" s="5">
        <f t="shared" si="17"/>
        <v>1652</v>
      </c>
      <c r="G274" s="1">
        <v>72</v>
      </c>
      <c r="H274" s="1" t="str">
        <f t="shared" si="18"/>
        <v>High</v>
      </c>
      <c r="I274" s="1" t="str">
        <f t="shared" si="19"/>
        <v>Other</v>
      </c>
      <c r="J274" s="1">
        <f t="shared" si="20"/>
        <v>594708.32999999996</v>
      </c>
    </row>
    <row r="275" spans="1:10" ht="12.75">
      <c r="A275" s="1" t="s">
        <v>28</v>
      </c>
      <c r="B275" s="1" t="s">
        <v>62</v>
      </c>
      <c r="C275" s="1" t="s">
        <v>122</v>
      </c>
      <c r="D275" s="2">
        <v>44572</v>
      </c>
      <c r="E275" s="1" t="s">
        <v>313</v>
      </c>
      <c r="F275" s="5">
        <f t="shared" si="17"/>
        <v>13447</v>
      </c>
      <c r="G275" s="1">
        <v>95</v>
      </c>
      <c r="H275" s="1" t="str">
        <f t="shared" si="18"/>
        <v>High</v>
      </c>
      <c r="I275" s="1" t="str">
        <f t="shared" si="19"/>
        <v>Other</v>
      </c>
      <c r="J275" s="1">
        <f t="shared" si="20"/>
        <v>594708.32999999996</v>
      </c>
    </row>
    <row r="276" spans="1:10" ht="12.75">
      <c r="A276" s="1" t="s">
        <v>12</v>
      </c>
      <c r="B276" s="1" t="s">
        <v>59</v>
      </c>
      <c r="C276" s="1" t="s">
        <v>84</v>
      </c>
      <c r="D276" s="2">
        <v>44627</v>
      </c>
      <c r="E276" s="1" t="s">
        <v>314</v>
      </c>
      <c r="F276" s="5">
        <f t="shared" si="17"/>
        <v>9422</v>
      </c>
      <c r="G276" s="1">
        <v>22</v>
      </c>
      <c r="H276" s="1" t="str">
        <f t="shared" si="18"/>
        <v>High</v>
      </c>
      <c r="I276" s="1" t="str">
        <f t="shared" si="19"/>
        <v>Other</v>
      </c>
      <c r="J276" s="1">
        <f t="shared" si="20"/>
        <v>594708.32999999996</v>
      </c>
    </row>
    <row r="277" spans="1:10" ht="12.75">
      <c r="A277" s="1" t="s">
        <v>8</v>
      </c>
      <c r="B277" s="1" t="s">
        <v>62</v>
      </c>
      <c r="C277" s="1" t="s">
        <v>55</v>
      </c>
      <c r="D277" s="2">
        <v>44624</v>
      </c>
      <c r="E277" s="1" t="s">
        <v>315</v>
      </c>
      <c r="F277" s="5">
        <f t="shared" si="17"/>
        <v>8687</v>
      </c>
      <c r="G277" s="1">
        <v>100</v>
      </c>
      <c r="H277" s="1" t="str">
        <f t="shared" si="18"/>
        <v>High</v>
      </c>
      <c r="I277" s="1" t="str">
        <f t="shared" si="19"/>
        <v>Other</v>
      </c>
      <c r="J277" s="1">
        <f t="shared" si="20"/>
        <v>594708.32999999996</v>
      </c>
    </row>
    <row r="278" spans="1:10" ht="12.75">
      <c r="A278" s="1" t="s">
        <v>18</v>
      </c>
      <c r="B278" s="1" t="s">
        <v>62</v>
      </c>
      <c r="C278" s="1" t="s">
        <v>68</v>
      </c>
      <c r="D278" s="2">
        <v>44757</v>
      </c>
      <c r="E278" s="1" t="s">
        <v>316</v>
      </c>
      <c r="F278" s="5">
        <f t="shared" si="17"/>
        <v>2415</v>
      </c>
      <c r="G278" s="1">
        <v>312</v>
      </c>
      <c r="H278" s="1" t="str">
        <f t="shared" si="18"/>
        <v>High</v>
      </c>
      <c r="I278" s="1" t="str">
        <f t="shared" si="19"/>
        <v>Other</v>
      </c>
      <c r="J278" s="1">
        <f t="shared" si="20"/>
        <v>594708.32999999996</v>
      </c>
    </row>
    <row r="279" spans="1:10" ht="12.75">
      <c r="A279" s="1" t="s">
        <v>8</v>
      </c>
      <c r="B279" s="1" t="s">
        <v>39</v>
      </c>
      <c r="C279" s="1" t="s">
        <v>45</v>
      </c>
      <c r="D279" s="2">
        <v>44692</v>
      </c>
      <c r="E279" s="1" t="s">
        <v>317</v>
      </c>
      <c r="F279" s="5">
        <f t="shared" si="17"/>
        <v>6272</v>
      </c>
      <c r="G279" s="1">
        <v>86</v>
      </c>
      <c r="H279" s="1" t="str">
        <f t="shared" si="18"/>
        <v>High</v>
      </c>
      <c r="I279" s="1" t="str">
        <f t="shared" si="19"/>
        <v>Other</v>
      </c>
      <c r="J279" s="1">
        <f t="shared" si="20"/>
        <v>594708.32999999996</v>
      </c>
    </row>
    <row r="280" spans="1:10" ht="12.75">
      <c r="A280" s="1" t="s">
        <v>18</v>
      </c>
      <c r="B280" s="1" t="s">
        <v>59</v>
      </c>
      <c r="C280" s="1" t="s">
        <v>72</v>
      </c>
      <c r="D280" s="2">
        <v>44588</v>
      </c>
      <c r="E280" s="1" t="s">
        <v>304</v>
      </c>
      <c r="F280" s="5">
        <f t="shared" si="17"/>
        <v>4389</v>
      </c>
      <c r="G280" s="1">
        <v>7</v>
      </c>
      <c r="H280" s="1" t="str">
        <f t="shared" si="18"/>
        <v>High</v>
      </c>
      <c r="I280" s="1" t="str">
        <f t="shared" si="19"/>
        <v>Other</v>
      </c>
      <c r="J280" s="1">
        <f t="shared" si="20"/>
        <v>594708.32999999996</v>
      </c>
    </row>
    <row r="281" spans="1:10" ht="12.75">
      <c r="A281" s="1" t="s">
        <v>18</v>
      </c>
      <c r="B281" s="1" t="s">
        <v>42</v>
      </c>
      <c r="C281" s="1" t="s">
        <v>60</v>
      </c>
      <c r="D281" s="2">
        <v>44739</v>
      </c>
      <c r="E281" s="1" t="s">
        <v>318</v>
      </c>
      <c r="F281" s="5">
        <f t="shared" si="17"/>
        <v>3122</v>
      </c>
      <c r="G281" s="1">
        <v>149</v>
      </c>
      <c r="H281" s="1" t="str">
        <f t="shared" si="18"/>
        <v>High</v>
      </c>
      <c r="I281" s="1" t="str">
        <f t="shared" si="19"/>
        <v>Other</v>
      </c>
      <c r="J281" s="1">
        <f t="shared" si="20"/>
        <v>594708.32999999996</v>
      </c>
    </row>
    <row r="282" spans="1:10" ht="12.75">
      <c r="A282" s="1" t="s">
        <v>17</v>
      </c>
      <c r="B282" s="1" t="s">
        <v>42</v>
      </c>
      <c r="C282" s="1" t="s">
        <v>49</v>
      </c>
      <c r="D282" s="2">
        <v>44776</v>
      </c>
      <c r="E282" s="1" t="s">
        <v>319</v>
      </c>
      <c r="F282" s="5">
        <f t="shared" si="17"/>
        <v>8043</v>
      </c>
      <c r="G282" s="1">
        <v>18</v>
      </c>
      <c r="H282" s="1" t="str">
        <f t="shared" si="18"/>
        <v>High</v>
      </c>
      <c r="I282" s="1" t="str">
        <f t="shared" si="19"/>
        <v>Other</v>
      </c>
      <c r="J282" s="1">
        <f t="shared" si="20"/>
        <v>594708.32999999996</v>
      </c>
    </row>
    <row r="283" spans="1:10" ht="12.75">
      <c r="A283" s="1" t="s">
        <v>29</v>
      </c>
      <c r="B283" s="1" t="s">
        <v>54</v>
      </c>
      <c r="C283" s="1" t="s">
        <v>40</v>
      </c>
      <c r="D283" s="2">
        <v>44792</v>
      </c>
      <c r="E283" s="1" t="s">
        <v>320</v>
      </c>
      <c r="F283" s="5">
        <f t="shared" si="17"/>
        <v>11662</v>
      </c>
      <c r="G283" s="1">
        <v>242</v>
      </c>
      <c r="H283" s="1" t="str">
        <f t="shared" si="18"/>
        <v>High</v>
      </c>
      <c r="I283" s="1" t="str">
        <f t="shared" si="19"/>
        <v>Other</v>
      </c>
      <c r="J283" s="1">
        <f t="shared" si="20"/>
        <v>594708.32999999996</v>
      </c>
    </row>
    <row r="284" spans="1:10" ht="12.75">
      <c r="A284" s="1" t="s">
        <v>29</v>
      </c>
      <c r="B284" s="1" t="s">
        <v>5</v>
      </c>
      <c r="C284" s="1" t="s">
        <v>81</v>
      </c>
      <c r="D284" s="2">
        <v>44727</v>
      </c>
      <c r="E284" s="1" t="s">
        <v>202</v>
      </c>
      <c r="F284" s="5">
        <f t="shared" si="17"/>
        <v>392</v>
      </c>
      <c r="G284" s="1">
        <v>102</v>
      </c>
      <c r="H284" s="1" t="str">
        <f t="shared" si="18"/>
        <v>Low</v>
      </c>
      <c r="I284" s="1" t="str">
        <f t="shared" si="19"/>
        <v>Other</v>
      </c>
      <c r="J284" s="1">
        <f t="shared" si="20"/>
        <v>594708.32999999996</v>
      </c>
    </row>
    <row r="285" spans="1:10" ht="12.75">
      <c r="A285" s="1" t="s">
        <v>6</v>
      </c>
      <c r="B285" s="1" t="s">
        <v>39</v>
      </c>
      <c r="C285" s="1" t="s">
        <v>45</v>
      </c>
      <c r="D285" s="2">
        <v>44599</v>
      </c>
      <c r="E285" s="1" t="s">
        <v>321</v>
      </c>
      <c r="F285" s="5">
        <f t="shared" si="17"/>
        <v>8925</v>
      </c>
      <c r="G285" s="1">
        <v>158</v>
      </c>
      <c r="H285" s="1" t="str">
        <f t="shared" si="18"/>
        <v>High</v>
      </c>
      <c r="I285" s="1" t="str">
        <f t="shared" si="19"/>
        <v>Other</v>
      </c>
      <c r="J285" s="1">
        <f t="shared" si="20"/>
        <v>594708.32999999996</v>
      </c>
    </row>
    <row r="286" spans="1:10" ht="12.75">
      <c r="A286" s="1" t="s">
        <v>18</v>
      </c>
      <c r="B286" s="1" t="s">
        <v>5</v>
      </c>
      <c r="C286" s="1" t="s">
        <v>91</v>
      </c>
      <c r="D286" s="2">
        <v>44750</v>
      </c>
      <c r="E286" s="1" t="s">
        <v>322</v>
      </c>
      <c r="F286" s="5">
        <f t="shared" si="17"/>
        <v>7294</v>
      </c>
      <c r="G286" s="1">
        <v>128</v>
      </c>
      <c r="H286" s="1" t="str">
        <f t="shared" si="18"/>
        <v>High</v>
      </c>
      <c r="I286" s="1" t="str">
        <f t="shared" si="19"/>
        <v>Other</v>
      </c>
      <c r="J286" s="1">
        <f t="shared" si="20"/>
        <v>594708.32999999996</v>
      </c>
    </row>
    <row r="287" spans="1:10" ht="12.75">
      <c r="A287" s="1" t="s">
        <v>6</v>
      </c>
      <c r="B287" s="1" t="s">
        <v>42</v>
      </c>
      <c r="C287" s="1" t="s">
        <v>72</v>
      </c>
      <c r="D287" s="2">
        <v>44672</v>
      </c>
      <c r="E287" s="1" t="s">
        <v>323</v>
      </c>
      <c r="F287" s="5">
        <f t="shared" si="17"/>
        <v>1526</v>
      </c>
      <c r="G287" s="1">
        <v>96</v>
      </c>
      <c r="H287" s="1" t="str">
        <f t="shared" si="18"/>
        <v>High</v>
      </c>
      <c r="I287" s="1" t="str">
        <f t="shared" si="19"/>
        <v>Other</v>
      </c>
      <c r="J287" s="1">
        <f t="shared" si="20"/>
        <v>594708.32999999996</v>
      </c>
    </row>
    <row r="288" spans="1:10" ht="12.75">
      <c r="A288" s="1" t="s">
        <v>17</v>
      </c>
      <c r="B288" s="1" t="s">
        <v>39</v>
      </c>
      <c r="C288" s="1" t="s">
        <v>40</v>
      </c>
      <c r="D288" s="2">
        <v>44659</v>
      </c>
      <c r="E288" s="1" t="s">
        <v>324</v>
      </c>
      <c r="F288" s="5">
        <f t="shared" si="17"/>
        <v>2688</v>
      </c>
      <c r="G288" s="1">
        <v>209</v>
      </c>
      <c r="H288" s="1" t="str">
        <f t="shared" si="18"/>
        <v>High</v>
      </c>
      <c r="I288" s="1" t="str">
        <f t="shared" si="19"/>
        <v>Other</v>
      </c>
      <c r="J288" s="1">
        <f t="shared" si="20"/>
        <v>594708.32999999996</v>
      </c>
    </row>
    <row r="289" spans="1:10" ht="12.75">
      <c r="A289" s="1" t="s">
        <v>13</v>
      </c>
      <c r="B289" s="1" t="s">
        <v>5</v>
      </c>
      <c r="C289" s="1" t="s">
        <v>55</v>
      </c>
      <c r="D289" s="2">
        <v>44792</v>
      </c>
      <c r="E289" s="1" t="s">
        <v>325</v>
      </c>
      <c r="F289" s="5">
        <f t="shared" si="17"/>
        <v>14889</v>
      </c>
      <c r="G289" s="1">
        <v>52</v>
      </c>
      <c r="H289" s="1" t="str">
        <f t="shared" si="18"/>
        <v>High</v>
      </c>
      <c r="I289" s="1" t="str">
        <f t="shared" si="19"/>
        <v>Other</v>
      </c>
      <c r="J289" s="1">
        <f t="shared" si="20"/>
        <v>594708.32999999996</v>
      </c>
    </row>
    <row r="290" spans="1:10" ht="12.75">
      <c r="A290" s="1" t="s">
        <v>15</v>
      </c>
      <c r="B290" s="1" t="s">
        <v>42</v>
      </c>
      <c r="C290" s="1" t="s">
        <v>81</v>
      </c>
      <c r="D290" s="2">
        <v>44685</v>
      </c>
      <c r="E290" s="1" t="s">
        <v>326</v>
      </c>
      <c r="F290" s="5">
        <f t="shared" si="17"/>
        <v>2912</v>
      </c>
      <c r="G290" s="1">
        <v>55</v>
      </c>
      <c r="H290" s="1" t="str">
        <f t="shared" si="18"/>
        <v>High</v>
      </c>
      <c r="I290" s="1" t="str">
        <f t="shared" si="19"/>
        <v>Other</v>
      </c>
      <c r="J290" s="1">
        <f t="shared" si="20"/>
        <v>594708.32999999996</v>
      </c>
    </row>
    <row r="291" spans="1:10" ht="12.75">
      <c r="A291" s="1" t="s">
        <v>2</v>
      </c>
      <c r="B291" s="1" t="s">
        <v>59</v>
      </c>
      <c r="C291" s="1" t="s">
        <v>43</v>
      </c>
      <c r="D291" s="2">
        <v>44692</v>
      </c>
      <c r="E291" s="1" t="s">
        <v>327</v>
      </c>
      <c r="F291" s="5">
        <f t="shared" si="17"/>
        <v>2632</v>
      </c>
      <c r="G291" s="1">
        <v>108</v>
      </c>
      <c r="H291" s="1" t="str">
        <f t="shared" si="18"/>
        <v>High</v>
      </c>
      <c r="I291" s="1" t="str">
        <f t="shared" si="19"/>
        <v>Other</v>
      </c>
      <c r="J291" s="1">
        <f t="shared" si="20"/>
        <v>594708.32999999996</v>
      </c>
    </row>
    <row r="292" spans="1:10" ht="12.75">
      <c r="A292" s="1" t="s">
        <v>2</v>
      </c>
      <c r="B292" s="1" t="s">
        <v>59</v>
      </c>
      <c r="C292" s="1" t="s">
        <v>63</v>
      </c>
      <c r="D292" s="2">
        <v>44642</v>
      </c>
      <c r="E292" s="1" t="s">
        <v>328</v>
      </c>
      <c r="F292" s="5">
        <f t="shared" si="17"/>
        <v>6328</v>
      </c>
      <c r="G292" s="1">
        <v>51</v>
      </c>
      <c r="H292" s="1" t="str">
        <f t="shared" si="18"/>
        <v>High</v>
      </c>
      <c r="I292" s="1" t="str">
        <f t="shared" si="19"/>
        <v>Other</v>
      </c>
      <c r="J292" s="1">
        <f t="shared" si="20"/>
        <v>592076.32999999996</v>
      </c>
    </row>
    <row r="293" spans="1:10" ht="12.75">
      <c r="A293" s="1" t="s">
        <v>6</v>
      </c>
      <c r="B293" s="1" t="s">
        <v>62</v>
      </c>
      <c r="C293" s="1" t="s">
        <v>76</v>
      </c>
      <c r="D293" s="2">
        <v>44783</v>
      </c>
      <c r="E293" s="1" t="s">
        <v>329</v>
      </c>
      <c r="F293" s="5">
        <f t="shared" si="17"/>
        <v>2527</v>
      </c>
      <c r="G293" s="1">
        <v>216</v>
      </c>
      <c r="H293" s="1" t="str">
        <f t="shared" si="18"/>
        <v>High</v>
      </c>
      <c r="I293" s="1" t="str">
        <f t="shared" si="19"/>
        <v>Other</v>
      </c>
      <c r="J293" s="1">
        <f t="shared" si="20"/>
        <v>585748.33000000007</v>
      </c>
    </row>
    <row r="294" spans="1:10" ht="12.75">
      <c r="A294" s="1" t="s">
        <v>6</v>
      </c>
      <c r="B294" s="1" t="s">
        <v>59</v>
      </c>
      <c r="C294" s="1" t="s">
        <v>81</v>
      </c>
      <c r="D294" s="2">
        <v>44685</v>
      </c>
      <c r="E294" s="1" t="s">
        <v>330</v>
      </c>
      <c r="F294" s="5">
        <f t="shared" si="17"/>
        <v>1414</v>
      </c>
      <c r="G294" s="1">
        <v>318</v>
      </c>
      <c r="H294" s="1" t="str">
        <f t="shared" si="18"/>
        <v>High</v>
      </c>
      <c r="I294" s="1" t="str">
        <f t="shared" si="19"/>
        <v>Other</v>
      </c>
      <c r="J294" s="1">
        <f t="shared" si="20"/>
        <v>585748.33000000007</v>
      </c>
    </row>
    <row r="295" spans="1:10" ht="12.75">
      <c r="A295" s="1" t="s">
        <v>12</v>
      </c>
      <c r="B295" s="1" t="s">
        <v>59</v>
      </c>
      <c r="C295" s="1" t="s">
        <v>51</v>
      </c>
      <c r="D295" s="2">
        <v>44791</v>
      </c>
      <c r="E295" s="1" t="s">
        <v>331</v>
      </c>
      <c r="F295" s="5">
        <f t="shared" si="17"/>
        <v>7714</v>
      </c>
      <c r="G295" s="1">
        <v>238</v>
      </c>
      <c r="H295" s="1" t="str">
        <f t="shared" si="18"/>
        <v>High</v>
      </c>
      <c r="I295" s="1" t="str">
        <f t="shared" si="19"/>
        <v>Other</v>
      </c>
      <c r="J295" s="1">
        <f t="shared" si="20"/>
        <v>585748.33000000007</v>
      </c>
    </row>
    <row r="296" spans="1:10" ht="12.75">
      <c r="A296" s="1" t="s">
        <v>21</v>
      </c>
      <c r="B296" s="1" t="s">
        <v>62</v>
      </c>
      <c r="C296" s="1" t="s">
        <v>100</v>
      </c>
      <c r="D296" s="2">
        <v>44776</v>
      </c>
      <c r="E296" s="1" t="s">
        <v>332</v>
      </c>
      <c r="F296" s="5">
        <f t="shared" si="17"/>
        <v>4347</v>
      </c>
      <c r="G296" s="1">
        <v>238</v>
      </c>
      <c r="H296" s="1" t="str">
        <f t="shared" si="18"/>
        <v>High</v>
      </c>
      <c r="I296" s="1" t="str">
        <f t="shared" si="19"/>
        <v>Other</v>
      </c>
      <c r="J296" s="1">
        <f t="shared" si="20"/>
        <v>585748.33000000007</v>
      </c>
    </row>
    <row r="297" spans="1:10" ht="12.75">
      <c r="A297" s="1" t="s">
        <v>14</v>
      </c>
      <c r="B297" s="1" t="s">
        <v>54</v>
      </c>
      <c r="C297" s="1" t="s">
        <v>72</v>
      </c>
      <c r="D297" s="2">
        <v>44575</v>
      </c>
      <c r="E297" s="1" t="s">
        <v>333</v>
      </c>
      <c r="F297" s="5">
        <f t="shared" si="17"/>
        <v>7490</v>
      </c>
      <c r="G297" s="1">
        <v>315</v>
      </c>
      <c r="H297" s="1" t="str">
        <f t="shared" si="18"/>
        <v>High</v>
      </c>
      <c r="I297" s="1" t="str">
        <f t="shared" si="19"/>
        <v>Other</v>
      </c>
      <c r="J297" s="1">
        <f t="shared" si="20"/>
        <v>585748.33000000007</v>
      </c>
    </row>
    <row r="298" spans="1:10" ht="12.75">
      <c r="A298" s="1" t="s">
        <v>9</v>
      </c>
      <c r="B298" s="1" t="s">
        <v>5</v>
      </c>
      <c r="C298" s="1" t="s">
        <v>102</v>
      </c>
      <c r="D298" s="2">
        <v>44659</v>
      </c>
      <c r="E298" s="1" t="s">
        <v>334</v>
      </c>
      <c r="F298" s="5">
        <f t="shared" si="17"/>
        <v>2058</v>
      </c>
      <c r="G298" s="1">
        <v>72</v>
      </c>
      <c r="H298" s="1" t="str">
        <f t="shared" si="18"/>
        <v>High</v>
      </c>
      <c r="I298" s="1" t="str">
        <f t="shared" si="19"/>
        <v>Other</v>
      </c>
      <c r="J298" s="1">
        <f t="shared" si="20"/>
        <v>585748.33000000007</v>
      </c>
    </row>
    <row r="299" spans="1:10" ht="12.75">
      <c r="A299" s="1" t="s">
        <v>12</v>
      </c>
      <c r="B299" s="1" t="s">
        <v>39</v>
      </c>
      <c r="C299" s="1" t="s">
        <v>60</v>
      </c>
      <c r="D299" s="2">
        <v>44774</v>
      </c>
      <c r="E299" s="1" t="s">
        <v>335</v>
      </c>
      <c r="F299" s="5">
        <f t="shared" si="17"/>
        <v>3640</v>
      </c>
      <c r="G299" s="1">
        <v>3</v>
      </c>
      <c r="H299" s="1" t="str">
        <f t="shared" si="18"/>
        <v>High</v>
      </c>
      <c r="I299" s="1" t="str">
        <f t="shared" si="19"/>
        <v>Other</v>
      </c>
      <c r="J299" s="1">
        <f t="shared" si="20"/>
        <v>585748.33000000007</v>
      </c>
    </row>
    <row r="300" spans="1:10" ht="12.75">
      <c r="A300" s="1" t="s">
        <v>6</v>
      </c>
      <c r="B300" s="1" t="s">
        <v>62</v>
      </c>
      <c r="C300" s="1" t="s">
        <v>63</v>
      </c>
      <c r="D300" s="2">
        <v>44635</v>
      </c>
      <c r="E300" s="1" t="s">
        <v>336</v>
      </c>
      <c r="F300" s="5">
        <f t="shared" si="17"/>
        <v>455</v>
      </c>
      <c r="G300" s="1">
        <v>45</v>
      </c>
      <c r="H300" s="1" t="str">
        <f t="shared" si="18"/>
        <v>Low</v>
      </c>
      <c r="I300" s="1" t="str">
        <f t="shared" si="19"/>
        <v>Other</v>
      </c>
      <c r="J300" s="1">
        <f t="shared" si="20"/>
        <v>585748.33000000007</v>
      </c>
    </row>
    <row r="301" spans="1:10" ht="12.75">
      <c r="A301" s="1" t="s">
        <v>18</v>
      </c>
      <c r="B301" s="1" t="s">
        <v>42</v>
      </c>
      <c r="C301" s="1" t="s">
        <v>40</v>
      </c>
      <c r="D301" s="2">
        <v>44757</v>
      </c>
      <c r="E301" s="1" t="s">
        <v>337</v>
      </c>
      <c r="F301" s="5">
        <f t="shared" si="17"/>
        <v>10990</v>
      </c>
      <c r="G301" s="1">
        <v>184</v>
      </c>
      <c r="H301" s="1" t="str">
        <f t="shared" si="18"/>
        <v>High</v>
      </c>
      <c r="I301" s="1" t="str">
        <f t="shared" si="19"/>
        <v>Other</v>
      </c>
      <c r="J301" s="1">
        <f t="shared" si="20"/>
        <v>585748.33000000007</v>
      </c>
    </row>
    <row r="302" spans="1:10" ht="12.75">
      <c r="A302" s="1" t="s">
        <v>16</v>
      </c>
      <c r="B302" s="1" t="s">
        <v>54</v>
      </c>
      <c r="C302" s="1" t="s">
        <v>91</v>
      </c>
      <c r="D302" s="2">
        <v>44574</v>
      </c>
      <c r="E302" s="1" t="s">
        <v>338</v>
      </c>
      <c r="F302" s="5">
        <f t="shared" si="17"/>
        <v>5558</v>
      </c>
      <c r="G302" s="1">
        <v>127</v>
      </c>
      <c r="H302" s="1" t="str">
        <f t="shared" si="18"/>
        <v>High</v>
      </c>
      <c r="I302" s="1" t="str">
        <f t="shared" si="19"/>
        <v>Other</v>
      </c>
      <c r="J302" s="1">
        <f t="shared" si="20"/>
        <v>585748.33000000007</v>
      </c>
    </row>
    <row r="303" spans="1:10" ht="12.75">
      <c r="A303" s="1" t="s">
        <v>2</v>
      </c>
      <c r="B303" s="1" t="s">
        <v>5</v>
      </c>
      <c r="C303" s="1" t="s">
        <v>43</v>
      </c>
      <c r="D303" s="2">
        <v>44799</v>
      </c>
      <c r="E303" s="1" t="s">
        <v>200</v>
      </c>
      <c r="F303" s="5">
        <f t="shared" si="17"/>
        <v>2541</v>
      </c>
      <c r="G303" s="1">
        <v>53</v>
      </c>
      <c r="H303" s="1" t="str">
        <f t="shared" si="18"/>
        <v>High</v>
      </c>
      <c r="I303" s="1" t="str">
        <f t="shared" si="19"/>
        <v>Top Local</v>
      </c>
      <c r="J303" s="1">
        <f t="shared" si="20"/>
        <v>585748.33000000007</v>
      </c>
    </row>
    <row r="304" spans="1:10" ht="12.75">
      <c r="A304" s="1" t="s">
        <v>17</v>
      </c>
      <c r="B304" s="1" t="s">
        <v>62</v>
      </c>
      <c r="C304" s="1" t="s">
        <v>63</v>
      </c>
      <c r="D304" s="2">
        <v>44571</v>
      </c>
      <c r="E304" s="1" t="s">
        <v>339</v>
      </c>
      <c r="F304" s="5">
        <f t="shared" si="17"/>
        <v>1876</v>
      </c>
      <c r="G304" s="1">
        <v>172</v>
      </c>
      <c r="H304" s="1" t="str">
        <f t="shared" si="18"/>
        <v>High</v>
      </c>
      <c r="I304" s="1" t="str">
        <f t="shared" si="19"/>
        <v>Other</v>
      </c>
      <c r="J304" s="1">
        <f t="shared" si="20"/>
        <v>583207.33000000019</v>
      </c>
    </row>
    <row r="305" spans="1:10" ht="12.75">
      <c r="A305" s="1" t="s">
        <v>20</v>
      </c>
      <c r="B305" s="1" t="s">
        <v>5</v>
      </c>
      <c r="C305" s="1" t="s">
        <v>84</v>
      </c>
      <c r="D305" s="2">
        <v>44692</v>
      </c>
      <c r="E305" s="1" t="s">
        <v>340</v>
      </c>
      <c r="F305" s="5">
        <f t="shared" si="17"/>
        <v>5523</v>
      </c>
      <c r="G305" s="1">
        <v>87</v>
      </c>
      <c r="H305" s="1" t="str">
        <f t="shared" si="18"/>
        <v>High</v>
      </c>
      <c r="I305" s="1" t="str">
        <f t="shared" si="19"/>
        <v>Other</v>
      </c>
      <c r="J305" s="1">
        <f t="shared" si="20"/>
        <v>583207.33000000019</v>
      </c>
    </row>
    <row r="306" spans="1:10" ht="12.75">
      <c r="A306" s="1" t="s">
        <v>28</v>
      </c>
      <c r="B306" s="1" t="s">
        <v>54</v>
      </c>
      <c r="C306" s="1" t="s">
        <v>43</v>
      </c>
      <c r="D306" s="2">
        <v>44803</v>
      </c>
      <c r="E306" s="1" t="s">
        <v>341</v>
      </c>
      <c r="F306" s="5">
        <f t="shared" si="17"/>
        <v>11200</v>
      </c>
      <c r="G306" s="1">
        <v>22</v>
      </c>
      <c r="H306" s="1" t="str">
        <f t="shared" si="18"/>
        <v>High</v>
      </c>
      <c r="I306" s="1" t="str">
        <f t="shared" si="19"/>
        <v>Other</v>
      </c>
      <c r="J306" s="1">
        <f t="shared" si="20"/>
        <v>583207.33000000019</v>
      </c>
    </row>
    <row r="307" spans="1:10" ht="12.75">
      <c r="A307" s="1" t="s">
        <v>8</v>
      </c>
      <c r="B307" s="1" t="s">
        <v>59</v>
      </c>
      <c r="C307" s="1" t="s">
        <v>126</v>
      </c>
      <c r="D307" s="2">
        <v>44763</v>
      </c>
      <c r="E307" s="1" t="s">
        <v>342</v>
      </c>
      <c r="F307" s="5">
        <f t="shared" si="17"/>
        <v>5593</v>
      </c>
      <c r="G307" s="1">
        <v>122</v>
      </c>
      <c r="H307" s="1" t="str">
        <f t="shared" si="18"/>
        <v>High</v>
      </c>
      <c r="I307" s="1" t="str">
        <f t="shared" si="19"/>
        <v>Other</v>
      </c>
      <c r="J307" s="1">
        <f t="shared" si="20"/>
        <v>583207.33000000019</v>
      </c>
    </row>
    <row r="308" spans="1:10" ht="12.75">
      <c r="A308" s="1" t="s">
        <v>2</v>
      </c>
      <c r="B308" s="1" t="s">
        <v>5</v>
      </c>
      <c r="C308" s="1" t="s">
        <v>91</v>
      </c>
      <c r="D308" s="2">
        <v>44774</v>
      </c>
      <c r="E308" s="1" t="s">
        <v>343</v>
      </c>
      <c r="F308" s="5">
        <f t="shared" si="17"/>
        <v>7882</v>
      </c>
      <c r="G308" s="1">
        <v>125</v>
      </c>
      <c r="H308" s="1" t="str">
        <f t="shared" si="18"/>
        <v>High</v>
      </c>
      <c r="I308" s="1" t="str">
        <f t="shared" si="19"/>
        <v>Top Local</v>
      </c>
      <c r="J308" s="1">
        <f t="shared" si="20"/>
        <v>583207.33000000019</v>
      </c>
    </row>
    <row r="309" spans="1:10" ht="12.75">
      <c r="A309" s="1" t="s">
        <v>7</v>
      </c>
      <c r="B309" s="1" t="s">
        <v>62</v>
      </c>
      <c r="C309" s="1" t="s">
        <v>43</v>
      </c>
      <c r="D309" s="2">
        <v>44609</v>
      </c>
      <c r="E309" s="1" t="s">
        <v>344</v>
      </c>
      <c r="F309" s="5">
        <f t="shared" si="17"/>
        <v>10241</v>
      </c>
      <c r="G309" s="1">
        <v>259</v>
      </c>
      <c r="H309" s="1" t="str">
        <f t="shared" si="18"/>
        <v>High</v>
      </c>
      <c r="I309" s="1" t="str">
        <f t="shared" si="19"/>
        <v>Other</v>
      </c>
      <c r="J309" s="1">
        <f t="shared" si="20"/>
        <v>575325.33000000019</v>
      </c>
    </row>
    <row r="310" spans="1:10" ht="12.75">
      <c r="A310" s="1" t="s">
        <v>7</v>
      </c>
      <c r="B310" s="1" t="s">
        <v>5</v>
      </c>
      <c r="C310" s="1" t="s">
        <v>65</v>
      </c>
      <c r="D310" s="2">
        <v>44769</v>
      </c>
      <c r="E310" s="1" t="s">
        <v>186</v>
      </c>
      <c r="F310" s="5">
        <f t="shared" si="17"/>
        <v>6832</v>
      </c>
      <c r="G310" s="1">
        <v>156</v>
      </c>
      <c r="H310" s="1" t="str">
        <f t="shared" si="18"/>
        <v>High</v>
      </c>
      <c r="I310" s="1" t="str">
        <f t="shared" si="19"/>
        <v>Other</v>
      </c>
      <c r="J310" s="1">
        <f t="shared" si="20"/>
        <v>575325.33000000019</v>
      </c>
    </row>
    <row r="311" spans="1:10" ht="12.75">
      <c r="A311" s="1" t="s">
        <v>21</v>
      </c>
      <c r="B311" s="1" t="s">
        <v>59</v>
      </c>
      <c r="C311" s="1" t="s">
        <v>60</v>
      </c>
      <c r="D311" s="2">
        <v>44615</v>
      </c>
      <c r="E311" s="1" t="s">
        <v>345</v>
      </c>
      <c r="F311" s="5">
        <f t="shared" si="17"/>
        <v>1379</v>
      </c>
      <c r="G311" s="1">
        <v>107</v>
      </c>
      <c r="H311" s="1" t="str">
        <f t="shared" si="18"/>
        <v>High</v>
      </c>
      <c r="I311" s="1" t="str">
        <f t="shared" si="19"/>
        <v>Other</v>
      </c>
      <c r="J311" s="1">
        <f t="shared" si="20"/>
        <v>575325.33000000019</v>
      </c>
    </row>
    <row r="312" spans="1:10" ht="12.75">
      <c r="A312" s="1" t="s">
        <v>19</v>
      </c>
      <c r="B312" s="1" t="s">
        <v>5</v>
      </c>
      <c r="C312" s="1" t="s">
        <v>55</v>
      </c>
      <c r="D312" s="2">
        <v>44642</v>
      </c>
      <c r="E312" s="1" t="s">
        <v>346</v>
      </c>
      <c r="F312" s="5">
        <f t="shared" si="17"/>
        <v>3010</v>
      </c>
      <c r="G312" s="1">
        <v>40</v>
      </c>
      <c r="H312" s="1" t="str">
        <f t="shared" si="18"/>
        <v>High</v>
      </c>
      <c r="I312" s="1" t="str">
        <f t="shared" si="19"/>
        <v>Other</v>
      </c>
      <c r="J312" s="1">
        <f t="shared" si="20"/>
        <v>575325.33000000019</v>
      </c>
    </row>
    <row r="313" spans="1:10" ht="12.75">
      <c r="A313" s="1" t="s">
        <v>6</v>
      </c>
      <c r="B313" s="1" t="s">
        <v>42</v>
      </c>
      <c r="C313" s="1" t="s">
        <v>51</v>
      </c>
      <c r="D313" s="2">
        <v>44735</v>
      </c>
      <c r="E313" s="1" t="s">
        <v>75</v>
      </c>
      <c r="F313" s="5">
        <f t="shared" si="17"/>
        <v>6888</v>
      </c>
      <c r="G313" s="1">
        <v>311</v>
      </c>
      <c r="H313" s="1" t="str">
        <f t="shared" si="18"/>
        <v>High</v>
      </c>
      <c r="I313" s="1" t="str">
        <f t="shared" si="19"/>
        <v>Other</v>
      </c>
      <c r="J313" s="1">
        <f t="shared" si="20"/>
        <v>575325.33000000019</v>
      </c>
    </row>
    <row r="314" spans="1:10" ht="12.75">
      <c r="A314" s="1" t="s">
        <v>24</v>
      </c>
      <c r="B314" s="1" t="s">
        <v>39</v>
      </c>
      <c r="C314" s="1" t="s">
        <v>84</v>
      </c>
      <c r="D314" s="2">
        <v>44593</v>
      </c>
      <c r="E314" s="1" t="s">
        <v>347</v>
      </c>
      <c r="F314" s="5">
        <f t="shared" si="17"/>
        <v>1540</v>
      </c>
      <c r="G314" s="1">
        <v>73</v>
      </c>
      <c r="H314" s="1" t="str">
        <f t="shared" si="18"/>
        <v>High</v>
      </c>
      <c r="I314" s="1" t="str">
        <f t="shared" si="19"/>
        <v>Other</v>
      </c>
      <c r="J314" s="1">
        <f t="shared" si="20"/>
        <v>575325.33000000019</v>
      </c>
    </row>
    <row r="315" spans="1:10" ht="12.75">
      <c r="A315" s="1" t="s">
        <v>12</v>
      </c>
      <c r="B315" s="1" t="s">
        <v>5</v>
      </c>
      <c r="C315" s="1" t="s">
        <v>52</v>
      </c>
      <c r="D315" s="2">
        <v>44622</v>
      </c>
      <c r="E315" s="1" t="s">
        <v>348</v>
      </c>
      <c r="F315" s="5">
        <f t="shared" si="17"/>
        <v>6916</v>
      </c>
      <c r="G315" s="1">
        <v>288</v>
      </c>
      <c r="H315" s="1" t="str">
        <f t="shared" si="18"/>
        <v>High</v>
      </c>
      <c r="I315" s="1" t="str">
        <f t="shared" si="19"/>
        <v>Other</v>
      </c>
      <c r="J315" s="1">
        <f t="shared" si="20"/>
        <v>575325.33000000019</v>
      </c>
    </row>
    <row r="316" spans="1:10" ht="12.75">
      <c r="A316" s="1" t="s">
        <v>20</v>
      </c>
      <c r="B316" s="1" t="s">
        <v>39</v>
      </c>
      <c r="C316" s="1" t="s">
        <v>81</v>
      </c>
      <c r="D316" s="2">
        <v>44657</v>
      </c>
      <c r="E316" s="1" t="s">
        <v>349</v>
      </c>
      <c r="F316" s="5">
        <f t="shared" si="17"/>
        <v>1232</v>
      </c>
      <c r="G316" s="1">
        <v>86</v>
      </c>
      <c r="H316" s="1" t="str">
        <f t="shared" si="18"/>
        <v>High</v>
      </c>
      <c r="I316" s="1" t="str">
        <f t="shared" si="19"/>
        <v>Other</v>
      </c>
      <c r="J316" s="1">
        <f t="shared" si="20"/>
        <v>575325.33000000019</v>
      </c>
    </row>
    <row r="317" spans="1:10" ht="12.75">
      <c r="A317" s="1" t="s">
        <v>23</v>
      </c>
      <c r="B317" s="1" t="s">
        <v>5</v>
      </c>
      <c r="C317" s="1" t="s">
        <v>100</v>
      </c>
      <c r="D317" s="2">
        <v>44637</v>
      </c>
      <c r="E317" s="1" t="s">
        <v>350</v>
      </c>
      <c r="F317" s="5">
        <f t="shared" si="17"/>
        <v>602</v>
      </c>
      <c r="G317" s="1">
        <v>72</v>
      </c>
      <c r="H317" s="1" t="str">
        <f t="shared" si="18"/>
        <v>Medium</v>
      </c>
      <c r="I317" s="1" t="str">
        <f t="shared" si="19"/>
        <v>Other</v>
      </c>
      <c r="J317" s="1">
        <f t="shared" si="20"/>
        <v>575325.33000000019</v>
      </c>
    </row>
    <row r="318" spans="1:10" ht="12.75">
      <c r="A318" s="1" t="s">
        <v>24</v>
      </c>
      <c r="B318" s="1" t="s">
        <v>39</v>
      </c>
      <c r="C318" s="1" t="s">
        <v>81</v>
      </c>
      <c r="D318" s="2">
        <v>44736</v>
      </c>
      <c r="E318" s="1" t="s">
        <v>176</v>
      </c>
      <c r="F318" s="5">
        <f t="shared" si="17"/>
        <v>10927</v>
      </c>
      <c r="G318" s="1">
        <v>136</v>
      </c>
      <c r="H318" s="1" t="str">
        <f t="shared" si="18"/>
        <v>High</v>
      </c>
      <c r="I318" s="1" t="str">
        <f t="shared" si="19"/>
        <v>Other</v>
      </c>
      <c r="J318" s="1">
        <f t="shared" si="20"/>
        <v>575325.33000000019</v>
      </c>
    </row>
    <row r="319" spans="1:10" ht="12.75">
      <c r="A319" s="1" t="s">
        <v>16</v>
      </c>
      <c r="B319" s="1" t="s">
        <v>62</v>
      </c>
      <c r="C319" s="1" t="s">
        <v>55</v>
      </c>
      <c r="D319" s="2">
        <v>44761</v>
      </c>
      <c r="E319" s="1" t="s">
        <v>351</v>
      </c>
      <c r="F319" s="5">
        <f t="shared" si="17"/>
        <v>10185</v>
      </c>
      <c r="G319" s="1">
        <v>303</v>
      </c>
      <c r="H319" s="1" t="str">
        <f t="shared" si="18"/>
        <v>High</v>
      </c>
      <c r="I319" s="1" t="str">
        <f t="shared" si="19"/>
        <v>Other</v>
      </c>
      <c r="J319" s="1">
        <f t="shared" si="20"/>
        <v>575325.33000000019</v>
      </c>
    </row>
    <row r="320" spans="1:10" ht="12.75">
      <c r="A320" s="1" t="s">
        <v>24</v>
      </c>
      <c r="B320" s="1" t="s">
        <v>59</v>
      </c>
      <c r="C320" s="1" t="s">
        <v>76</v>
      </c>
      <c r="D320" s="2">
        <v>44753</v>
      </c>
      <c r="E320" s="1" t="s">
        <v>120</v>
      </c>
      <c r="F320" s="5">
        <f t="shared" si="17"/>
        <v>1603</v>
      </c>
      <c r="G320" s="1">
        <v>264</v>
      </c>
      <c r="H320" s="1" t="str">
        <f t="shared" si="18"/>
        <v>High</v>
      </c>
      <c r="I320" s="1" t="str">
        <f t="shared" si="19"/>
        <v>Other</v>
      </c>
      <c r="J320" s="1">
        <f t="shared" si="20"/>
        <v>575325.33000000019</v>
      </c>
    </row>
    <row r="321" spans="1:10" ht="12.75">
      <c r="A321" s="1" t="s">
        <v>7</v>
      </c>
      <c r="B321" s="1" t="s">
        <v>42</v>
      </c>
      <c r="C321" s="1" t="s">
        <v>91</v>
      </c>
      <c r="D321" s="2">
        <v>44574</v>
      </c>
      <c r="E321" s="1" t="s">
        <v>352</v>
      </c>
      <c r="F321" s="5">
        <f t="shared" si="17"/>
        <v>2170</v>
      </c>
      <c r="G321" s="1">
        <v>218</v>
      </c>
      <c r="H321" s="1" t="str">
        <f t="shared" si="18"/>
        <v>High</v>
      </c>
      <c r="I321" s="1" t="str">
        <f t="shared" si="19"/>
        <v>Other</v>
      </c>
      <c r="J321" s="1">
        <f t="shared" si="20"/>
        <v>575325.33000000019</v>
      </c>
    </row>
    <row r="322" spans="1:10" ht="12.75">
      <c r="A322" s="1" t="s">
        <v>22</v>
      </c>
      <c r="B322" s="1" t="s">
        <v>54</v>
      </c>
      <c r="C322" s="1" t="s">
        <v>49</v>
      </c>
      <c r="D322" s="2">
        <v>44749</v>
      </c>
      <c r="E322" s="1" t="s">
        <v>353</v>
      </c>
      <c r="F322" s="5">
        <f t="shared" ref="F322:F385" si="21">VALUE(SUBSTITUTE(E322,"$",""))</f>
        <v>8673</v>
      </c>
      <c r="G322" s="1">
        <v>60</v>
      </c>
      <c r="H322" s="1" t="str">
        <f t="shared" ref="H322:H385" si="22">IF(F322&gt;800,"High",IF(F322&gt;500,"Medium","Low"))</f>
        <v>High</v>
      </c>
      <c r="I322" s="1" t="str">
        <f t="shared" ref="I322:I385" si="23">IF(AND(B322="Australia",A322="Mallorie Waber"),"Top Local","Other")</f>
        <v>Other</v>
      </c>
      <c r="J322" s="1">
        <f t="shared" ref="J322:J385" si="24">SUMIF(A322:A3602,"Mallorie Waber",F322:F3602)</f>
        <v>575325.33000000019</v>
      </c>
    </row>
    <row r="323" spans="1:10" ht="12.75">
      <c r="A323" s="1" t="s">
        <v>15</v>
      </c>
      <c r="B323" s="1" t="s">
        <v>42</v>
      </c>
      <c r="C323" s="1" t="s">
        <v>43</v>
      </c>
      <c r="D323" s="2">
        <v>44706</v>
      </c>
      <c r="E323" s="1" t="s">
        <v>354</v>
      </c>
      <c r="F323" s="5">
        <f t="shared" si="21"/>
        <v>4760</v>
      </c>
      <c r="G323" s="1">
        <v>418</v>
      </c>
      <c r="H323" s="1" t="str">
        <f t="shared" si="22"/>
        <v>High</v>
      </c>
      <c r="I323" s="1" t="str">
        <f t="shared" si="23"/>
        <v>Other</v>
      </c>
      <c r="J323" s="1">
        <f t="shared" si="24"/>
        <v>575325.33000000019</v>
      </c>
    </row>
    <row r="324" spans="1:10" ht="12.75">
      <c r="A324" s="1" t="s">
        <v>14</v>
      </c>
      <c r="B324" s="1" t="s">
        <v>42</v>
      </c>
      <c r="C324" s="1" t="s">
        <v>81</v>
      </c>
      <c r="D324" s="2">
        <v>44664</v>
      </c>
      <c r="E324" s="1" t="s">
        <v>78</v>
      </c>
      <c r="F324" s="5">
        <f t="shared" si="21"/>
        <v>4753</v>
      </c>
      <c r="G324" s="1">
        <v>151</v>
      </c>
      <c r="H324" s="1" t="str">
        <f t="shared" si="22"/>
        <v>High</v>
      </c>
      <c r="I324" s="1" t="str">
        <f t="shared" si="23"/>
        <v>Other</v>
      </c>
      <c r="J324" s="1">
        <f t="shared" si="24"/>
        <v>575325.33000000019</v>
      </c>
    </row>
    <row r="325" spans="1:10" ht="12.75">
      <c r="A325" s="1" t="s">
        <v>27</v>
      </c>
      <c r="B325" s="1" t="s">
        <v>54</v>
      </c>
      <c r="C325" s="1" t="s">
        <v>55</v>
      </c>
      <c r="D325" s="2">
        <v>44622</v>
      </c>
      <c r="E325" s="1" t="s">
        <v>355</v>
      </c>
      <c r="F325" s="5">
        <f t="shared" si="21"/>
        <v>3374</v>
      </c>
      <c r="G325" s="1">
        <v>202</v>
      </c>
      <c r="H325" s="1" t="str">
        <f t="shared" si="22"/>
        <v>High</v>
      </c>
      <c r="I325" s="1" t="str">
        <f t="shared" si="23"/>
        <v>Other</v>
      </c>
      <c r="J325" s="1">
        <f t="shared" si="24"/>
        <v>575325.33000000019</v>
      </c>
    </row>
    <row r="326" spans="1:10" ht="12.75">
      <c r="A326" s="1" t="s">
        <v>23</v>
      </c>
      <c r="B326" s="1" t="s">
        <v>62</v>
      </c>
      <c r="C326" s="1" t="s">
        <v>100</v>
      </c>
      <c r="D326" s="2">
        <v>44735</v>
      </c>
      <c r="E326" s="1" t="s">
        <v>334</v>
      </c>
      <c r="F326" s="5">
        <f t="shared" si="21"/>
        <v>2058</v>
      </c>
      <c r="G326" s="1">
        <v>126</v>
      </c>
      <c r="H326" s="1" t="str">
        <f t="shared" si="22"/>
        <v>High</v>
      </c>
      <c r="I326" s="1" t="str">
        <f t="shared" si="23"/>
        <v>Other</v>
      </c>
      <c r="J326" s="1">
        <f t="shared" si="24"/>
        <v>575325.33000000019</v>
      </c>
    </row>
    <row r="327" spans="1:10" ht="12.75">
      <c r="A327" s="1" t="s">
        <v>12</v>
      </c>
      <c r="B327" s="1" t="s">
        <v>59</v>
      </c>
      <c r="C327" s="1" t="s">
        <v>65</v>
      </c>
      <c r="D327" s="2">
        <v>44768</v>
      </c>
      <c r="E327" s="1" t="s">
        <v>255</v>
      </c>
      <c r="F327" s="5">
        <f t="shared" si="21"/>
        <v>6454</v>
      </c>
      <c r="G327" s="1">
        <v>160</v>
      </c>
      <c r="H327" s="1" t="str">
        <f t="shared" si="22"/>
        <v>High</v>
      </c>
      <c r="I327" s="1" t="str">
        <f t="shared" si="23"/>
        <v>Other</v>
      </c>
      <c r="J327" s="1">
        <f t="shared" si="24"/>
        <v>575325.33000000019</v>
      </c>
    </row>
    <row r="328" spans="1:10" ht="12.75">
      <c r="A328" s="1" t="s">
        <v>10</v>
      </c>
      <c r="B328" s="1" t="s">
        <v>62</v>
      </c>
      <c r="C328" s="1" t="s">
        <v>84</v>
      </c>
      <c r="D328" s="2">
        <v>44642</v>
      </c>
      <c r="E328" s="1" t="s">
        <v>356</v>
      </c>
      <c r="F328" s="5">
        <f t="shared" si="21"/>
        <v>420</v>
      </c>
      <c r="G328" s="1">
        <v>3</v>
      </c>
      <c r="H328" s="1" t="str">
        <f t="shared" si="22"/>
        <v>Low</v>
      </c>
      <c r="I328" s="1" t="str">
        <f t="shared" si="23"/>
        <v>Other</v>
      </c>
      <c r="J328" s="1">
        <f t="shared" si="24"/>
        <v>575325.33000000019</v>
      </c>
    </row>
    <row r="329" spans="1:10" ht="12.75">
      <c r="A329" s="1" t="s">
        <v>19</v>
      </c>
      <c r="B329" s="1" t="s">
        <v>59</v>
      </c>
      <c r="C329" s="1" t="s">
        <v>122</v>
      </c>
      <c r="D329" s="2">
        <v>44721</v>
      </c>
      <c r="E329" s="1" t="s">
        <v>357</v>
      </c>
      <c r="F329" s="5">
        <f t="shared" si="21"/>
        <v>2863</v>
      </c>
      <c r="G329" s="1">
        <v>58</v>
      </c>
      <c r="H329" s="1" t="str">
        <f t="shared" si="22"/>
        <v>High</v>
      </c>
      <c r="I329" s="1" t="str">
        <f t="shared" si="23"/>
        <v>Other</v>
      </c>
      <c r="J329" s="1">
        <f t="shared" si="24"/>
        <v>575325.33000000019</v>
      </c>
    </row>
    <row r="330" spans="1:10" ht="12.75">
      <c r="A330" s="1" t="s">
        <v>10</v>
      </c>
      <c r="B330" s="1" t="s">
        <v>5</v>
      </c>
      <c r="C330" s="1" t="s">
        <v>126</v>
      </c>
      <c r="D330" s="2">
        <v>44698</v>
      </c>
      <c r="E330" s="1" t="s">
        <v>358</v>
      </c>
      <c r="F330" s="5">
        <f t="shared" si="21"/>
        <v>5936</v>
      </c>
      <c r="G330" s="1">
        <v>59</v>
      </c>
      <c r="H330" s="1" t="str">
        <f t="shared" si="22"/>
        <v>High</v>
      </c>
      <c r="I330" s="1" t="str">
        <f t="shared" si="23"/>
        <v>Other</v>
      </c>
      <c r="J330" s="1">
        <f t="shared" si="24"/>
        <v>575325.33000000019</v>
      </c>
    </row>
    <row r="331" spans="1:10" ht="12.75">
      <c r="A331" s="1" t="s">
        <v>17</v>
      </c>
      <c r="B331" s="1" t="s">
        <v>54</v>
      </c>
      <c r="C331" s="1" t="s">
        <v>45</v>
      </c>
      <c r="D331" s="2">
        <v>44624</v>
      </c>
      <c r="E331" s="1" t="s">
        <v>359</v>
      </c>
      <c r="F331" s="5">
        <f t="shared" si="21"/>
        <v>889</v>
      </c>
      <c r="G331" s="1">
        <v>273</v>
      </c>
      <c r="H331" s="1" t="str">
        <f t="shared" si="22"/>
        <v>High</v>
      </c>
      <c r="I331" s="1" t="str">
        <f t="shared" si="23"/>
        <v>Other</v>
      </c>
      <c r="J331" s="1">
        <f t="shared" si="24"/>
        <v>575325.33000000019</v>
      </c>
    </row>
    <row r="332" spans="1:10" ht="12.75">
      <c r="A332" s="1" t="s">
        <v>12</v>
      </c>
      <c r="B332" s="1" t="s">
        <v>62</v>
      </c>
      <c r="C332" s="1" t="s">
        <v>72</v>
      </c>
      <c r="D332" s="2">
        <v>44749</v>
      </c>
      <c r="E332" s="1" t="s">
        <v>360</v>
      </c>
      <c r="F332" s="5">
        <f t="shared" si="21"/>
        <v>16016</v>
      </c>
      <c r="G332" s="1">
        <v>28</v>
      </c>
      <c r="H332" s="1" t="str">
        <f t="shared" si="22"/>
        <v>High</v>
      </c>
      <c r="I332" s="1" t="str">
        <f t="shared" si="23"/>
        <v>Other</v>
      </c>
      <c r="J332" s="1">
        <f t="shared" si="24"/>
        <v>575325.33000000019</v>
      </c>
    </row>
    <row r="333" spans="1:10" ht="12.75">
      <c r="A333" s="1" t="s">
        <v>6</v>
      </c>
      <c r="B333" s="1" t="s">
        <v>62</v>
      </c>
      <c r="C333" s="1" t="s">
        <v>102</v>
      </c>
      <c r="D333" s="2">
        <v>44574</v>
      </c>
      <c r="E333" s="1" t="s">
        <v>361</v>
      </c>
      <c r="F333" s="5">
        <f t="shared" si="21"/>
        <v>10479</v>
      </c>
      <c r="G333" s="1">
        <v>118</v>
      </c>
      <c r="H333" s="1" t="str">
        <f t="shared" si="22"/>
        <v>High</v>
      </c>
      <c r="I333" s="1" t="str">
        <f t="shared" si="23"/>
        <v>Other</v>
      </c>
      <c r="J333" s="1">
        <f t="shared" si="24"/>
        <v>575325.33000000019</v>
      </c>
    </row>
    <row r="334" spans="1:10" ht="12.75">
      <c r="A334" s="1" t="s">
        <v>24</v>
      </c>
      <c r="B334" s="1" t="s">
        <v>5</v>
      </c>
      <c r="C334" s="1" t="s">
        <v>91</v>
      </c>
      <c r="D334" s="2">
        <v>44755</v>
      </c>
      <c r="E334" s="1" t="s">
        <v>326</v>
      </c>
      <c r="F334" s="5">
        <f t="shared" si="21"/>
        <v>2912</v>
      </c>
      <c r="G334" s="1">
        <v>75</v>
      </c>
      <c r="H334" s="1" t="str">
        <f t="shared" si="22"/>
        <v>High</v>
      </c>
      <c r="I334" s="1" t="str">
        <f t="shared" si="23"/>
        <v>Other</v>
      </c>
      <c r="J334" s="1">
        <f t="shared" si="24"/>
        <v>575325.33000000019</v>
      </c>
    </row>
    <row r="335" spans="1:10" ht="12.75">
      <c r="A335" s="1" t="s">
        <v>9</v>
      </c>
      <c r="B335" s="1" t="s">
        <v>5</v>
      </c>
      <c r="C335" s="1" t="s">
        <v>43</v>
      </c>
      <c r="D335" s="2">
        <v>44728</v>
      </c>
      <c r="E335" s="1" t="s">
        <v>362</v>
      </c>
      <c r="F335" s="5">
        <f t="shared" si="21"/>
        <v>1575</v>
      </c>
      <c r="G335" s="1">
        <v>329</v>
      </c>
      <c r="H335" s="1" t="str">
        <f t="shared" si="22"/>
        <v>High</v>
      </c>
      <c r="I335" s="1" t="str">
        <f t="shared" si="23"/>
        <v>Other</v>
      </c>
      <c r="J335" s="1">
        <f t="shared" si="24"/>
        <v>575325.33000000019</v>
      </c>
    </row>
    <row r="336" spans="1:10" ht="12.75">
      <c r="A336" s="1" t="s">
        <v>20</v>
      </c>
      <c r="B336" s="1" t="s">
        <v>39</v>
      </c>
      <c r="C336" s="1" t="s">
        <v>55</v>
      </c>
      <c r="D336" s="2">
        <v>44760</v>
      </c>
      <c r="E336" s="1" t="s">
        <v>363</v>
      </c>
      <c r="F336" s="5">
        <f t="shared" si="21"/>
        <v>8197</v>
      </c>
      <c r="G336" s="1">
        <v>69</v>
      </c>
      <c r="H336" s="1" t="str">
        <f t="shared" si="22"/>
        <v>High</v>
      </c>
      <c r="I336" s="1" t="str">
        <f t="shared" si="23"/>
        <v>Other</v>
      </c>
      <c r="J336" s="1">
        <f t="shared" si="24"/>
        <v>575325.33000000019</v>
      </c>
    </row>
    <row r="337" spans="1:10" ht="12.75">
      <c r="A337" s="1" t="s">
        <v>17</v>
      </c>
      <c r="B337" s="1" t="s">
        <v>39</v>
      </c>
      <c r="C337" s="1" t="s">
        <v>86</v>
      </c>
      <c r="D337" s="2">
        <v>44711</v>
      </c>
      <c r="E337" s="1" t="s">
        <v>154</v>
      </c>
      <c r="F337" s="5">
        <f t="shared" si="21"/>
        <v>4221</v>
      </c>
      <c r="G337" s="1">
        <v>395</v>
      </c>
      <c r="H337" s="1" t="str">
        <f t="shared" si="22"/>
        <v>High</v>
      </c>
      <c r="I337" s="1" t="str">
        <f t="shared" si="23"/>
        <v>Other</v>
      </c>
      <c r="J337" s="1">
        <f t="shared" si="24"/>
        <v>575325.33000000019</v>
      </c>
    </row>
    <row r="338" spans="1:10" ht="12.75">
      <c r="A338" s="1" t="s">
        <v>20</v>
      </c>
      <c r="B338" s="1" t="s">
        <v>39</v>
      </c>
      <c r="C338" s="1" t="s">
        <v>147</v>
      </c>
      <c r="D338" s="2">
        <v>44733</v>
      </c>
      <c r="E338" s="1" t="s">
        <v>364</v>
      </c>
      <c r="F338" s="5">
        <f t="shared" si="21"/>
        <v>840</v>
      </c>
      <c r="G338" s="1">
        <v>81</v>
      </c>
      <c r="H338" s="1" t="str">
        <f t="shared" si="22"/>
        <v>High</v>
      </c>
      <c r="I338" s="1" t="str">
        <f t="shared" si="23"/>
        <v>Other</v>
      </c>
      <c r="J338" s="1">
        <f t="shared" si="24"/>
        <v>575325.33000000019</v>
      </c>
    </row>
    <row r="339" spans="1:10" ht="12.75">
      <c r="A339" s="1" t="s">
        <v>11</v>
      </c>
      <c r="B339" s="1" t="s">
        <v>5</v>
      </c>
      <c r="C339" s="1" t="s">
        <v>45</v>
      </c>
      <c r="D339" s="2">
        <v>44736</v>
      </c>
      <c r="E339" s="1" t="s">
        <v>365</v>
      </c>
      <c r="F339" s="5">
        <f t="shared" si="21"/>
        <v>5691</v>
      </c>
      <c r="G339" s="1">
        <v>38</v>
      </c>
      <c r="H339" s="1" t="str">
        <f t="shared" si="22"/>
        <v>High</v>
      </c>
      <c r="I339" s="1" t="str">
        <f t="shared" si="23"/>
        <v>Other</v>
      </c>
      <c r="J339" s="1">
        <f t="shared" si="24"/>
        <v>575325.33000000019</v>
      </c>
    </row>
    <row r="340" spans="1:10" ht="12.75">
      <c r="A340" s="1" t="s">
        <v>14</v>
      </c>
      <c r="B340" s="1" t="s">
        <v>42</v>
      </c>
      <c r="C340" s="1" t="s">
        <v>63</v>
      </c>
      <c r="D340" s="2">
        <v>44574</v>
      </c>
      <c r="E340" s="1" t="s">
        <v>247</v>
      </c>
      <c r="F340" s="5">
        <f t="shared" si="21"/>
        <v>3472</v>
      </c>
      <c r="G340" s="1">
        <v>96</v>
      </c>
      <c r="H340" s="1" t="str">
        <f t="shared" si="22"/>
        <v>High</v>
      </c>
      <c r="I340" s="1" t="str">
        <f t="shared" si="23"/>
        <v>Other</v>
      </c>
      <c r="J340" s="1">
        <f t="shared" si="24"/>
        <v>575325.33000000019</v>
      </c>
    </row>
    <row r="341" spans="1:10" ht="12.75">
      <c r="A341" s="1" t="s">
        <v>24</v>
      </c>
      <c r="B341" s="1" t="s">
        <v>62</v>
      </c>
      <c r="C341" s="1" t="s">
        <v>81</v>
      </c>
      <c r="D341" s="2">
        <v>44655</v>
      </c>
      <c r="E341" s="1" t="s">
        <v>366</v>
      </c>
      <c r="F341" s="5">
        <f t="shared" si="21"/>
        <v>4193</v>
      </c>
      <c r="G341" s="1">
        <v>195</v>
      </c>
      <c r="H341" s="1" t="str">
        <f t="shared" si="22"/>
        <v>High</v>
      </c>
      <c r="I341" s="1" t="str">
        <f t="shared" si="23"/>
        <v>Other</v>
      </c>
      <c r="J341" s="1">
        <f t="shared" si="24"/>
        <v>575325.33000000019</v>
      </c>
    </row>
    <row r="342" spans="1:10" ht="12.75">
      <c r="A342" s="1" t="s">
        <v>8</v>
      </c>
      <c r="B342" s="1" t="s">
        <v>39</v>
      </c>
      <c r="C342" s="1" t="s">
        <v>49</v>
      </c>
      <c r="D342" s="2">
        <v>44720</v>
      </c>
      <c r="E342" s="1" t="s">
        <v>367</v>
      </c>
      <c r="F342" s="5">
        <f t="shared" si="21"/>
        <v>9016</v>
      </c>
      <c r="G342" s="1">
        <v>554</v>
      </c>
      <c r="H342" s="1" t="str">
        <f t="shared" si="22"/>
        <v>High</v>
      </c>
      <c r="I342" s="1" t="str">
        <f t="shared" si="23"/>
        <v>Other</v>
      </c>
      <c r="J342" s="1">
        <f t="shared" si="24"/>
        <v>575325.33000000019</v>
      </c>
    </row>
    <row r="343" spans="1:10" ht="12.75">
      <c r="A343" s="1" t="s">
        <v>18</v>
      </c>
      <c r="B343" s="1" t="s">
        <v>62</v>
      </c>
      <c r="C343" s="1" t="s">
        <v>76</v>
      </c>
      <c r="D343" s="2">
        <v>44775</v>
      </c>
      <c r="E343" s="1" t="s">
        <v>328</v>
      </c>
      <c r="F343" s="5">
        <f t="shared" si="21"/>
        <v>6328</v>
      </c>
      <c r="G343" s="1">
        <v>47</v>
      </c>
      <c r="H343" s="1" t="str">
        <f t="shared" si="22"/>
        <v>High</v>
      </c>
      <c r="I343" s="1" t="str">
        <f t="shared" si="23"/>
        <v>Other</v>
      </c>
      <c r="J343" s="1">
        <f t="shared" si="24"/>
        <v>575325.33000000019</v>
      </c>
    </row>
    <row r="344" spans="1:10" ht="12.75">
      <c r="A344" s="1" t="s">
        <v>12</v>
      </c>
      <c r="B344" s="1" t="s">
        <v>59</v>
      </c>
      <c r="C344" s="1" t="s">
        <v>68</v>
      </c>
      <c r="D344" s="2">
        <v>44763</v>
      </c>
      <c r="E344" s="1" t="s">
        <v>368</v>
      </c>
      <c r="F344" s="5">
        <f t="shared" si="21"/>
        <v>9870</v>
      </c>
      <c r="G344" s="1">
        <v>152</v>
      </c>
      <c r="H344" s="1" t="str">
        <f t="shared" si="22"/>
        <v>High</v>
      </c>
      <c r="I344" s="1" t="str">
        <f t="shared" si="23"/>
        <v>Other</v>
      </c>
      <c r="J344" s="1">
        <f t="shared" si="24"/>
        <v>575325.33000000019</v>
      </c>
    </row>
    <row r="345" spans="1:10" ht="12.75">
      <c r="A345" s="1" t="s">
        <v>24</v>
      </c>
      <c r="B345" s="1" t="s">
        <v>42</v>
      </c>
      <c r="C345" s="1" t="s">
        <v>76</v>
      </c>
      <c r="D345" s="2">
        <v>44732</v>
      </c>
      <c r="E345" s="1" t="s">
        <v>308</v>
      </c>
      <c r="F345" s="5">
        <f t="shared" si="21"/>
        <v>161</v>
      </c>
      <c r="G345" s="1">
        <v>134</v>
      </c>
      <c r="H345" s="1" t="str">
        <f t="shared" si="22"/>
        <v>Low</v>
      </c>
      <c r="I345" s="1" t="str">
        <f t="shared" si="23"/>
        <v>Other</v>
      </c>
      <c r="J345" s="1">
        <f t="shared" si="24"/>
        <v>575325.33000000019</v>
      </c>
    </row>
    <row r="346" spans="1:10" ht="12.75">
      <c r="A346" s="1" t="s">
        <v>26</v>
      </c>
      <c r="B346" s="1" t="s">
        <v>42</v>
      </c>
      <c r="C346" s="1" t="s">
        <v>52</v>
      </c>
      <c r="D346" s="2">
        <v>44734</v>
      </c>
      <c r="E346" s="1" t="s">
        <v>369</v>
      </c>
      <c r="F346" s="5">
        <f t="shared" si="21"/>
        <v>2576</v>
      </c>
      <c r="G346" s="1">
        <v>112</v>
      </c>
      <c r="H346" s="1" t="str">
        <f t="shared" si="22"/>
        <v>High</v>
      </c>
      <c r="I346" s="1" t="str">
        <f t="shared" si="23"/>
        <v>Other</v>
      </c>
      <c r="J346" s="1">
        <f t="shared" si="24"/>
        <v>575325.33000000019</v>
      </c>
    </row>
    <row r="347" spans="1:10" ht="12.75">
      <c r="A347" s="1" t="s">
        <v>25</v>
      </c>
      <c r="B347" s="1" t="s">
        <v>5</v>
      </c>
      <c r="C347" s="1" t="s">
        <v>126</v>
      </c>
      <c r="D347" s="2">
        <v>44683</v>
      </c>
      <c r="E347" s="1" t="s">
        <v>370</v>
      </c>
      <c r="F347" s="5">
        <f t="shared" si="21"/>
        <v>3178</v>
      </c>
      <c r="G347" s="1">
        <v>16</v>
      </c>
      <c r="H347" s="1" t="str">
        <f t="shared" si="22"/>
        <v>High</v>
      </c>
      <c r="I347" s="1" t="str">
        <f t="shared" si="23"/>
        <v>Other</v>
      </c>
      <c r="J347" s="1">
        <f t="shared" si="24"/>
        <v>575325.33000000019</v>
      </c>
    </row>
    <row r="348" spans="1:10" ht="12.75">
      <c r="A348" s="1" t="s">
        <v>24</v>
      </c>
      <c r="B348" s="1" t="s">
        <v>5</v>
      </c>
      <c r="C348" s="1" t="s">
        <v>51</v>
      </c>
      <c r="D348" s="2">
        <v>44568</v>
      </c>
      <c r="E348" s="1" t="s">
        <v>371</v>
      </c>
      <c r="F348" s="5">
        <f t="shared" si="21"/>
        <v>4676</v>
      </c>
      <c r="G348" s="1">
        <v>84</v>
      </c>
      <c r="H348" s="1" t="str">
        <f t="shared" si="22"/>
        <v>High</v>
      </c>
      <c r="I348" s="1" t="str">
        <f t="shared" si="23"/>
        <v>Other</v>
      </c>
      <c r="J348" s="1">
        <f t="shared" si="24"/>
        <v>575325.33000000019</v>
      </c>
    </row>
    <row r="349" spans="1:10" ht="12.75">
      <c r="A349" s="1" t="s">
        <v>2</v>
      </c>
      <c r="B349" s="1" t="s">
        <v>39</v>
      </c>
      <c r="C349" s="1" t="s">
        <v>55</v>
      </c>
      <c r="D349" s="2">
        <v>44613</v>
      </c>
      <c r="E349" s="1" t="s">
        <v>372</v>
      </c>
      <c r="F349" s="5">
        <f t="shared" si="21"/>
        <v>5502</v>
      </c>
      <c r="G349" s="1">
        <v>99</v>
      </c>
      <c r="H349" s="1" t="str">
        <f t="shared" si="22"/>
        <v>High</v>
      </c>
      <c r="I349" s="1" t="str">
        <f t="shared" si="23"/>
        <v>Other</v>
      </c>
      <c r="J349" s="1">
        <f t="shared" si="24"/>
        <v>575325.33000000019</v>
      </c>
    </row>
    <row r="350" spans="1:10" ht="12.75">
      <c r="A350" s="1" t="s">
        <v>17</v>
      </c>
      <c r="B350" s="1" t="s">
        <v>62</v>
      </c>
      <c r="C350" s="1" t="s">
        <v>122</v>
      </c>
      <c r="D350" s="2">
        <v>44641</v>
      </c>
      <c r="E350" s="1" t="s">
        <v>373</v>
      </c>
      <c r="F350" s="5">
        <f t="shared" si="21"/>
        <v>7462</v>
      </c>
      <c r="G350" s="1">
        <v>371</v>
      </c>
      <c r="H350" s="1" t="str">
        <f t="shared" si="22"/>
        <v>High</v>
      </c>
      <c r="I350" s="1" t="str">
        <f t="shared" si="23"/>
        <v>Other</v>
      </c>
      <c r="J350" s="1">
        <f t="shared" si="24"/>
        <v>569823.33000000019</v>
      </c>
    </row>
    <row r="351" spans="1:10" ht="12.75">
      <c r="A351" s="1" t="s">
        <v>10</v>
      </c>
      <c r="B351" s="1" t="s">
        <v>39</v>
      </c>
      <c r="C351" s="1" t="s">
        <v>65</v>
      </c>
      <c r="D351" s="2">
        <v>44655</v>
      </c>
      <c r="E351" s="1" t="s">
        <v>374</v>
      </c>
      <c r="F351" s="5">
        <f t="shared" si="21"/>
        <v>5803</v>
      </c>
      <c r="G351" s="1">
        <v>136</v>
      </c>
      <c r="H351" s="1" t="str">
        <f t="shared" si="22"/>
        <v>High</v>
      </c>
      <c r="I351" s="1" t="str">
        <f t="shared" si="23"/>
        <v>Other</v>
      </c>
      <c r="J351" s="1">
        <f t="shared" si="24"/>
        <v>569823.33000000019</v>
      </c>
    </row>
    <row r="352" spans="1:10" ht="12.75">
      <c r="A352" s="1" t="s">
        <v>23</v>
      </c>
      <c r="B352" s="1" t="s">
        <v>62</v>
      </c>
      <c r="C352" s="1" t="s">
        <v>81</v>
      </c>
      <c r="D352" s="2">
        <v>44644</v>
      </c>
      <c r="E352" s="1" t="s">
        <v>375</v>
      </c>
      <c r="F352" s="5">
        <f t="shared" si="21"/>
        <v>13888</v>
      </c>
      <c r="G352" s="1">
        <v>203</v>
      </c>
      <c r="H352" s="1" t="str">
        <f t="shared" si="22"/>
        <v>High</v>
      </c>
      <c r="I352" s="1" t="str">
        <f t="shared" si="23"/>
        <v>Other</v>
      </c>
      <c r="J352" s="1">
        <f t="shared" si="24"/>
        <v>569823.33000000019</v>
      </c>
    </row>
    <row r="353" spans="1:10" ht="12.75">
      <c r="A353" s="1" t="s">
        <v>23</v>
      </c>
      <c r="B353" s="1" t="s">
        <v>54</v>
      </c>
      <c r="C353" s="1" t="s">
        <v>76</v>
      </c>
      <c r="D353" s="2">
        <v>44740</v>
      </c>
      <c r="E353" s="1" t="s">
        <v>376</v>
      </c>
      <c r="F353" s="5">
        <f t="shared" si="21"/>
        <v>6867</v>
      </c>
      <c r="G353" s="1">
        <v>183</v>
      </c>
      <c r="H353" s="1" t="str">
        <f t="shared" si="22"/>
        <v>High</v>
      </c>
      <c r="I353" s="1" t="str">
        <f t="shared" si="23"/>
        <v>Other</v>
      </c>
      <c r="J353" s="1">
        <f t="shared" si="24"/>
        <v>569823.33000000019</v>
      </c>
    </row>
    <row r="354" spans="1:10" ht="12.75">
      <c r="A354" s="1" t="s">
        <v>23</v>
      </c>
      <c r="B354" s="1" t="s">
        <v>5</v>
      </c>
      <c r="C354" s="1" t="s">
        <v>65</v>
      </c>
      <c r="D354" s="2">
        <v>44575</v>
      </c>
      <c r="E354" s="1" t="s">
        <v>377</v>
      </c>
      <c r="F354" s="5">
        <f t="shared" si="21"/>
        <v>2317</v>
      </c>
      <c r="G354" s="1">
        <v>195</v>
      </c>
      <c r="H354" s="1" t="str">
        <f t="shared" si="22"/>
        <v>High</v>
      </c>
      <c r="I354" s="1" t="str">
        <f t="shared" si="23"/>
        <v>Other</v>
      </c>
      <c r="J354" s="1">
        <f t="shared" si="24"/>
        <v>569823.33000000019</v>
      </c>
    </row>
    <row r="355" spans="1:10" ht="12.75">
      <c r="A355" s="1" t="s">
        <v>18</v>
      </c>
      <c r="B355" s="1" t="s">
        <v>54</v>
      </c>
      <c r="C355" s="1" t="s">
        <v>81</v>
      </c>
      <c r="D355" s="2">
        <v>44599</v>
      </c>
      <c r="E355" s="1" t="s">
        <v>378</v>
      </c>
      <c r="F355" s="5">
        <f t="shared" si="21"/>
        <v>1218</v>
      </c>
      <c r="G355" s="1">
        <v>135</v>
      </c>
      <c r="H355" s="1" t="str">
        <f t="shared" si="22"/>
        <v>High</v>
      </c>
      <c r="I355" s="1" t="str">
        <f t="shared" si="23"/>
        <v>Other</v>
      </c>
      <c r="J355" s="1">
        <f t="shared" si="24"/>
        <v>569823.33000000019</v>
      </c>
    </row>
    <row r="356" spans="1:10" ht="12.75">
      <c r="A356" s="1" t="s">
        <v>6</v>
      </c>
      <c r="B356" s="1" t="s">
        <v>54</v>
      </c>
      <c r="C356" s="1" t="s">
        <v>65</v>
      </c>
      <c r="D356" s="2">
        <v>44572</v>
      </c>
      <c r="E356" s="1" t="s">
        <v>379</v>
      </c>
      <c r="F356" s="5">
        <f t="shared" si="21"/>
        <v>4109</v>
      </c>
      <c r="G356" s="1">
        <v>197</v>
      </c>
      <c r="H356" s="1" t="str">
        <f t="shared" si="22"/>
        <v>High</v>
      </c>
      <c r="I356" s="1" t="str">
        <f t="shared" si="23"/>
        <v>Other</v>
      </c>
      <c r="J356" s="1">
        <f t="shared" si="24"/>
        <v>569823.33000000019</v>
      </c>
    </row>
    <row r="357" spans="1:10" ht="12.75">
      <c r="A357" s="1" t="s">
        <v>11</v>
      </c>
      <c r="B357" s="1" t="s">
        <v>42</v>
      </c>
      <c r="C357" s="1" t="s">
        <v>51</v>
      </c>
      <c r="D357" s="2">
        <v>44617</v>
      </c>
      <c r="E357" s="1" t="s">
        <v>380</v>
      </c>
      <c r="F357" s="5">
        <f t="shared" si="21"/>
        <v>1953</v>
      </c>
      <c r="G357" s="1">
        <v>242</v>
      </c>
      <c r="H357" s="1" t="str">
        <f t="shared" si="22"/>
        <v>High</v>
      </c>
      <c r="I357" s="1" t="str">
        <f t="shared" si="23"/>
        <v>Other</v>
      </c>
      <c r="J357" s="1">
        <f t="shared" si="24"/>
        <v>569823.33000000019</v>
      </c>
    </row>
    <row r="358" spans="1:10" ht="12.75">
      <c r="A358" s="1" t="s">
        <v>21</v>
      </c>
      <c r="B358" s="1" t="s">
        <v>5</v>
      </c>
      <c r="C358" s="1" t="s">
        <v>40</v>
      </c>
      <c r="D358" s="2">
        <v>44774</v>
      </c>
      <c r="E358" s="1" t="s">
        <v>69</v>
      </c>
      <c r="F358" s="5">
        <f t="shared" si="21"/>
        <v>6790</v>
      </c>
      <c r="G358" s="1">
        <v>25</v>
      </c>
      <c r="H358" s="1" t="str">
        <f t="shared" si="22"/>
        <v>High</v>
      </c>
      <c r="I358" s="1" t="str">
        <f t="shared" si="23"/>
        <v>Other</v>
      </c>
      <c r="J358" s="1">
        <f t="shared" si="24"/>
        <v>569823.33000000019</v>
      </c>
    </row>
    <row r="359" spans="1:10" ht="12.75">
      <c r="A359" s="1" t="s">
        <v>26</v>
      </c>
      <c r="B359" s="1" t="s">
        <v>5</v>
      </c>
      <c r="C359" s="1" t="s">
        <v>40</v>
      </c>
      <c r="D359" s="2">
        <v>44686</v>
      </c>
      <c r="E359" s="1" t="s">
        <v>381</v>
      </c>
      <c r="F359" s="5">
        <f t="shared" si="21"/>
        <v>6797</v>
      </c>
      <c r="G359" s="1">
        <v>252</v>
      </c>
      <c r="H359" s="1" t="str">
        <f t="shared" si="22"/>
        <v>High</v>
      </c>
      <c r="I359" s="1" t="str">
        <f t="shared" si="23"/>
        <v>Other</v>
      </c>
      <c r="J359" s="1">
        <f t="shared" si="24"/>
        <v>569823.33000000019</v>
      </c>
    </row>
    <row r="360" spans="1:10" ht="12.75">
      <c r="A360" s="1" t="s">
        <v>9</v>
      </c>
      <c r="B360" s="1" t="s">
        <v>54</v>
      </c>
      <c r="C360" s="1" t="s">
        <v>100</v>
      </c>
      <c r="D360" s="2">
        <v>44699</v>
      </c>
      <c r="E360" s="1" t="s">
        <v>382</v>
      </c>
      <c r="F360" s="5">
        <f t="shared" si="21"/>
        <v>9226</v>
      </c>
      <c r="G360" s="1">
        <v>415</v>
      </c>
      <c r="H360" s="1" t="str">
        <f t="shared" si="22"/>
        <v>High</v>
      </c>
      <c r="I360" s="1" t="str">
        <f t="shared" si="23"/>
        <v>Other</v>
      </c>
      <c r="J360" s="1">
        <f t="shared" si="24"/>
        <v>569823.33000000019</v>
      </c>
    </row>
    <row r="361" spans="1:10" ht="12.75">
      <c r="A361" s="1" t="s">
        <v>21</v>
      </c>
      <c r="B361" s="1" t="s">
        <v>54</v>
      </c>
      <c r="C361" s="1" t="s">
        <v>102</v>
      </c>
      <c r="D361" s="2">
        <v>44565</v>
      </c>
      <c r="E361" s="1" t="s">
        <v>383</v>
      </c>
      <c r="F361" s="5">
        <f t="shared" si="21"/>
        <v>5733</v>
      </c>
      <c r="G361" s="1">
        <v>348</v>
      </c>
      <c r="H361" s="1" t="str">
        <f t="shared" si="22"/>
        <v>High</v>
      </c>
      <c r="I361" s="1" t="str">
        <f t="shared" si="23"/>
        <v>Other</v>
      </c>
      <c r="J361" s="1">
        <f t="shared" si="24"/>
        <v>569823.33000000019</v>
      </c>
    </row>
    <row r="362" spans="1:10" ht="12.75">
      <c r="A362" s="1" t="s">
        <v>26</v>
      </c>
      <c r="B362" s="1" t="s">
        <v>54</v>
      </c>
      <c r="C362" s="1" t="s">
        <v>55</v>
      </c>
      <c r="D362" s="2">
        <v>44690</v>
      </c>
      <c r="E362" s="1" t="s">
        <v>384</v>
      </c>
      <c r="F362" s="5">
        <f t="shared" si="21"/>
        <v>4312</v>
      </c>
      <c r="G362" s="1">
        <v>211</v>
      </c>
      <c r="H362" s="1" t="str">
        <f t="shared" si="22"/>
        <v>High</v>
      </c>
      <c r="I362" s="1" t="str">
        <f t="shared" si="23"/>
        <v>Other</v>
      </c>
      <c r="J362" s="1">
        <f t="shared" si="24"/>
        <v>569823.33000000019</v>
      </c>
    </row>
    <row r="363" spans="1:10" ht="12.75">
      <c r="A363" s="1" t="s">
        <v>19</v>
      </c>
      <c r="B363" s="1" t="s">
        <v>42</v>
      </c>
      <c r="C363" s="1" t="s">
        <v>49</v>
      </c>
      <c r="D363" s="2">
        <v>44687</v>
      </c>
      <c r="E363" s="1" t="s">
        <v>385</v>
      </c>
      <c r="F363" s="5">
        <f t="shared" si="21"/>
        <v>1638</v>
      </c>
      <c r="G363" s="1">
        <v>81</v>
      </c>
      <c r="H363" s="1" t="str">
        <f t="shared" si="22"/>
        <v>High</v>
      </c>
      <c r="I363" s="1" t="str">
        <f t="shared" si="23"/>
        <v>Other</v>
      </c>
      <c r="J363" s="1">
        <f t="shared" si="24"/>
        <v>569823.33000000019</v>
      </c>
    </row>
    <row r="364" spans="1:10" ht="12.75">
      <c r="A364" s="1" t="s">
        <v>13</v>
      </c>
      <c r="B364" s="1" t="s">
        <v>39</v>
      </c>
      <c r="C364" s="1" t="s">
        <v>84</v>
      </c>
      <c r="D364" s="2">
        <v>44574</v>
      </c>
      <c r="E364" s="1" t="s">
        <v>386</v>
      </c>
      <c r="F364" s="5">
        <f t="shared" si="21"/>
        <v>10815</v>
      </c>
      <c r="G364" s="1">
        <v>145</v>
      </c>
      <c r="H364" s="1" t="str">
        <f t="shared" si="22"/>
        <v>High</v>
      </c>
      <c r="I364" s="1" t="str">
        <f t="shared" si="23"/>
        <v>Other</v>
      </c>
      <c r="J364" s="1">
        <f t="shared" si="24"/>
        <v>569823.33000000019</v>
      </c>
    </row>
    <row r="365" spans="1:10" ht="12.75">
      <c r="A365" s="1" t="s">
        <v>26</v>
      </c>
      <c r="B365" s="1" t="s">
        <v>5</v>
      </c>
      <c r="C365" s="1" t="s">
        <v>91</v>
      </c>
      <c r="D365" s="2">
        <v>44736</v>
      </c>
      <c r="E365" s="1" t="s">
        <v>188</v>
      </c>
      <c r="F365" s="5">
        <f t="shared" si="21"/>
        <v>4466</v>
      </c>
      <c r="G365" s="1">
        <v>74</v>
      </c>
      <c r="H365" s="1" t="str">
        <f t="shared" si="22"/>
        <v>High</v>
      </c>
      <c r="I365" s="1" t="str">
        <f t="shared" si="23"/>
        <v>Other</v>
      </c>
      <c r="J365" s="1">
        <f t="shared" si="24"/>
        <v>569823.33000000019</v>
      </c>
    </row>
    <row r="366" spans="1:10" ht="12.75">
      <c r="A366" s="1" t="s">
        <v>10</v>
      </c>
      <c r="B366" s="1" t="s">
        <v>59</v>
      </c>
      <c r="C366" s="1" t="s">
        <v>126</v>
      </c>
      <c r="D366" s="2">
        <v>44606</v>
      </c>
      <c r="E366" s="1" t="s">
        <v>387</v>
      </c>
      <c r="F366" s="5">
        <f t="shared" si="21"/>
        <v>987</v>
      </c>
      <c r="G366" s="1">
        <v>21</v>
      </c>
      <c r="H366" s="1" t="str">
        <f t="shared" si="22"/>
        <v>High</v>
      </c>
      <c r="I366" s="1" t="str">
        <f t="shared" si="23"/>
        <v>Other</v>
      </c>
      <c r="J366" s="1">
        <f t="shared" si="24"/>
        <v>569823.33000000019</v>
      </c>
    </row>
    <row r="367" spans="1:10" ht="12.75">
      <c r="A367" s="1" t="s">
        <v>25</v>
      </c>
      <c r="B367" s="1" t="s">
        <v>5</v>
      </c>
      <c r="C367" s="1" t="s">
        <v>51</v>
      </c>
      <c r="D367" s="2">
        <v>44579</v>
      </c>
      <c r="E367" s="1" t="s">
        <v>388</v>
      </c>
      <c r="F367" s="5">
        <f t="shared" si="21"/>
        <v>4669</v>
      </c>
      <c r="G367" s="1">
        <v>101</v>
      </c>
      <c r="H367" s="1" t="str">
        <f t="shared" si="22"/>
        <v>High</v>
      </c>
      <c r="I367" s="1" t="str">
        <f t="shared" si="23"/>
        <v>Other</v>
      </c>
      <c r="J367" s="1">
        <f t="shared" si="24"/>
        <v>569823.33000000019</v>
      </c>
    </row>
    <row r="368" spans="1:10" ht="12.75">
      <c r="A368" s="1" t="s">
        <v>8</v>
      </c>
      <c r="B368" s="1" t="s">
        <v>42</v>
      </c>
      <c r="C368" s="1" t="s">
        <v>72</v>
      </c>
      <c r="D368" s="2">
        <v>44683</v>
      </c>
      <c r="E368" s="1" t="s">
        <v>389</v>
      </c>
      <c r="F368" s="5">
        <f t="shared" si="21"/>
        <v>2905</v>
      </c>
      <c r="G368" s="1">
        <v>91</v>
      </c>
      <c r="H368" s="1" t="str">
        <f t="shared" si="22"/>
        <v>High</v>
      </c>
      <c r="I368" s="1" t="str">
        <f t="shared" si="23"/>
        <v>Other</v>
      </c>
      <c r="J368" s="1">
        <f t="shared" si="24"/>
        <v>569823.33000000019</v>
      </c>
    </row>
    <row r="369" spans="1:10" ht="12.75">
      <c r="A369" s="1" t="s">
        <v>17</v>
      </c>
      <c r="B369" s="1" t="s">
        <v>5</v>
      </c>
      <c r="C369" s="1" t="s">
        <v>49</v>
      </c>
      <c r="D369" s="2">
        <v>44697</v>
      </c>
      <c r="E369" s="1" t="s">
        <v>333</v>
      </c>
      <c r="F369" s="5">
        <f t="shared" si="21"/>
        <v>7490</v>
      </c>
      <c r="G369" s="1">
        <v>54</v>
      </c>
      <c r="H369" s="1" t="str">
        <f t="shared" si="22"/>
        <v>High</v>
      </c>
      <c r="I369" s="1" t="str">
        <f t="shared" si="23"/>
        <v>Other</v>
      </c>
      <c r="J369" s="1">
        <f t="shared" si="24"/>
        <v>569823.33000000019</v>
      </c>
    </row>
    <row r="370" spans="1:10" ht="12.75">
      <c r="A370" s="1" t="s">
        <v>2</v>
      </c>
      <c r="B370" s="1" t="s">
        <v>59</v>
      </c>
      <c r="C370" s="1" t="s">
        <v>91</v>
      </c>
      <c r="D370" s="2">
        <v>44589</v>
      </c>
      <c r="E370" s="1" t="s">
        <v>390</v>
      </c>
      <c r="F370" s="5">
        <f t="shared" si="21"/>
        <v>6986</v>
      </c>
      <c r="G370" s="1">
        <v>368</v>
      </c>
      <c r="H370" s="1" t="str">
        <f t="shared" si="22"/>
        <v>High</v>
      </c>
      <c r="I370" s="1" t="str">
        <f t="shared" si="23"/>
        <v>Other</v>
      </c>
      <c r="J370" s="1">
        <f t="shared" si="24"/>
        <v>569823.33000000019</v>
      </c>
    </row>
    <row r="371" spans="1:10" ht="12.75">
      <c r="A371" s="1" t="s">
        <v>8</v>
      </c>
      <c r="B371" s="1" t="s">
        <v>62</v>
      </c>
      <c r="C371" s="1" t="s">
        <v>51</v>
      </c>
      <c r="D371" s="2">
        <v>44736</v>
      </c>
      <c r="E371" s="1" t="s">
        <v>391</v>
      </c>
      <c r="F371" s="5">
        <f t="shared" si="21"/>
        <v>1288</v>
      </c>
      <c r="G371" s="1">
        <v>409</v>
      </c>
      <c r="H371" s="1" t="str">
        <f t="shared" si="22"/>
        <v>High</v>
      </c>
      <c r="I371" s="1" t="str">
        <f t="shared" si="23"/>
        <v>Other</v>
      </c>
      <c r="J371" s="1">
        <f t="shared" si="24"/>
        <v>562837.33000000019</v>
      </c>
    </row>
    <row r="372" spans="1:10" ht="12.75">
      <c r="A372" s="1" t="s">
        <v>22</v>
      </c>
      <c r="B372" s="1" t="s">
        <v>39</v>
      </c>
      <c r="C372" s="1" t="s">
        <v>52</v>
      </c>
      <c r="D372" s="2">
        <v>44760</v>
      </c>
      <c r="E372" s="1" t="s">
        <v>392</v>
      </c>
      <c r="F372" s="5">
        <f t="shared" si="21"/>
        <v>2345</v>
      </c>
      <c r="G372" s="1">
        <v>104</v>
      </c>
      <c r="H372" s="1" t="str">
        <f t="shared" si="22"/>
        <v>High</v>
      </c>
      <c r="I372" s="1" t="str">
        <f t="shared" si="23"/>
        <v>Other</v>
      </c>
      <c r="J372" s="1">
        <f t="shared" si="24"/>
        <v>562837.33000000019</v>
      </c>
    </row>
    <row r="373" spans="1:10" ht="12.75">
      <c r="A373" s="1" t="s">
        <v>23</v>
      </c>
      <c r="B373" s="1" t="s">
        <v>39</v>
      </c>
      <c r="C373" s="1" t="s">
        <v>63</v>
      </c>
      <c r="D373" s="2">
        <v>44664</v>
      </c>
      <c r="E373" s="1" t="s">
        <v>393</v>
      </c>
      <c r="F373" s="5">
        <f t="shared" si="21"/>
        <v>3619</v>
      </c>
      <c r="G373" s="1">
        <v>164</v>
      </c>
      <c r="H373" s="1" t="str">
        <f t="shared" si="22"/>
        <v>High</v>
      </c>
      <c r="I373" s="1" t="str">
        <f t="shared" si="23"/>
        <v>Other</v>
      </c>
      <c r="J373" s="1">
        <f t="shared" si="24"/>
        <v>562837.33000000019</v>
      </c>
    </row>
    <row r="374" spans="1:10" ht="12.75">
      <c r="A374" s="1" t="s">
        <v>21</v>
      </c>
      <c r="B374" s="1" t="s">
        <v>59</v>
      </c>
      <c r="C374" s="1" t="s">
        <v>126</v>
      </c>
      <c r="D374" s="2">
        <v>44666</v>
      </c>
      <c r="E374" s="1" t="s">
        <v>394</v>
      </c>
      <c r="F374" s="5">
        <f t="shared" si="21"/>
        <v>16982</v>
      </c>
      <c r="G374" s="1">
        <v>76</v>
      </c>
      <c r="H374" s="1" t="str">
        <f t="shared" si="22"/>
        <v>High</v>
      </c>
      <c r="I374" s="1" t="str">
        <f t="shared" si="23"/>
        <v>Other</v>
      </c>
      <c r="J374" s="1">
        <f t="shared" si="24"/>
        <v>562837.33000000019</v>
      </c>
    </row>
    <row r="375" spans="1:10" ht="12.75">
      <c r="A375" s="1" t="s">
        <v>15</v>
      </c>
      <c r="B375" s="1" t="s">
        <v>42</v>
      </c>
      <c r="C375" s="1" t="s">
        <v>45</v>
      </c>
      <c r="D375" s="2">
        <v>44565</v>
      </c>
      <c r="E375" s="1" t="s">
        <v>395</v>
      </c>
      <c r="F375" s="5">
        <f t="shared" si="21"/>
        <v>8092</v>
      </c>
      <c r="G375" s="1">
        <v>178</v>
      </c>
      <c r="H375" s="1" t="str">
        <f t="shared" si="22"/>
        <v>High</v>
      </c>
      <c r="I375" s="1" t="str">
        <f t="shared" si="23"/>
        <v>Other</v>
      </c>
      <c r="J375" s="1">
        <f t="shared" si="24"/>
        <v>562837.33000000019</v>
      </c>
    </row>
    <row r="376" spans="1:10" ht="12.75">
      <c r="A376" s="1" t="s">
        <v>13</v>
      </c>
      <c r="B376" s="1" t="s">
        <v>5</v>
      </c>
      <c r="C376" s="1" t="s">
        <v>63</v>
      </c>
      <c r="D376" s="2">
        <v>44746</v>
      </c>
      <c r="E376" s="1" t="s">
        <v>396</v>
      </c>
      <c r="F376" s="5">
        <f t="shared" si="21"/>
        <v>6993</v>
      </c>
      <c r="G376" s="1">
        <v>31</v>
      </c>
      <c r="H376" s="1" t="str">
        <f t="shared" si="22"/>
        <v>High</v>
      </c>
      <c r="I376" s="1" t="str">
        <f t="shared" si="23"/>
        <v>Other</v>
      </c>
      <c r="J376" s="1">
        <f t="shared" si="24"/>
        <v>562837.33000000019</v>
      </c>
    </row>
    <row r="377" spans="1:10" ht="12.75">
      <c r="A377" s="1" t="s">
        <v>28</v>
      </c>
      <c r="B377" s="1" t="s">
        <v>59</v>
      </c>
      <c r="C377" s="1" t="s">
        <v>49</v>
      </c>
      <c r="D377" s="2">
        <v>44644</v>
      </c>
      <c r="E377" s="1" t="s">
        <v>377</v>
      </c>
      <c r="F377" s="5">
        <f t="shared" si="21"/>
        <v>2317</v>
      </c>
      <c r="G377" s="1">
        <v>352</v>
      </c>
      <c r="H377" s="1" t="str">
        <f t="shared" si="22"/>
        <v>High</v>
      </c>
      <c r="I377" s="1" t="str">
        <f t="shared" si="23"/>
        <v>Other</v>
      </c>
      <c r="J377" s="1">
        <f t="shared" si="24"/>
        <v>562837.33000000019</v>
      </c>
    </row>
    <row r="378" spans="1:10" ht="12.75">
      <c r="A378" s="1" t="s">
        <v>25</v>
      </c>
      <c r="B378" s="1" t="s">
        <v>5</v>
      </c>
      <c r="C378" s="1" t="s">
        <v>86</v>
      </c>
      <c r="D378" s="2">
        <v>44637</v>
      </c>
      <c r="E378" s="1" t="s">
        <v>397</v>
      </c>
      <c r="F378" s="5">
        <f t="shared" si="21"/>
        <v>637</v>
      </c>
      <c r="G378" s="1">
        <v>169</v>
      </c>
      <c r="H378" s="1" t="str">
        <f t="shared" si="22"/>
        <v>Medium</v>
      </c>
      <c r="I378" s="1" t="str">
        <f t="shared" si="23"/>
        <v>Other</v>
      </c>
      <c r="J378" s="1">
        <f t="shared" si="24"/>
        <v>562837.33000000019</v>
      </c>
    </row>
    <row r="379" spans="1:10" ht="12.75">
      <c r="A379" s="1" t="s">
        <v>22</v>
      </c>
      <c r="B379" s="1" t="s">
        <v>5</v>
      </c>
      <c r="C379" s="1" t="s">
        <v>91</v>
      </c>
      <c r="D379" s="2">
        <v>44607</v>
      </c>
      <c r="E379" s="1" t="s">
        <v>398</v>
      </c>
      <c r="F379" s="5">
        <f t="shared" si="21"/>
        <v>6034</v>
      </c>
      <c r="G379" s="1">
        <v>223</v>
      </c>
      <c r="H379" s="1" t="str">
        <f t="shared" si="22"/>
        <v>High</v>
      </c>
      <c r="I379" s="1" t="str">
        <f t="shared" si="23"/>
        <v>Other</v>
      </c>
      <c r="J379" s="1">
        <f t="shared" si="24"/>
        <v>562837.33000000019</v>
      </c>
    </row>
    <row r="380" spans="1:10" ht="12.75">
      <c r="A380" s="1" t="s">
        <v>15</v>
      </c>
      <c r="B380" s="1" t="s">
        <v>59</v>
      </c>
      <c r="C380" s="1" t="s">
        <v>60</v>
      </c>
      <c r="D380" s="2">
        <v>44741</v>
      </c>
      <c r="E380" s="1" t="s">
        <v>399</v>
      </c>
      <c r="F380" s="5">
        <f t="shared" si="21"/>
        <v>980</v>
      </c>
      <c r="G380" s="1">
        <v>146</v>
      </c>
      <c r="H380" s="1" t="str">
        <f t="shared" si="22"/>
        <v>High</v>
      </c>
      <c r="I380" s="1" t="str">
        <f t="shared" si="23"/>
        <v>Other</v>
      </c>
      <c r="J380" s="1">
        <f t="shared" si="24"/>
        <v>562837.33000000019</v>
      </c>
    </row>
    <row r="381" spans="1:10" ht="12.75">
      <c r="A381" s="1" t="s">
        <v>20</v>
      </c>
      <c r="B381" s="1" t="s">
        <v>59</v>
      </c>
      <c r="C381" s="1" t="s">
        <v>81</v>
      </c>
      <c r="D381" s="2">
        <v>44705</v>
      </c>
      <c r="E381" s="1" t="s">
        <v>400</v>
      </c>
      <c r="F381" s="5">
        <f t="shared" si="21"/>
        <v>2821</v>
      </c>
      <c r="G381" s="1">
        <v>112</v>
      </c>
      <c r="H381" s="1" t="str">
        <f t="shared" si="22"/>
        <v>High</v>
      </c>
      <c r="I381" s="1" t="str">
        <f t="shared" si="23"/>
        <v>Other</v>
      </c>
      <c r="J381" s="1">
        <f t="shared" si="24"/>
        <v>562837.33000000019</v>
      </c>
    </row>
    <row r="382" spans="1:10" ht="12.75">
      <c r="A382" s="1" t="s">
        <v>2</v>
      </c>
      <c r="B382" s="1" t="s">
        <v>39</v>
      </c>
      <c r="C382" s="1" t="s">
        <v>72</v>
      </c>
      <c r="D382" s="2">
        <v>44571</v>
      </c>
      <c r="E382" s="1" t="s">
        <v>401</v>
      </c>
      <c r="F382" s="5">
        <f t="shared" si="21"/>
        <v>3563</v>
      </c>
      <c r="G382" s="1">
        <v>284</v>
      </c>
      <c r="H382" s="1" t="str">
        <f t="shared" si="22"/>
        <v>High</v>
      </c>
      <c r="I382" s="1" t="str">
        <f t="shared" si="23"/>
        <v>Other</v>
      </c>
      <c r="J382" s="1">
        <f t="shared" si="24"/>
        <v>562837.33000000019</v>
      </c>
    </row>
    <row r="383" spans="1:10" ht="12.75">
      <c r="A383" s="1" t="s">
        <v>24</v>
      </c>
      <c r="B383" s="1" t="s">
        <v>59</v>
      </c>
      <c r="C383" s="1" t="s">
        <v>100</v>
      </c>
      <c r="D383" s="2">
        <v>44635</v>
      </c>
      <c r="E383" s="1" t="s">
        <v>402</v>
      </c>
      <c r="F383" s="5">
        <f t="shared" si="21"/>
        <v>2996</v>
      </c>
      <c r="G383" s="1">
        <v>139</v>
      </c>
      <c r="H383" s="1" t="str">
        <f t="shared" si="22"/>
        <v>High</v>
      </c>
      <c r="I383" s="1" t="str">
        <f t="shared" si="23"/>
        <v>Other</v>
      </c>
      <c r="J383" s="1">
        <f t="shared" si="24"/>
        <v>559274.33000000019</v>
      </c>
    </row>
    <row r="384" spans="1:10" ht="12.75">
      <c r="A384" s="1" t="s">
        <v>14</v>
      </c>
      <c r="B384" s="1" t="s">
        <v>62</v>
      </c>
      <c r="C384" s="1" t="s">
        <v>72</v>
      </c>
      <c r="D384" s="2">
        <v>44600</v>
      </c>
      <c r="E384" s="1" t="s">
        <v>403</v>
      </c>
      <c r="F384" s="5">
        <f t="shared" si="21"/>
        <v>2436</v>
      </c>
      <c r="G384" s="1">
        <v>309</v>
      </c>
      <c r="H384" s="1" t="str">
        <f t="shared" si="22"/>
        <v>High</v>
      </c>
      <c r="I384" s="1" t="str">
        <f t="shared" si="23"/>
        <v>Other</v>
      </c>
      <c r="J384" s="1">
        <f t="shared" si="24"/>
        <v>559274.33000000019</v>
      </c>
    </row>
    <row r="385" spans="1:10" ht="12.75">
      <c r="A385" s="1" t="s">
        <v>7</v>
      </c>
      <c r="B385" s="1" t="s">
        <v>42</v>
      </c>
      <c r="C385" s="1" t="s">
        <v>126</v>
      </c>
      <c r="D385" s="2">
        <v>44617</v>
      </c>
      <c r="E385" s="1" t="s">
        <v>347</v>
      </c>
      <c r="F385" s="5">
        <f t="shared" si="21"/>
        <v>1540</v>
      </c>
      <c r="G385" s="1">
        <v>100</v>
      </c>
      <c r="H385" s="1" t="str">
        <f t="shared" si="22"/>
        <v>High</v>
      </c>
      <c r="I385" s="1" t="str">
        <f t="shared" si="23"/>
        <v>Other</v>
      </c>
      <c r="J385" s="1">
        <f t="shared" si="24"/>
        <v>559274.33000000019</v>
      </c>
    </row>
    <row r="386" spans="1:10" ht="12.75">
      <c r="A386" s="1" t="s">
        <v>23</v>
      </c>
      <c r="B386" s="1" t="s">
        <v>59</v>
      </c>
      <c r="C386" s="1" t="s">
        <v>63</v>
      </c>
      <c r="D386" s="2">
        <v>44684</v>
      </c>
      <c r="E386" s="1" t="s">
        <v>348</v>
      </c>
      <c r="F386" s="5">
        <f t="shared" ref="F386:F449" si="25">VALUE(SUBSTITUTE(E386,"$",""))</f>
        <v>6916</v>
      </c>
      <c r="G386" s="1">
        <v>42</v>
      </c>
      <c r="H386" s="1" t="str">
        <f t="shared" ref="H386:H449" si="26">IF(F386&gt;800,"High",IF(F386&gt;500,"Medium","Low"))</f>
        <v>High</v>
      </c>
      <c r="I386" s="1" t="str">
        <f t="shared" ref="I386:I449" si="27">IF(AND(B386="Australia",A386="Mallorie Waber"),"Top Local","Other")</f>
        <v>Other</v>
      </c>
      <c r="J386" s="1">
        <f t="shared" ref="J386:J449" si="28">SUMIF(A386:A3666,"Mallorie Waber",F386:F3666)</f>
        <v>559274.33000000019</v>
      </c>
    </row>
    <row r="387" spans="1:10" ht="12.75">
      <c r="A387" s="1" t="s">
        <v>26</v>
      </c>
      <c r="B387" s="1" t="s">
        <v>59</v>
      </c>
      <c r="C387" s="1" t="s">
        <v>81</v>
      </c>
      <c r="D387" s="2">
        <v>44726</v>
      </c>
      <c r="E387" s="1" t="s">
        <v>404</v>
      </c>
      <c r="F387" s="5">
        <f t="shared" si="25"/>
        <v>5509</v>
      </c>
      <c r="G387" s="1">
        <v>24</v>
      </c>
      <c r="H387" s="1" t="str">
        <f t="shared" si="26"/>
        <v>High</v>
      </c>
      <c r="I387" s="1" t="str">
        <f t="shared" si="27"/>
        <v>Other</v>
      </c>
      <c r="J387" s="1">
        <f t="shared" si="28"/>
        <v>559274.33000000019</v>
      </c>
    </row>
    <row r="388" spans="1:10" ht="12.75">
      <c r="A388" s="1" t="s">
        <v>23</v>
      </c>
      <c r="B388" s="1" t="s">
        <v>42</v>
      </c>
      <c r="C388" s="1" t="s">
        <v>55</v>
      </c>
      <c r="D388" s="2">
        <v>44782</v>
      </c>
      <c r="E388" s="1" t="s">
        <v>405</v>
      </c>
      <c r="F388" s="5">
        <f t="shared" si="25"/>
        <v>12992</v>
      </c>
      <c r="G388" s="1">
        <v>83</v>
      </c>
      <c r="H388" s="1" t="str">
        <f t="shared" si="26"/>
        <v>High</v>
      </c>
      <c r="I388" s="1" t="str">
        <f t="shared" si="27"/>
        <v>Other</v>
      </c>
      <c r="J388" s="1">
        <f t="shared" si="28"/>
        <v>559274.33000000019</v>
      </c>
    </row>
    <row r="389" spans="1:10" ht="12.75">
      <c r="A389" s="1" t="s">
        <v>29</v>
      </c>
      <c r="B389" s="1" t="s">
        <v>54</v>
      </c>
      <c r="C389" s="1" t="s">
        <v>86</v>
      </c>
      <c r="D389" s="2">
        <v>44753</v>
      </c>
      <c r="E389" s="1" t="s">
        <v>406</v>
      </c>
      <c r="F389" s="5">
        <f t="shared" si="25"/>
        <v>3724</v>
      </c>
      <c r="G389" s="1">
        <v>234</v>
      </c>
      <c r="H389" s="1" t="str">
        <f t="shared" si="26"/>
        <v>High</v>
      </c>
      <c r="I389" s="1" t="str">
        <f t="shared" si="27"/>
        <v>Other</v>
      </c>
      <c r="J389" s="1">
        <f t="shared" si="28"/>
        <v>559274.33000000019</v>
      </c>
    </row>
    <row r="390" spans="1:10" ht="12.75">
      <c r="A390" s="1" t="s">
        <v>8</v>
      </c>
      <c r="B390" s="1" t="s">
        <v>39</v>
      </c>
      <c r="C390" s="1" t="s">
        <v>86</v>
      </c>
      <c r="D390" s="2">
        <v>44575</v>
      </c>
      <c r="E390" s="1" t="s">
        <v>407</v>
      </c>
      <c r="F390" s="5">
        <f t="shared" si="25"/>
        <v>7133</v>
      </c>
      <c r="G390" s="1">
        <v>118</v>
      </c>
      <c r="H390" s="1" t="str">
        <f t="shared" si="26"/>
        <v>High</v>
      </c>
      <c r="I390" s="1" t="str">
        <f t="shared" si="27"/>
        <v>Other</v>
      </c>
      <c r="J390" s="1">
        <f t="shared" si="28"/>
        <v>559274.33000000019</v>
      </c>
    </row>
    <row r="391" spans="1:10" ht="12.75">
      <c r="A391" s="1" t="s">
        <v>10</v>
      </c>
      <c r="B391" s="1" t="s">
        <v>62</v>
      </c>
      <c r="C391" s="1" t="s">
        <v>86</v>
      </c>
      <c r="D391" s="2">
        <v>44616</v>
      </c>
      <c r="E391" s="1" t="s">
        <v>408</v>
      </c>
      <c r="F391" s="5">
        <f t="shared" si="25"/>
        <v>8617</v>
      </c>
      <c r="G391" s="1">
        <v>46</v>
      </c>
      <c r="H391" s="1" t="str">
        <f t="shared" si="26"/>
        <v>High</v>
      </c>
      <c r="I391" s="1" t="str">
        <f t="shared" si="27"/>
        <v>Other</v>
      </c>
      <c r="J391" s="1">
        <f t="shared" si="28"/>
        <v>559274.33000000019</v>
      </c>
    </row>
    <row r="392" spans="1:10" ht="12.75">
      <c r="A392" s="1" t="s">
        <v>29</v>
      </c>
      <c r="B392" s="1" t="s">
        <v>54</v>
      </c>
      <c r="C392" s="1" t="s">
        <v>91</v>
      </c>
      <c r="D392" s="2">
        <v>44635</v>
      </c>
      <c r="E392" s="1" t="s">
        <v>409</v>
      </c>
      <c r="F392" s="5">
        <f t="shared" si="25"/>
        <v>9198</v>
      </c>
      <c r="G392" s="1">
        <v>144</v>
      </c>
      <c r="H392" s="1" t="str">
        <f t="shared" si="26"/>
        <v>High</v>
      </c>
      <c r="I392" s="1" t="str">
        <f t="shared" si="27"/>
        <v>Other</v>
      </c>
      <c r="J392" s="1">
        <f t="shared" si="28"/>
        <v>559274.33000000019</v>
      </c>
    </row>
    <row r="393" spans="1:10" ht="12.75">
      <c r="A393" s="1" t="s">
        <v>22</v>
      </c>
      <c r="B393" s="1" t="s">
        <v>54</v>
      </c>
      <c r="C393" s="1" t="s">
        <v>122</v>
      </c>
      <c r="D393" s="2">
        <v>44676</v>
      </c>
      <c r="E393" s="1" t="s">
        <v>410</v>
      </c>
      <c r="F393" s="5">
        <f t="shared" si="25"/>
        <v>11823</v>
      </c>
      <c r="G393" s="1">
        <v>47</v>
      </c>
      <c r="H393" s="1" t="str">
        <f t="shared" si="26"/>
        <v>High</v>
      </c>
      <c r="I393" s="1" t="str">
        <f t="shared" si="27"/>
        <v>Other</v>
      </c>
      <c r="J393" s="1">
        <f t="shared" si="28"/>
        <v>559274.33000000019</v>
      </c>
    </row>
    <row r="394" spans="1:10" ht="12.75">
      <c r="A394" s="1" t="s">
        <v>6</v>
      </c>
      <c r="B394" s="1" t="s">
        <v>5</v>
      </c>
      <c r="C394" s="1" t="s">
        <v>68</v>
      </c>
      <c r="D394" s="2">
        <v>44691</v>
      </c>
      <c r="E394" s="1" t="s">
        <v>411</v>
      </c>
      <c r="F394" s="5">
        <f t="shared" si="25"/>
        <v>5775</v>
      </c>
      <c r="G394" s="1">
        <v>41</v>
      </c>
      <c r="H394" s="1" t="str">
        <f t="shared" si="26"/>
        <v>High</v>
      </c>
      <c r="I394" s="1" t="str">
        <f t="shared" si="27"/>
        <v>Other</v>
      </c>
      <c r="J394" s="1">
        <f t="shared" si="28"/>
        <v>559274.33000000019</v>
      </c>
    </row>
    <row r="395" spans="1:10" ht="12.75">
      <c r="A395" s="1" t="s">
        <v>14</v>
      </c>
      <c r="B395" s="1" t="s">
        <v>5</v>
      </c>
      <c r="C395" s="1" t="s">
        <v>76</v>
      </c>
      <c r="D395" s="2">
        <v>44735</v>
      </c>
      <c r="E395" s="1" t="s">
        <v>412</v>
      </c>
      <c r="F395" s="5">
        <f t="shared" si="25"/>
        <v>13125</v>
      </c>
      <c r="G395" s="1">
        <v>275</v>
      </c>
      <c r="H395" s="1" t="str">
        <f t="shared" si="26"/>
        <v>High</v>
      </c>
      <c r="I395" s="1" t="str">
        <f t="shared" si="27"/>
        <v>Other</v>
      </c>
      <c r="J395" s="1">
        <f t="shared" si="28"/>
        <v>559274.33000000019</v>
      </c>
    </row>
    <row r="396" spans="1:10" ht="12.75">
      <c r="A396" s="1" t="s">
        <v>28</v>
      </c>
      <c r="B396" s="1" t="s">
        <v>62</v>
      </c>
      <c r="C396" s="1" t="s">
        <v>49</v>
      </c>
      <c r="D396" s="2">
        <v>44620</v>
      </c>
      <c r="E396" s="1" t="s">
        <v>413</v>
      </c>
      <c r="F396" s="5">
        <f t="shared" si="25"/>
        <v>14287</v>
      </c>
      <c r="G396" s="1">
        <v>370</v>
      </c>
      <c r="H396" s="1" t="str">
        <f t="shared" si="26"/>
        <v>High</v>
      </c>
      <c r="I396" s="1" t="str">
        <f t="shared" si="27"/>
        <v>Other</v>
      </c>
      <c r="J396" s="1">
        <f t="shared" si="28"/>
        <v>559274.33000000019</v>
      </c>
    </row>
    <row r="397" spans="1:10" ht="12.75">
      <c r="A397" s="1" t="s">
        <v>7</v>
      </c>
      <c r="B397" s="1" t="s">
        <v>59</v>
      </c>
      <c r="C397" s="1" t="s">
        <v>68</v>
      </c>
      <c r="D397" s="2">
        <v>44706</v>
      </c>
      <c r="E397" s="1" t="s">
        <v>414</v>
      </c>
      <c r="F397" s="5">
        <f t="shared" si="25"/>
        <v>16233</v>
      </c>
      <c r="G397" s="1">
        <v>138</v>
      </c>
      <c r="H397" s="1" t="str">
        <f t="shared" si="26"/>
        <v>High</v>
      </c>
      <c r="I397" s="1" t="str">
        <f t="shared" si="27"/>
        <v>Other</v>
      </c>
      <c r="J397" s="1">
        <f t="shared" si="28"/>
        <v>559274.33000000019</v>
      </c>
    </row>
    <row r="398" spans="1:10" ht="12.75">
      <c r="A398" s="1" t="s">
        <v>26</v>
      </c>
      <c r="B398" s="1" t="s">
        <v>54</v>
      </c>
      <c r="C398" s="1" t="s">
        <v>122</v>
      </c>
      <c r="D398" s="2">
        <v>44614</v>
      </c>
      <c r="E398" s="1" t="s">
        <v>415</v>
      </c>
      <c r="F398" s="5">
        <f t="shared" si="25"/>
        <v>5313</v>
      </c>
      <c r="G398" s="1">
        <v>215</v>
      </c>
      <c r="H398" s="1" t="str">
        <f t="shared" si="26"/>
        <v>High</v>
      </c>
      <c r="I398" s="1" t="str">
        <f t="shared" si="27"/>
        <v>Other</v>
      </c>
      <c r="J398" s="1">
        <f t="shared" si="28"/>
        <v>559274.33000000019</v>
      </c>
    </row>
    <row r="399" spans="1:10" ht="12.75">
      <c r="A399" s="1" t="s">
        <v>10</v>
      </c>
      <c r="B399" s="1" t="s">
        <v>39</v>
      </c>
      <c r="C399" s="1" t="s">
        <v>43</v>
      </c>
      <c r="D399" s="2">
        <v>44753</v>
      </c>
      <c r="E399" s="1" t="s">
        <v>416</v>
      </c>
      <c r="F399" s="5">
        <f t="shared" si="25"/>
        <v>3577</v>
      </c>
      <c r="G399" s="1">
        <v>134</v>
      </c>
      <c r="H399" s="1" t="str">
        <f t="shared" si="26"/>
        <v>High</v>
      </c>
      <c r="I399" s="1" t="str">
        <f t="shared" si="27"/>
        <v>Other</v>
      </c>
      <c r="J399" s="1">
        <f t="shared" si="28"/>
        <v>559274.33000000019</v>
      </c>
    </row>
    <row r="400" spans="1:10" ht="12.75">
      <c r="A400" s="1" t="s">
        <v>14</v>
      </c>
      <c r="B400" s="1" t="s">
        <v>62</v>
      </c>
      <c r="C400" s="1" t="s">
        <v>76</v>
      </c>
      <c r="D400" s="2">
        <v>44564</v>
      </c>
      <c r="E400" s="1" t="s">
        <v>417</v>
      </c>
      <c r="F400" s="5">
        <f t="shared" si="25"/>
        <v>3528</v>
      </c>
      <c r="G400" s="1">
        <v>336</v>
      </c>
      <c r="H400" s="1" t="str">
        <f t="shared" si="26"/>
        <v>High</v>
      </c>
      <c r="I400" s="1" t="str">
        <f t="shared" si="27"/>
        <v>Other</v>
      </c>
      <c r="J400" s="1">
        <f t="shared" si="28"/>
        <v>559274.33000000019</v>
      </c>
    </row>
    <row r="401" spans="1:10" ht="12.75">
      <c r="A401" s="1" t="s">
        <v>19</v>
      </c>
      <c r="B401" s="1" t="s">
        <v>54</v>
      </c>
      <c r="C401" s="1" t="s">
        <v>147</v>
      </c>
      <c r="D401" s="2">
        <v>44797</v>
      </c>
      <c r="E401" s="1" t="s">
        <v>418</v>
      </c>
      <c r="F401" s="5">
        <f t="shared" si="25"/>
        <v>679</v>
      </c>
      <c r="G401" s="1">
        <v>280</v>
      </c>
      <c r="H401" s="1" t="str">
        <f t="shared" si="26"/>
        <v>Medium</v>
      </c>
      <c r="I401" s="1" t="str">
        <f t="shared" si="27"/>
        <v>Other</v>
      </c>
      <c r="J401" s="1">
        <f t="shared" si="28"/>
        <v>559274.33000000019</v>
      </c>
    </row>
    <row r="402" spans="1:10" ht="12.75">
      <c r="A402" s="1" t="s">
        <v>28</v>
      </c>
      <c r="B402" s="1" t="s">
        <v>59</v>
      </c>
      <c r="C402" s="1" t="s">
        <v>55</v>
      </c>
      <c r="D402" s="2">
        <v>44770</v>
      </c>
      <c r="E402" s="1" t="s">
        <v>419</v>
      </c>
      <c r="F402" s="5">
        <f t="shared" si="25"/>
        <v>2450</v>
      </c>
      <c r="G402" s="1">
        <v>352</v>
      </c>
      <c r="H402" s="1" t="str">
        <f t="shared" si="26"/>
        <v>High</v>
      </c>
      <c r="I402" s="1" t="str">
        <f t="shared" si="27"/>
        <v>Other</v>
      </c>
      <c r="J402" s="1">
        <f t="shared" si="28"/>
        <v>559274.33000000019</v>
      </c>
    </row>
    <row r="403" spans="1:10" ht="12.75">
      <c r="A403" s="1" t="s">
        <v>7</v>
      </c>
      <c r="B403" s="1" t="s">
        <v>59</v>
      </c>
      <c r="C403" s="1" t="s">
        <v>40</v>
      </c>
      <c r="D403" s="2">
        <v>44706</v>
      </c>
      <c r="E403" s="1" t="s">
        <v>420</v>
      </c>
      <c r="F403" s="5">
        <f t="shared" si="25"/>
        <v>10577</v>
      </c>
      <c r="G403" s="1">
        <v>150</v>
      </c>
      <c r="H403" s="1" t="str">
        <f t="shared" si="26"/>
        <v>High</v>
      </c>
      <c r="I403" s="1" t="str">
        <f t="shared" si="27"/>
        <v>Other</v>
      </c>
      <c r="J403" s="1">
        <f t="shared" si="28"/>
        <v>559274.33000000019</v>
      </c>
    </row>
    <row r="404" spans="1:10" ht="12.75">
      <c r="A404" s="1" t="s">
        <v>18</v>
      </c>
      <c r="B404" s="1" t="s">
        <v>54</v>
      </c>
      <c r="C404" s="1" t="s">
        <v>63</v>
      </c>
      <c r="D404" s="2">
        <v>44687</v>
      </c>
      <c r="E404" s="1" t="s">
        <v>421</v>
      </c>
      <c r="F404" s="5">
        <f t="shared" si="25"/>
        <v>2597</v>
      </c>
      <c r="G404" s="1">
        <v>177</v>
      </c>
      <c r="H404" s="1" t="str">
        <f t="shared" si="26"/>
        <v>High</v>
      </c>
      <c r="I404" s="1" t="str">
        <f t="shared" si="27"/>
        <v>Other</v>
      </c>
      <c r="J404" s="1">
        <f t="shared" si="28"/>
        <v>559274.33000000019</v>
      </c>
    </row>
    <row r="405" spans="1:10" ht="12.75">
      <c r="A405" s="1" t="s">
        <v>16</v>
      </c>
      <c r="B405" s="1" t="s">
        <v>42</v>
      </c>
      <c r="C405" s="1" t="s">
        <v>65</v>
      </c>
      <c r="D405" s="2">
        <v>44589</v>
      </c>
      <c r="E405" s="1" t="s">
        <v>422</v>
      </c>
      <c r="F405" s="5">
        <f t="shared" si="25"/>
        <v>2219</v>
      </c>
      <c r="G405" s="1">
        <v>142</v>
      </c>
      <c r="H405" s="1" t="str">
        <f t="shared" si="26"/>
        <v>High</v>
      </c>
      <c r="I405" s="1" t="str">
        <f t="shared" si="27"/>
        <v>Other</v>
      </c>
      <c r="J405" s="1">
        <f t="shared" si="28"/>
        <v>559274.33000000019</v>
      </c>
    </row>
    <row r="406" spans="1:10" ht="12.75">
      <c r="A406" s="1" t="s">
        <v>14</v>
      </c>
      <c r="B406" s="1" t="s">
        <v>39</v>
      </c>
      <c r="C406" s="1" t="s">
        <v>60</v>
      </c>
      <c r="D406" s="2">
        <v>44718</v>
      </c>
      <c r="E406" s="1" t="s">
        <v>423</v>
      </c>
      <c r="F406" s="5">
        <f t="shared" si="25"/>
        <v>11319</v>
      </c>
      <c r="G406" s="1">
        <v>12</v>
      </c>
      <c r="H406" s="1" t="str">
        <f t="shared" si="26"/>
        <v>High</v>
      </c>
      <c r="I406" s="1" t="str">
        <f t="shared" si="27"/>
        <v>Other</v>
      </c>
      <c r="J406" s="1">
        <f t="shared" si="28"/>
        <v>559274.33000000019</v>
      </c>
    </row>
    <row r="407" spans="1:10" ht="12.75">
      <c r="A407" s="1" t="s">
        <v>7</v>
      </c>
      <c r="B407" s="1" t="s">
        <v>54</v>
      </c>
      <c r="C407" s="1" t="s">
        <v>122</v>
      </c>
      <c r="D407" s="2">
        <v>44754</v>
      </c>
      <c r="E407" s="1" t="s">
        <v>424</v>
      </c>
      <c r="F407" s="5">
        <f t="shared" si="25"/>
        <v>5978</v>
      </c>
      <c r="G407" s="1">
        <v>24</v>
      </c>
      <c r="H407" s="1" t="str">
        <f t="shared" si="26"/>
        <v>High</v>
      </c>
      <c r="I407" s="1" t="str">
        <f t="shared" si="27"/>
        <v>Other</v>
      </c>
      <c r="J407" s="1">
        <f t="shared" si="28"/>
        <v>559274.33000000019</v>
      </c>
    </row>
    <row r="408" spans="1:10" ht="12.75">
      <c r="A408" s="1" t="s">
        <v>17</v>
      </c>
      <c r="B408" s="1" t="s">
        <v>62</v>
      </c>
      <c r="C408" s="1" t="s">
        <v>76</v>
      </c>
      <c r="D408" s="2">
        <v>44778</v>
      </c>
      <c r="E408" s="1" t="s">
        <v>425</v>
      </c>
      <c r="F408" s="5">
        <f t="shared" si="25"/>
        <v>5327</v>
      </c>
      <c r="G408" s="1">
        <v>183</v>
      </c>
      <c r="H408" s="1" t="str">
        <f t="shared" si="26"/>
        <v>High</v>
      </c>
      <c r="I408" s="1" t="str">
        <f t="shared" si="27"/>
        <v>Other</v>
      </c>
      <c r="J408" s="1">
        <f t="shared" si="28"/>
        <v>559274.33000000019</v>
      </c>
    </row>
    <row r="409" spans="1:10" ht="12.75">
      <c r="A409" s="1" t="s">
        <v>7</v>
      </c>
      <c r="B409" s="1" t="s">
        <v>59</v>
      </c>
      <c r="C409" s="1" t="s">
        <v>60</v>
      </c>
      <c r="D409" s="2">
        <v>44589</v>
      </c>
      <c r="E409" s="1" t="s">
        <v>426</v>
      </c>
      <c r="F409" s="5">
        <f t="shared" si="25"/>
        <v>6020</v>
      </c>
      <c r="G409" s="1">
        <v>147</v>
      </c>
      <c r="H409" s="1" t="str">
        <f t="shared" si="26"/>
        <v>High</v>
      </c>
      <c r="I409" s="1" t="str">
        <f t="shared" si="27"/>
        <v>Other</v>
      </c>
      <c r="J409" s="1">
        <f t="shared" si="28"/>
        <v>559274.33000000019</v>
      </c>
    </row>
    <row r="410" spans="1:10" ht="12.75">
      <c r="A410" s="1" t="s">
        <v>8</v>
      </c>
      <c r="B410" s="1" t="s">
        <v>42</v>
      </c>
      <c r="C410" s="1" t="s">
        <v>76</v>
      </c>
      <c r="D410" s="2">
        <v>44804</v>
      </c>
      <c r="E410" s="1" t="s">
        <v>427</v>
      </c>
      <c r="F410" s="5">
        <f t="shared" si="25"/>
        <v>5614</v>
      </c>
      <c r="G410" s="1">
        <v>137</v>
      </c>
      <c r="H410" s="1" t="str">
        <f t="shared" si="26"/>
        <v>High</v>
      </c>
      <c r="I410" s="1" t="str">
        <f t="shared" si="27"/>
        <v>Other</v>
      </c>
      <c r="J410" s="1">
        <f t="shared" si="28"/>
        <v>559274.33000000019</v>
      </c>
    </row>
    <row r="411" spans="1:10" ht="12.75">
      <c r="A411" s="1" t="s">
        <v>2</v>
      </c>
      <c r="B411" s="1" t="s">
        <v>59</v>
      </c>
      <c r="C411" s="1" t="s">
        <v>55</v>
      </c>
      <c r="D411" s="2">
        <v>44670</v>
      </c>
      <c r="E411" s="1" t="s">
        <v>428</v>
      </c>
      <c r="F411" s="5">
        <f t="shared" si="25"/>
        <v>1736</v>
      </c>
      <c r="G411" s="1">
        <v>13</v>
      </c>
      <c r="H411" s="1" t="str">
        <f t="shared" si="26"/>
        <v>High</v>
      </c>
      <c r="I411" s="1" t="str">
        <f t="shared" si="27"/>
        <v>Other</v>
      </c>
      <c r="J411" s="1">
        <f t="shared" si="28"/>
        <v>559274.33000000019</v>
      </c>
    </row>
    <row r="412" spans="1:10" ht="12.75">
      <c r="A412" s="1" t="s">
        <v>2</v>
      </c>
      <c r="B412" s="1" t="s">
        <v>39</v>
      </c>
      <c r="C412" s="1" t="s">
        <v>40</v>
      </c>
      <c r="D412" s="2">
        <v>44741</v>
      </c>
      <c r="E412" s="1" t="s">
        <v>429</v>
      </c>
      <c r="F412" s="5">
        <f t="shared" si="25"/>
        <v>6384</v>
      </c>
      <c r="G412" s="1">
        <v>2</v>
      </c>
      <c r="H412" s="1" t="str">
        <f t="shared" si="26"/>
        <v>High</v>
      </c>
      <c r="I412" s="1" t="str">
        <f t="shared" si="27"/>
        <v>Other</v>
      </c>
      <c r="J412" s="1">
        <f t="shared" si="28"/>
        <v>557538.33000000019</v>
      </c>
    </row>
    <row r="413" spans="1:10" ht="12.75">
      <c r="A413" s="1" t="s">
        <v>28</v>
      </c>
      <c r="B413" s="1" t="s">
        <v>42</v>
      </c>
      <c r="C413" s="1" t="s">
        <v>102</v>
      </c>
      <c r="D413" s="2">
        <v>44616</v>
      </c>
      <c r="E413" s="1" t="s">
        <v>416</v>
      </c>
      <c r="F413" s="5">
        <f t="shared" si="25"/>
        <v>3577</v>
      </c>
      <c r="G413" s="1">
        <v>261</v>
      </c>
      <c r="H413" s="1" t="str">
        <f t="shared" si="26"/>
        <v>High</v>
      </c>
      <c r="I413" s="1" t="str">
        <f t="shared" si="27"/>
        <v>Other</v>
      </c>
      <c r="J413" s="1">
        <f t="shared" si="28"/>
        <v>551154.33000000019</v>
      </c>
    </row>
    <row r="414" spans="1:10" ht="12.75">
      <c r="A414" s="1" t="s">
        <v>9</v>
      </c>
      <c r="B414" s="1" t="s">
        <v>39</v>
      </c>
      <c r="C414" s="1" t="s">
        <v>49</v>
      </c>
      <c r="D414" s="2">
        <v>44624</v>
      </c>
      <c r="E414" s="1" t="s">
        <v>430</v>
      </c>
      <c r="F414" s="5">
        <f t="shared" si="25"/>
        <v>14539</v>
      </c>
      <c r="G414" s="1">
        <v>84</v>
      </c>
      <c r="H414" s="1" t="str">
        <f t="shared" si="26"/>
        <v>High</v>
      </c>
      <c r="I414" s="1" t="str">
        <f t="shared" si="27"/>
        <v>Other</v>
      </c>
      <c r="J414" s="1">
        <f t="shared" si="28"/>
        <v>551154.33000000019</v>
      </c>
    </row>
    <row r="415" spans="1:10" ht="12.75">
      <c r="A415" s="1" t="s">
        <v>20</v>
      </c>
      <c r="B415" s="1" t="s">
        <v>42</v>
      </c>
      <c r="C415" s="1" t="s">
        <v>63</v>
      </c>
      <c r="D415" s="2">
        <v>44733</v>
      </c>
      <c r="E415" s="1" t="s">
        <v>431</v>
      </c>
      <c r="F415" s="5">
        <f t="shared" si="25"/>
        <v>3493</v>
      </c>
      <c r="G415" s="1">
        <v>68</v>
      </c>
      <c r="H415" s="1" t="str">
        <f t="shared" si="26"/>
        <v>High</v>
      </c>
      <c r="I415" s="1" t="str">
        <f t="shared" si="27"/>
        <v>Other</v>
      </c>
      <c r="J415" s="1">
        <f t="shared" si="28"/>
        <v>551154.33000000019</v>
      </c>
    </row>
    <row r="416" spans="1:10" ht="12.75">
      <c r="A416" s="1" t="s">
        <v>19</v>
      </c>
      <c r="B416" s="1" t="s">
        <v>5</v>
      </c>
      <c r="C416" s="1" t="s">
        <v>68</v>
      </c>
      <c r="D416" s="2">
        <v>44587</v>
      </c>
      <c r="E416" s="1" t="s">
        <v>432</v>
      </c>
      <c r="F416" s="5">
        <f t="shared" si="25"/>
        <v>994</v>
      </c>
      <c r="G416" s="1">
        <v>105</v>
      </c>
      <c r="H416" s="1" t="str">
        <f t="shared" si="26"/>
        <v>High</v>
      </c>
      <c r="I416" s="1" t="str">
        <f t="shared" si="27"/>
        <v>Other</v>
      </c>
      <c r="J416" s="1">
        <f t="shared" si="28"/>
        <v>551154.33000000019</v>
      </c>
    </row>
    <row r="417" spans="1:10" ht="12.75">
      <c r="A417" s="1" t="s">
        <v>22</v>
      </c>
      <c r="B417" s="1" t="s">
        <v>54</v>
      </c>
      <c r="C417" s="1" t="s">
        <v>84</v>
      </c>
      <c r="D417" s="2">
        <v>44722</v>
      </c>
      <c r="E417" s="1" t="s">
        <v>215</v>
      </c>
      <c r="F417" s="5">
        <f t="shared" si="25"/>
        <v>4361</v>
      </c>
      <c r="G417" s="1">
        <v>40</v>
      </c>
      <c r="H417" s="1" t="str">
        <f t="shared" si="26"/>
        <v>High</v>
      </c>
      <c r="I417" s="1" t="str">
        <f t="shared" si="27"/>
        <v>Other</v>
      </c>
      <c r="J417" s="1">
        <f t="shared" si="28"/>
        <v>551154.33000000019</v>
      </c>
    </row>
    <row r="418" spans="1:10" ht="12.75">
      <c r="A418" s="1" t="s">
        <v>27</v>
      </c>
      <c r="B418" s="1" t="s">
        <v>39</v>
      </c>
      <c r="C418" s="1" t="s">
        <v>65</v>
      </c>
      <c r="D418" s="2">
        <v>44704</v>
      </c>
      <c r="E418" s="1" t="s">
        <v>433</v>
      </c>
      <c r="F418" s="5">
        <f t="shared" si="25"/>
        <v>1554</v>
      </c>
      <c r="G418" s="1">
        <v>65</v>
      </c>
      <c r="H418" s="1" t="str">
        <f t="shared" si="26"/>
        <v>High</v>
      </c>
      <c r="I418" s="1" t="str">
        <f t="shared" si="27"/>
        <v>Other</v>
      </c>
      <c r="J418" s="1">
        <f t="shared" si="28"/>
        <v>551154.33000000019</v>
      </c>
    </row>
    <row r="419" spans="1:10" ht="12.75">
      <c r="A419" s="1" t="s">
        <v>12</v>
      </c>
      <c r="B419" s="1" t="s">
        <v>42</v>
      </c>
      <c r="C419" s="1" t="s">
        <v>72</v>
      </c>
      <c r="D419" s="2">
        <v>44666</v>
      </c>
      <c r="E419" s="1" t="s">
        <v>434</v>
      </c>
      <c r="F419" s="5">
        <f t="shared" si="25"/>
        <v>966</v>
      </c>
      <c r="G419" s="1">
        <v>107</v>
      </c>
      <c r="H419" s="1" t="str">
        <f t="shared" si="26"/>
        <v>High</v>
      </c>
      <c r="I419" s="1" t="str">
        <f t="shared" si="27"/>
        <v>Other</v>
      </c>
      <c r="J419" s="1">
        <f t="shared" si="28"/>
        <v>551154.33000000019</v>
      </c>
    </row>
    <row r="420" spans="1:10" ht="12.75">
      <c r="A420" s="1" t="s">
        <v>18</v>
      </c>
      <c r="B420" s="1" t="s">
        <v>54</v>
      </c>
      <c r="C420" s="1" t="s">
        <v>126</v>
      </c>
      <c r="D420" s="2">
        <v>44592</v>
      </c>
      <c r="E420" s="1" t="s">
        <v>165</v>
      </c>
      <c r="F420" s="5">
        <f t="shared" si="25"/>
        <v>5334</v>
      </c>
      <c r="G420" s="1">
        <v>227</v>
      </c>
      <c r="H420" s="1" t="str">
        <f t="shared" si="26"/>
        <v>High</v>
      </c>
      <c r="I420" s="1" t="str">
        <f t="shared" si="27"/>
        <v>Other</v>
      </c>
      <c r="J420" s="1">
        <f t="shared" si="28"/>
        <v>551154.33000000019</v>
      </c>
    </row>
    <row r="421" spans="1:10" ht="12.75">
      <c r="A421" s="1" t="s">
        <v>27</v>
      </c>
      <c r="B421" s="1" t="s">
        <v>54</v>
      </c>
      <c r="C421" s="1" t="s">
        <v>68</v>
      </c>
      <c r="D421" s="2">
        <v>44624</v>
      </c>
      <c r="E421" s="1" t="s">
        <v>435</v>
      </c>
      <c r="F421" s="5">
        <f t="shared" si="25"/>
        <v>4935</v>
      </c>
      <c r="G421" s="1">
        <v>39</v>
      </c>
      <c r="H421" s="1" t="str">
        <f t="shared" si="26"/>
        <v>High</v>
      </c>
      <c r="I421" s="1" t="str">
        <f t="shared" si="27"/>
        <v>Other</v>
      </c>
      <c r="J421" s="1">
        <f t="shared" si="28"/>
        <v>551154.33000000019</v>
      </c>
    </row>
    <row r="422" spans="1:10" ht="12.75">
      <c r="A422" s="1" t="s">
        <v>16</v>
      </c>
      <c r="B422" s="1" t="s">
        <v>54</v>
      </c>
      <c r="C422" s="1" t="s">
        <v>52</v>
      </c>
      <c r="D422" s="2">
        <v>44670</v>
      </c>
      <c r="E422" s="1" t="s">
        <v>436</v>
      </c>
      <c r="F422" s="5">
        <f t="shared" si="25"/>
        <v>10024</v>
      </c>
      <c r="G422" s="1">
        <v>84</v>
      </c>
      <c r="H422" s="1" t="str">
        <f t="shared" si="26"/>
        <v>High</v>
      </c>
      <c r="I422" s="1" t="str">
        <f t="shared" si="27"/>
        <v>Other</v>
      </c>
      <c r="J422" s="1">
        <f t="shared" si="28"/>
        <v>551154.33000000019</v>
      </c>
    </row>
    <row r="423" spans="1:10" ht="12.75">
      <c r="A423" s="1" t="s">
        <v>28</v>
      </c>
      <c r="B423" s="1" t="s">
        <v>39</v>
      </c>
      <c r="C423" s="1" t="s">
        <v>91</v>
      </c>
      <c r="D423" s="2">
        <v>44697</v>
      </c>
      <c r="E423" s="1" t="s">
        <v>437</v>
      </c>
      <c r="F423" s="5">
        <f t="shared" si="25"/>
        <v>2506</v>
      </c>
      <c r="G423" s="1">
        <v>100</v>
      </c>
      <c r="H423" s="1" t="str">
        <f t="shared" si="26"/>
        <v>High</v>
      </c>
      <c r="I423" s="1" t="str">
        <f t="shared" si="27"/>
        <v>Other</v>
      </c>
      <c r="J423" s="1">
        <f t="shared" si="28"/>
        <v>551154.33000000019</v>
      </c>
    </row>
    <row r="424" spans="1:10" ht="12.75">
      <c r="A424" s="1" t="s">
        <v>22</v>
      </c>
      <c r="B424" s="1" t="s">
        <v>5</v>
      </c>
      <c r="C424" s="1" t="s">
        <v>100</v>
      </c>
      <c r="D424" s="2">
        <v>44609</v>
      </c>
      <c r="E424" s="1" t="s">
        <v>228</v>
      </c>
      <c r="F424" s="5">
        <f t="shared" si="25"/>
        <v>1043</v>
      </c>
      <c r="G424" s="1">
        <v>120</v>
      </c>
      <c r="H424" s="1" t="str">
        <f t="shared" si="26"/>
        <v>High</v>
      </c>
      <c r="I424" s="1" t="str">
        <f t="shared" si="27"/>
        <v>Other</v>
      </c>
      <c r="J424" s="1">
        <f t="shared" si="28"/>
        <v>551154.33000000019</v>
      </c>
    </row>
    <row r="425" spans="1:10" ht="12.75">
      <c r="A425" s="1" t="s">
        <v>6</v>
      </c>
      <c r="B425" s="1" t="s">
        <v>59</v>
      </c>
      <c r="C425" s="1" t="s">
        <v>100</v>
      </c>
      <c r="D425" s="2">
        <v>44579</v>
      </c>
      <c r="E425" s="1" t="s">
        <v>438</v>
      </c>
      <c r="F425" s="5">
        <f t="shared" si="25"/>
        <v>6524</v>
      </c>
      <c r="G425" s="1">
        <v>257</v>
      </c>
      <c r="H425" s="1" t="str">
        <f t="shared" si="26"/>
        <v>High</v>
      </c>
      <c r="I425" s="1" t="str">
        <f t="shared" si="27"/>
        <v>Other</v>
      </c>
      <c r="J425" s="1">
        <f t="shared" si="28"/>
        <v>551154.33000000019</v>
      </c>
    </row>
    <row r="426" spans="1:10" ht="12.75">
      <c r="A426" s="1" t="s">
        <v>26</v>
      </c>
      <c r="B426" s="1" t="s">
        <v>62</v>
      </c>
      <c r="C426" s="1" t="s">
        <v>60</v>
      </c>
      <c r="D426" s="2">
        <v>44601</v>
      </c>
      <c r="E426" s="1" t="s">
        <v>439</v>
      </c>
      <c r="F426" s="5">
        <f t="shared" si="25"/>
        <v>8148</v>
      </c>
      <c r="G426" s="1">
        <v>85</v>
      </c>
      <c r="H426" s="1" t="str">
        <f t="shared" si="26"/>
        <v>High</v>
      </c>
      <c r="I426" s="1" t="str">
        <f t="shared" si="27"/>
        <v>Other</v>
      </c>
      <c r="J426" s="1">
        <f t="shared" si="28"/>
        <v>551154.33000000019</v>
      </c>
    </row>
    <row r="427" spans="1:10" ht="12.75">
      <c r="A427" s="1" t="s">
        <v>2</v>
      </c>
      <c r="B427" s="1" t="s">
        <v>62</v>
      </c>
      <c r="C427" s="1" t="s">
        <v>60</v>
      </c>
      <c r="D427" s="2">
        <v>44643</v>
      </c>
      <c r="E427" s="1" t="s">
        <v>416</v>
      </c>
      <c r="F427" s="5">
        <f t="shared" si="25"/>
        <v>3577</v>
      </c>
      <c r="G427" s="1">
        <v>178</v>
      </c>
      <c r="H427" s="1" t="str">
        <f t="shared" si="26"/>
        <v>High</v>
      </c>
      <c r="I427" s="1" t="str">
        <f t="shared" si="27"/>
        <v>Other</v>
      </c>
      <c r="J427" s="1">
        <f t="shared" si="28"/>
        <v>551154.33000000019</v>
      </c>
    </row>
    <row r="428" spans="1:10" ht="12.75">
      <c r="A428" s="1" t="s">
        <v>9</v>
      </c>
      <c r="B428" s="1" t="s">
        <v>54</v>
      </c>
      <c r="C428" s="1" t="s">
        <v>126</v>
      </c>
      <c r="D428" s="2">
        <v>44593</v>
      </c>
      <c r="E428" s="1" t="s">
        <v>355</v>
      </c>
      <c r="F428" s="5">
        <f t="shared" si="25"/>
        <v>3374</v>
      </c>
      <c r="G428" s="1">
        <v>151</v>
      </c>
      <c r="H428" s="1" t="str">
        <f t="shared" si="26"/>
        <v>High</v>
      </c>
      <c r="I428" s="1" t="str">
        <f t="shared" si="27"/>
        <v>Other</v>
      </c>
      <c r="J428" s="1">
        <f t="shared" si="28"/>
        <v>547577.33000000019</v>
      </c>
    </row>
    <row r="429" spans="1:10" ht="12.75">
      <c r="A429" s="1" t="s">
        <v>2</v>
      </c>
      <c r="B429" s="1" t="s">
        <v>42</v>
      </c>
      <c r="C429" s="1" t="s">
        <v>65</v>
      </c>
      <c r="D429" s="2">
        <v>44627</v>
      </c>
      <c r="E429" s="1" t="s">
        <v>440</v>
      </c>
      <c r="F429" s="5">
        <f t="shared" si="25"/>
        <v>3948</v>
      </c>
      <c r="G429" s="1">
        <v>142</v>
      </c>
      <c r="H429" s="1" t="str">
        <f t="shared" si="26"/>
        <v>High</v>
      </c>
      <c r="I429" s="1" t="str">
        <f t="shared" si="27"/>
        <v>Other</v>
      </c>
      <c r="J429" s="1">
        <f t="shared" si="28"/>
        <v>547577.33000000019</v>
      </c>
    </row>
    <row r="430" spans="1:10" ht="12.75">
      <c r="A430" s="1" t="s">
        <v>17</v>
      </c>
      <c r="B430" s="1" t="s">
        <v>39</v>
      </c>
      <c r="C430" s="1" t="s">
        <v>84</v>
      </c>
      <c r="D430" s="2">
        <v>44564</v>
      </c>
      <c r="E430" s="1" t="s">
        <v>239</v>
      </c>
      <c r="F430" s="5">
        <f t="shared" si="25"/>
        <v>3269</v>
      </c>
      <c r="G430" s="1">
        <v>226</v>
      </c>
      <c r="H430" s="1" t="str">
        <f t="shared" si="26"/>
        <v>High</v>
      </c>
      <c r="I430" s="1" t="str">
        <f t="shared" si="27"/>
        <v>Other</v>
      </c>
      <c r="J430" s="1">
        <f t="shared" si="28"/>
        <v>543629.33000000019</v>
      </c>
    </row>
    <row r="431" spans="1:10" ht="12.75">
      <c r="A431" s="1" t="s">
        <v>17</v>
      </c>
      <c r="B431" s="1" t="s">
        <v>59</v>
      </c>
      <c r="C431" s="1" t="s">
        <v>84</v>
      </c>
      <c r="D431" s="2">
        <v>44603</v>
      </c>
      <c r="E431" s="1" t="s">
        <v>441</v>
      </c>
      <c r="F431" s="5">
        <f t="shared" si="25"/>
        <v>5271</v>
      </c>
      <c r="G431" s="1">
        <v>341</v>
      </c>
      <c r="H431" s="1" t="str">
        <f t="shared" si="26"/>
        <v>High</v>
      </c>
      <c r="I431" s="1" t="str">
        <f t="shared" si="27"/>
        <v>Other</v>
      </c>
      <c r="J431" s="1">
        <f t="shared" si="28"/>
        <v>543629.33000000019</v>
      </c>
    </row>
    <row r="432" spans="1:10" ht="12.75">
      <c r="A432" s="1" t="s">
        <v>6</v>
      </c>
      <c r="B432" s="1" t="s">
        <v>54</v>
      </c>
      <c r="C432" s="1" t="s">
        <v>60</v>
      </c>
      <c r="D432" s="2">
        <v>44636</v>
      </c>
      <c r="E432" s="1" t="s">
        <v>273</v>
      </c>
      <c r="F432" s="5">
        <f t="shared" si="25"/>
        <v>4571</v>
      </c>
      <c r="G432" s="1">
        <v>140</v>
      </c>
      <c r="H432" s="1" t="str">
        <f t="shared" si="26"/>
        <v>High</v>
      </c>
      <c r="I432" s="1" t="str">
        <f t="shared" si="27"/>
        <v>Other</v>
      </c>
      <c r="J432" s="1">
        <f t="shared" si="28"/>
        <v>543629.33000000019</v>
      </c>
    </row>
    <row r="433" spans="1:10" ht="12.75">
      <c r="A433" s="1" t="s">
        <v>21</v>
      </c>
      <c r="B433" s="1" t="s">
        <v>42</v>
      </c>
      <c r="C433" s="1" t="s">
        <v>84</v>
      </c>
      <c r="D433" s="2">
        <v>44788</v>
      </c>
      <c r="E433" s="1" t="s">
        <v>442</v>
      </c>
      <c r="F433" s="5">
        <f t="shared" si="25"/>
        <v>12327</v>
      </c>
      <c r="G433" s="1">
        <v>330</v>
      </c>
      <c r="H433" s="1" t="str">
        <f t="shared" si="26"/>
        <v>High</v>
      </c>
      <c r="I433" s="1" t="str">
        <f t="shared" si="27"/>
        <v>Other</v>
      </c>
      <c r="J433" s="1">
        <f t="shared" si="28"/>
        <v>543629.33000000019</v>
      </c>
    </row>
    <row r="434" spans="1:10" ht="12.75">
      <c r="A434" s="1" t="s">
        <v>20</v>
      </c>
      <c r="B434" s="1" t="s">
        <v>42</v>
      </c>
      <c r="C434" s="1" t="s">
        <v>86</v>
      </c>
      <c r="D434" s="2">
        <v>44693</v>
      </c>
      <c r="E434" s="1" t="s">
        <v>435</v>
      </c>
      <c r="F434" s="5">
        <f t="shared" si="25"/>
        <v>4935</v>
      </c>
      <c r="G434" s="1">
        <v>73</v>
      </c>
      <c r="H434" s="1" t="str">
        <f t="shared" si="26"/>
        <v>High</v>
      </c>
      <c r="I434" s="1" t="str">
        <f t="shared" si="27"/>
        <v>Other</v>
      </c>
      <c r="J434" s="1">
        <f t="shared" si="28"/>
        <v>543629.33000000019</v>
      </c>
    </row>
    <row r="435" spans="1:10" ht="12.75">
      <c r="A435" s="1" t="s">
        <v>10</v>
      </c>
      <c r="B435" s="1" t="s">
        <v>42</v>
      </c>
      <c r="C435" s="1" t="s">
        <v>76</v>
      </c>
      <c r="D435" s="2">
        <v>44662</v>
      </c>
      <c r="E435" s="1" t="s">
        <v>443</v>
      </c>
      <c r="F435" s="5">
        <f t="shared" si="25"/>
        <v>6167</v>
      </c>
      <c r="G435" s="1">
        <v>4</v>
      </c>
      <c r="H435" s="1" t="str">
        <f t="shared" si="26"/>
        <v>High</v>
      </c>
      <c r="I435" s="1" t="str">
        <f t="shared" si="27"/>
        <v>Other</v>
      </c>
      <c r="J435" s="1">
        <f t="shared" si="28"/>
        <v>543629.33000000019</v>
      </c>
    </row>
    <row r="436" spans="1:10" ht="12.75">
      <c r="A436" s="1" t="s">
        <v>15</v>
      </c>
      <c r="B436" s="1" t="s">
        <v>54</v>
      </c>
      <c r="C436" s="1" t="s">
        <v>40</v>
      </c>
      <c r="D436" s="2">
        <v>44742</v>
      </c>
      <c r="E436" s="1" t="s">
        <v>444</v>
      </c>
      <c r="F436" s="5">
        <f t="shared" si="25"/>
        <v>18340</v>
      </c>
      <c r="G436" s="1">
        <v>285</v>
      </c>
      <c r="H436" s="1" t="str">
        <f t="shared" si="26"/>
        <v>High</v>
      </c>
      <c r="I436" s="1" t="str">
        <f t="shared" si="27"/>
        <v>Other</v>
      </c>
      <c r="J436" s="1">
        <f t="shared" si="28"/>
        <v>543629.33000000019</v>
      </c>
    </row>
    <row r="437" spans="1:10" ht="12.75">
      <c r="A437" s="1" t="s">
        <v>21</v>
      </c>
      <c r="B437" s="1" t="s">
        <v>54</v>
      </c>
      <c r="C437" s="1" t="s">
        <v>84</v>
      </c>
      <c r="D437" s="2">
        <v>44727</v>
      </c>
      <c r="E437" s="1" t="s">
        <v>445</v>
      </c>
      <c r="F437" s="5">
        <f t="shared" si="25"/>
        <v>7014</v>
      </c>
      <c r="G437" s="1">
        <v>60</v>
      </c>
      <c r="H437" s="1" t="str">
        <f t="shared" si="26"/>
        <v>High</v>
      </c>
      <c r="I437" s="1" t="str">
        <f t="shared" si="27"/>
        <v>Other</v>
      </c>
      <c r="J437" s="1">
        <f t="shared" si="28"/>
        <v>543629.33000000019</v>
      </c>
    </row>
    <row r="438" spans="1:10" ht="12.75">
      <c r="A438" s="1" t="s">
        <v>19</v>
      </c>
      <c r="B438" s="1" t="s">
        <v>62</v>
      </c>
      <c r="C438" s="1" t="s">
        <v>126</v>
      </c>
      <c r="D438" s="2">
        <v>44774</v>
      </c>
      <c r="E438" s="1" t="s">
        <v>446</v>
      </c>
      <c r="F438" s="5">
        <f t="shared" si="25"/>
        <v>7119</v>
      </c>
      <c r="G438" s="1">
        <v>101</v>
      </c>
      <c r="H438" s="1" t="str">
        <f t="shared" si="26"/>
        <v>High</v>
      </c>
      <c r="I438" s="1" t="str">
        <f t="shared" si="27"/>
        <v>Other</v>
      </c>
      <c r="J438" s="1">
        <f t="shared" si="28"/>
        <v>543629.33000000019</v>
      </c>
    </row>
    <row r="439" spans="1:10" ht="12.75">
      <c r="A439" s="1" t="s">
        <v>8</v>
      </c>
      <c r="B439" s="1" t="s">
        <v>59</v>
      </c>
      <c r="C439" s="1" t="s">
        <v>72</v>
      </c>
      <c r="D439" s="2">
        <v>44727</v>
      </c>
      <c r="E439" s="1" t="s">
        <v>447</v>
      </c>
      <c r="F439" s="5">
        <f t="shared" si="25"/>
        <v>15491</v>
      </c>
      <c r="G439" s="1">
        <v>58</v>
      </c>
      <c r="H439" s="1" t="str">
        <f t="shared" si="26"/>
        <v>High</v>
      </c>
      <c r="I439" s="1" t="str">
        <f t="shared" si="27"/>
        <v>Other</v>
      </c>
      <c r="J439" s="1">
        <f t="shared" si="28"/>
        <v>543629.33000000019</v>
      </c>
    </row>
    <row r="440" spans="1:10" ht="12.75">
      <c r="A440" s="1" t="s">
        <v>7</v>
      </c>
      <c r="B440" s="1" t="s">
        <v>42</v>
      </c>
      <c r="C440" s="1" t="s">
        <v>52</v>
      </c>
      <c r="D440" s="2">
        <v>44728</v>
      </c>
      <c r="E440" s="1" t="s">
        <v>448</v>
      </c>
      <c r="F440" s="5">
        <f t="shared" si="25"/>
        <v>5747</v>
      </c>
      <c r="G440" s="1">
        <v>45</v>
      </c>
      <c r="H440" s="1" t="str">
        <f t="shared" si="26"/>
        <v>High</v>
      </c>
      <c r="I440" s="1" t="str">
        <f t="shared" si="27"/>
        <v>Other</v>
      </c>
      <c r="J440" s="1">
        <f t="shared" si="28"/>
        <v>543629.33000000019</v>
      </c>
    </row>
    <row r="441" spans="1:10" ht="12.75">
      <c r="A441" s="1" t="s">
        <v>22</v>
      </c>
      <c r="B441" s="1" t="s">
        <v>54</v>
      </c>
      <c r="C441" s="1" t="s">
        <v>100</v>
      </c>
      <c r="D441" s="2">
        <v>44694</v>
      </c>
      <c r="E441" s="1" t="s">
        <v>449</v>
      </c>
      <c r="F441" s="5">
        <f t="shared" si="25"/>
        <v>4550</v>
      </c>
      <c r="G441" s="1">
        <v>281</v>
      </c>
      <c r="H441" s="1" t="str">
        <f t="shared" si="26"/>
        <v>High</v>
      </c>
      <c r="I441" s="1" t="str">
        <f t="shared" si="27"/>
        <v>Other</v>
      </c>
      <c r="J441" s="1">
        <f t="shared" si="28"/>
        <v>543629.33000000019</v>
      </c>
    </row>
    <row r="442" spans="1:10" ht="12.75">
      <c r="A442" s="1" t="s">
        <v>6</v>
      </c>
      <c r="B442" s="1" t="s">
        <v>59</v>
      </c>
      <c r="C442" s="1" t="s">
        <v>65</v>
      </c>
      <c r="D442" s="2">
        <v>44691</v>
      </c>
      <c r="E442" s="1" t="s">
        <v>450</v>
      </c>
      <c r="F442" s="5">
        <f t="shared" si="25"/>
        <v>2191</v>
      </c>
      <c r="G442" s="1">
        <v>138</v>
      </c>
      <c r="H442" s="1" t="str">
        <f t="shared" si="26"/>
        <v>High</v>
      </c>
      <c r="I442" s="1" t="str">
        <f t="shared" si="27"/>
        <v>Other</v>
      </c>
      <c r="J442" s="1">
        <f t="shared" si="28"/>
        <v>543629.33000000019</v>
      </c>
    </row>
    <row r="443" spans="1:10" ht="12.75">
      <c r="A443" s="1" t="s">
        <v>22</v>
      </c>
      <c r="B443" s="1" t="s">
        <v>42</v>
      </c>
      <c r="C443" s="1" t="s">
        <v>63</v>
      </c>
      <c r="D443" s="2">
        <v>44798</v>
      </c>
      <c r="E443" s="1" t="s">
        <v>201</v>
      </c>
      <c r="F443" s="5">
        <f t="shared" si="25"/>
        <v>5663</v>
      </c>
      <c r="G443" s="1">
        <v>322</v>
      </c>
      <c r="H443" s="1" t="str">
        <f t="shared" si="26"/>
        <v>High</v>
      </c>
      <c r="I443" s="1" t="str">
        <f t="shared" si="27"/>
        <v>Other</v>
      </c>
      <c r="J443" s="1">
        <f t="shared" si="28"/>
        <v>543629.33000000019</v>
      </c>
    </row>
    <row r="444" spans="1:10" ht="12.75">
      <c r="A444" s="1" t="s">
        <v>17</v>
      </c>
      <c r="B444" s="1" t="s">
        <v>54</v>
      </c>
      <c r="C444" s="1" t="s">
        <v>68</v>
      </c>
      <c r="D444" s="2">
        <v>44757</v>
      </c>
      <c r="E444" s="1" t="s">
        <v>451</v>
      </c>
      <c r="F444" s="5">
        <f t="shared" si="25"/>
        <v>7623</v>
      </c>
      <c r="G444" s="1">
        <v>85</v>
      </c>
      <c r="H444" s="1" t="str">
        <f t="shared" si="26"/>
        <v>High</v>
      </c>
      <c r="I444" s="1" t="str">
        <f t="shared" si="27"/>
        <v>Other</v>
      </c>
      <c r="J444" s="1">
        <f t="shared" si="28"/>
        <v>543629.33000000019</v>
      </c>
    </row>
    <row r="445" spans="1:10" ht="12.75">
      <c r="A445" s="1" t="s">
        <v>20</v>
      </c>
      <c r="B445" s="1" t="s">
        <v>39</v>
      </c>
      <c r="C445" s="1" t="s">
        <v>122</v>
      </c>
      <c r="D445" s="2">
        <v>44697</v>
      </c>
      <c r="E445" s="1" t="s">
        <v>452</v>
      </c>
      <c r="F445" s="5">
        <f t="shared" si="25"/>
        <v>9023</v>
      </c>
      <c r="G445" s="1">
        <v>409</v>
      </c>
      <c r="H445" s="1" t="str">
        <f t="shared" si="26"/>
        <v>High</v>
      </c>
      <c r="I445" s="1" t="str">
        <f t="shared" si="27"/>
        <v>Other</v>
      </c>
      <c r="J445" s="1">
        <f t="shared" si="28"/>
        <v>543629.33000000019</v>
      </c>
    </row>
    <row r="446" spans="1:10" ht="12.75">
      <c r="A446" s="1" t="s">
        <v>15</v>
      </c>
      <c r="B446" s="1" t="s">
        <v>5</v>
      </c>
      <c r="C446" s="1" t="s">
        <v>55</v>
      </c>
      <c r="D446" s="2">
        <v>44726</v>
      </c>
      <c r="E446" s="1" t="s">
        <v>453</v>
      </c>
      <c r="F446" s="5">
        <f t="shared" si="25"/>
        <v>3402</v>
      </c>
      <c r="G446" s="1">
        <v>182</v>
      </c>
      <c r="H446" s="1" t="str">
        <f t="shared" si="26"/>
        <v>High</v>
      </c>
      <c r="I446" s="1" t="str">
        <f t="shared" si="27"/>
        <v>Other</v>
      </c>
      <c r="J446" s="1">
        <f t="shared" si="28"/>
        <v>543629.33000000019</v>
      </c>
    </row>
    <row r="447" spans="1:10" ht="12.75">
      <c r="A447" s="1" t="s">
        <v>28</v>
      </c>
      <c r="B447" s="1" t="s">
        <v>5</v>
      </c>
      <c r="C447" s="1" t="s">
        <v>49</v>
      </c>
      <c r="D447" s="2">
        <v>44586</v>
      </c>
      <c r="E447" s="1" t="s">
        <v>454</v>
      </c>
      <c r="F447" s="5">
        <f t="shared" si="25"/>
        <v>10507</v>
      </c>
      <c r="G447" s="1">
        <v>467</v>
      </c>
      <c r="H447" s="1" t="str">
        <f t="shared" si="26"/>
        <v>High</v>
      </c>
      <c r="I447" s="1" t="str">
        <f t="shared" si="27"/>
        <v>Other</v>
      </c>
      <c r="J447" s="1">
        <f t="shared" si="28"/>
        <v>543629.33000000019</v>
      </c>
    </row>
    <row r="448" spans="1:10" ht="12.75">
      <c r="A448" s="1" t="s">
        <v>17</v>
      </c>
      <c r="B448" s="1" t="s">
        <v>59</v>
      </c>
      <c r="C448" s="1" t="s">
        <v>68</v>
      </c>
      <c r="D448" s="2">
        <v>44770</v>
      </c>
      <c r="E448" s="1" t="s">
        <v>455</v>
      </c>
      <c r="F448" s="5">
        <f t="shared" si="25"/>
        <v>7721</v>
      </c>
      <c r="G448" s="1">
        <v>14</v>
      </c>
      <c r="H448" s="1" t="str">
        <f t="shared" si="26"/>
        <v>High</v>
      </c>
      <c r="I448" s="1" t="str">
        <f t="shared" si="27"/>
        <v>Other</v>
      </c>
      <c r="J448" s="1">
        <f t="shared" si="28"/>
        <v>543629.33000000019</v>
      </c>
    </row>
    <row r="449" spans="1:10" ht="12.75">
      <c r="A449" s="1" t="s">
        <v>7</v>
      </c>
      <c r="B449" s="1" t="s">
        <v>62</v>
      </c>
      <c r="C449" s="1" t="s">
        <v>40</v>
      </c>
      <c r="D449" s="2">
        <v>44589</v>
      </c>
      <c r="E449" s="1" t="s">
        <v>456</v>
      </c>
      <c r="F449" s="5">
        <f t="shared" si="25"/>
        <v>5033</v>
      </c>
      <c r="G449" s="1">
        <v>178</v>
      </c>
      <c r="H449" s="1" t="str">
        <f t="shared" si="26"/>
        <v>High</v>
      </c>
      <c r="I449" s="1" t="str">
        <f t="shared" si="27"/>
        <v>Other</v>
      </c>
      <c r="J449" s="1">
        <f t="shared" si="28"/>
        <v>543629.33000000019</v>
      </c>
    </row>
    <row r="450" spans="1:10" ht="12.75">
      <c r="A450" s="1" t="s">
        <v>8</v>
      </c>
      <c r="B450" s="1" t="s">
        <v>39</v>
      </c>
      <c r="C450" s="1" t="s">
        <v>60</v>
      </c>
      <c r="D450" s="2">
        <v>44741</v>
      </c>
      <c r="E450" s="1" t="s">
        <v>457</v>
      </c>
      <c r="F450" s="5">
        <f t="shared" ref="F450:F513" si="29">VALUE(SUBSTITUTE(E450,"$",""))</f>
        <v>1960</v>
      </c>
      <c r="G450" s="1">
        <v>191</v>
      </c>
      <c r="H450" s="1" t="str">
        <f t="shared" ref="H450:H513" si="30">IF(F450&gt;800,"High",IF(F450&gt;500,"Medium","Low"))</f>
        <v>High</v>
      </c>
      <c r="I450" s="1" t="str">
        <f t="shared" ref="I450:I513" si="31">IF(AND(B450="Australia",A450="Mallorie Waber"),"Top Local","Other")</f>
        <v>Other</v>
      </c>
      <c r="J450" s="1">
        <f t="shared" ref="J450:J513" si="32">SUMIF(A450:A3730,"Mallorie Waber",F450:F3730)</f>
        <v>543629.33000000019</v>
      </c>
    </row>
    <row r="451" spans="1:10" ht="12.75">
      <c r="A451" s="1" t="s">
        <v>18</v>
      </c>
      <c r="B451" s="1" t="s">
        <v>5</v>
      </c>
      <c r="C451" s="1" t="s">
        <v>147</v>
      </c>
      <c r="D451" s="2">
        <v>44736</v>
      </c>
      <c r="E451" s="1" t="s">
        <v>458</v>
      </c>
      <c r="F451" s="5">
        <f t="shared" si="29"/>
        <v>238</v>
      </c>
      <c r="G451" s="1">
        <v>317</v>
      </c>
      <c r="H451" s="1" t="str">
        <f t="shared" si="30"/>
        <v>Low</v>
      </c>
      <c r="I451" s="1" t="str">
        <f t="shared" si="31"/>
        <v>Other</v>
      </c>
      <c r="J451" s="1">
        <f t="shared" si="32"/>
        <v>543629.33000000019</v>
      </c>
    </row>
    <row r="452" spans="1:10" ht="12.75">
      <c r="A452" s="1" t="s">
        <v>23</v>
      </c>
      <c r="B452" s="1" t="s">
        <v>62</v>
      </c>
      <c r="C452" s="1" t="s">
        <v>40</v>
      </c>
      <c r="D452" s="2">
        <v>44743</v>
      </c>
      <c r="E452" s="1" t="s">
        <v>459</v>
      </c>
      <c r="F452" s="5">
        <f t="shared" si="29"/>
        <v>7756</v>
      </c>
      <c r="G452" s="1">
        <v>410</v>
      </c>
      <c r="H452" s="1" t="str">
        <f t="shared" si="30"/>
        <v>High</v>
      </c>
      <c r="I452" s="1" t="str">
        <f t="shared" si="31"/>
        <v>Other</v>
      </c>
      <c r="J452" s="1">
        <f t="shared" si="32"/>
        <v>543629.33000000019</v>
      </c>
    </row>
    <row r="453" spans="1:10" ht="12.75">
      <c r="A453" s="1" t="s">
        <v>26</v>
      </c>
      <c r="B453" s="1" t="s">
        <v>59</v>
      </c>
      <c r="C453" s="1" t="s">
        <v>45</v>
      </c>
      <c r="D453" s="2">
        <v>44617</v>
      </c>
      <c r="E453" s="1" t="s">
        <v>428</v>
      </c>
      <c r="F453" s="5">
        <f t="shared" si="29"/>
        <v>1736</v>
      </c>
      <c r="G453" s="1">
        <v>137</v>
      </c>
      <c r="H453" s="1" t="str">
        <f t="shared" si="30"/>
        <v>High</v>
      </c>
      <c r="I453" s="1" t="str">
        <f t="shared" si="31"/>
        <v>Other</v>
      </c>
      <c r="J453" s="1">
        <f t="shared" si="32"/>
        <v>543629.33000000019</v>
      </c>
    </row>
    <row r="454" spans="1:10" ht="12.75">
      <c r="A454" s="1" t="s">
        <v>24</v>
      </c>
      <c r="B454" s="1" t="s">
        <v>62</v>
      </c>
      <c r="C454" s="1" t="s">
        <v>49</v>
      </c>
      <c r="D454" s="2">
        <v>44774</v>
      </c>
      <c r="E454" s="1" t="s">
        <v>460</v>
      </c>
      <c r="F454" s="5">
        <f t="shared" si="29"/>
        <v>2660</v>
      </c>
      <c r="G454" s="1">
        <v>12</v>
      </c>
      <c r="H454" s="1" t="str">
        <f t="shared" si="30"/>
        <v>High</v>
      </c>
      <c r="I454" s="1" t="str">
        <f t="shared" si="31"/>
        <v>Other</v>
      </c>
      <c r="J454" s="1">
        <f t="shared" si="32"/>
        <v>543629.33000000019</v>
      </c>
    </row>
    <row r="455" spans="1:10" ht="12.75">
      <c r="A455" s="1" t="s">
        <v>22</v>
      </c>
      <c r="B455" s="1" t="s">
        <v>5</v>
      </c>
      <c r="C455" s="1" t="s">
        <v>72</v>
      </c>
      <c r="D455" s="2">
        <v>44733</v>
      </c>
      <c r="E455" s="1" t="s">
        <v>80</v>
      </c>
      <c r="F455" s="5">
        <f t="shared" si="29"/>
        <v>7672</v>
      </c>
      <c r="G455" s="1">
        <v>254</v>
      </c>
      <c r="H455" s="1" t="str">
        <f t="shared" si="30"/>
        <v>High</v>
      </c>
      <c r="I455" s="1" t="str">
        <f t="shared" si="31"/>
        <v>Other</v>
      </c>
      <c r="J455" s="1">
        <f t="shared" si="32"/>
        <v>543629.33000000019</v>
      </c>
    </row>
    <row r="456" spans="1:10" ht="12.75">
      <c r="A456" s="1" t="s">
        <v>25</v>
      </c>
      <c r="B456" s="1" t="s">
        <v>54</v>
      </c>
      <c r="C456" s="1" t="s">
        <v>76</v>
      </c>
      <c r="D456" s="2">
        <v>44586</v>
      </c>
      <c r="E456" s="1" t="s">
        <v>461</v>
      </c>
      <c r="F456" s="5">
        <f t="shared" si="29"/>
        <v>11564</v>
      </c>
      <c r="G456" s="1">
        <v>24</v>
      </c>
      <c r="H456" s="1" t="str">
        <f t="shared" si="30"/>
        <v>High</v>
      </c>
      <c r="I456" s="1" t="str">
        <f t="shared" si="31"/>
        <v>Other</v>
      </c>
      <c r="J456" s="1">
        <f t="shared" si="32"/>
        <v>543629.33000000019</v>
      </c>
    </row>
    <row r="457" spans="1:10" ht="12.75">
      <c r="A457" s="1" t="s">
        <v>20</v>
      </c>
      <c r="B457" s="1" t="s">
        <v>39</v>
      </c>
      <c r="C457" s="1" t="s">
        <v>72</v>
      </c>
      <c r="D457" s="2">
        <v>44698</v>
      </c>
      <c r="E457" s="1" t="s">
        <v>462</v>
      </c>
      <c r="F457" s="5">
        <f t="shared" si="29"/>
        <v>1365</v>
      </c>
      <c r="G457" s="1">
        <v>232</v>
      </c>
      <c r="H457" s="1" t="str">
        <f t="shared" si="30"/>
        <v>High</v>
      </c>
      <c r="I457" s="1" t="str">
        <f t="shared" si="31"/>
        <v>Other</v>
      </c>
      <c r="J457" s="1">
        <f t="shared" si="32"/>
        <v>543629.33000000019</v>
      </c>
    </row>
    <row r="458" spans="1:10" ht="12.75">
      <c r="A458" s="1" t="s">
        <v>27</v>
      </c>
      <c r="B458" s="1" t="s">
        <v>5</v>
      </c>
      <c r="C458" s="1" t="s">
        <v>43</v>
      </c>
      <c r="D458" s="2">
        <v>44796</v>
      </c>
      <c r="E458" s="1" t="s">
        <v>463</v>
      </c>
      <c r="F458" s="5">
        <f t="shared" si="29"/>
        <v>4186</v>
      </c>
      <c r="G458" s="1">
        <v>233</v>
      </c>
      <c r="H458" s="1" t="str">
        <f t="shared" si="30"/>
        <v>High</v>
      </c>
      <c r="I458" s="1" t="str">
        <f t="shared" si="31"/>
        <v>Other</v>
      </c>
      <c r="J458" s="1">
        <f t="shared" si="32"/>
        <v>543629.33000000019</v>
      </c>
    </row>
    <row r="459" spans="1:10" ht="12.75">
      <c r="A459" s="1" t="s">
        <v>25</v>
      </c>
      <c r="B459" s="1" t="s">
        <v>5</v>
      </c>
      <c r="C459" s="1" t="s">
        <v>49</v>
      </c>
      <c r="D459" s="2">
        <v>44623</v>
      </c>
      <c r="E459" s="1" t="s">
        <v>464</v>
      </c>
      <c r="F459" s="5">
        <f t="shared" si="29"/>
        <v>7406</v>
      </c>
      <c r="G459" s="1">
        <v>118</v>
      </c>
      <c r="H459" s="1" t="str">
        <f t="shared" si="30"/>
        <v>High</v>
      </c>
      <c r="I459" s="1" t="str">
        <f t="shared" si="31"/>
        <v>Other</v>
      </c>
      <c r="J459" s="1">
        <f t="shared" si="32"/>
        <v>543629.33000000019</v>
      </c>
    </row>
    <row r="460" spans="1:10" ht="12.75">
      <c r="A460" s="1" t="s">
        <v>26</v>
      </c>
      <c r="B460" s="1" t="s">
        <v>42</v>
      </c>
      <c r="C460" s="1" t="s">
        <v>126</v>
      </c>
      <c r="D460" s="2">
        <v>44711</v>
      </c>
      <c r="E460" s="1" t="s">
        <v>219</v>
      </c>
      <c r="F460" s="5">
        <f t="shared" si="29"/>
        <v>8911</v>
      </c>
      <c r="G460" s="1">
        <v>543</v>
      </c>
      <c r="H460" s="1" t="str">
        <f t="shared" si="30"/>
        <v>High</v>
      </c>
      <c r="I460" s="1" t="str">
        <f t="shared" si="31"/>
        <v>Other</v>
      </c>
      <c r="J460" s="1">
        <f t="shared" si="32"/>
        <v>543629.33000000019</v>
      </c>
    </row>
    <row r="461" spans="1:10" ht="12.75">
      <c r="A461" s="1" t="s">
        <v>18</v>
      </c>
      <c r="B461" s="1" t="s">
        <v>59</v>
      </c>
      <c r="C461" s="1" t="s">
        <v>65</v>
      </c>
      <c r="D461" s="2">
        <v>44741</v>
      </c>
      <c r="E461" s="1" t="s">
        <v>465</v>
      </c>
      <c r="F461" s="5">
        <f t="shared" si="29"/>
        <v>112</v>
      </c>
      <c r="G461" s="1">
        <v>223</v>
      </c>
      <c r="H461" s="1" t="str">
        <f t="shared" si="30"/>
        <v>Low</v>
      </c>
      <c r="I461" s="1" t="str">
        <f t="shared" si="31"/>
        <v>Other</v>
      </c>
      <c r="J461" s="1">
        <f t="shared" si="32"/>
        <v>543629.33000000019</v>
      </c>
    </row>
    <row r="462" spans="1:10" ht="12.75">
      <c r="A462" s="1" t="s">
        <v>27</v>
      </c>
      <c r="B462" s="1" t="s">
        <v>62</v>
      </c>
      <c r="C462" s="1" t="s">
        <v>68</v>
      </c>
      <c r="D462" s="2">
        <v>44565</v>
      </c>
      <c r="E462" s="1" t="s">
        <v>466</v>
      </c>
      <c r="F462" s="5">
        <f t="shared" si="29"/>
        <v>8204</v>
      </c>
      <c r="G462" s="1">
        <v>204</v>
      </c>
      <c r="H462" s="1" t="str">
        <f t="shared" si="30"/>
        <v>High</v>
      </c>
      <c r="I462" s="1" t="str">
        <f t="shared" si="31"/>
        <v>Other</v>
      </c>
      <c r="J462" s="1">
        <f t="shared" si="32"/>
        <v>543629.33000000019</v>
      </c>
    </row>
    <row r="463" spans="1:10" ht="12.75">
      <c r="A463" s="1" t="s">
        <v>11</v>
      </c>
      <c r="B463" s="1" t="s">
        <v>5</v>
      </c>
      <c r="C463" s="1" t="s">
        <v>65</v>
      </c>
      <c r="D463" s="2">
        <v>44575</v>
      </c>
      <c r="E463" s="1" t="s">
        <v>467</v>
      </c>
      <c r="F463" s="5">
        <f t="shared" si="29"/>
        <v>2611</v>
      </c>
      <c r="G463" s="1">
        <v>65</v>
      </c>
      <c r="H463" s="1" t="str">
        <f t="shared" si="30"/>
        <v>High</v>
      </c>
      <c r="I463" s="1" t="str">
        <f t="shared" si="31"/>
        <v>Other</v>
      </c>
      <c r="J463" s="1">
        <f t="shared" si="32"/>
        <v>543629.33000000019</v>
      </c>
    </row>
    <row r="464" spans="1:10" ht="12.75">
      <c r="A464" s="1" t="s">
        <v>18</v>
      </c>
      <c r="B464" s="1" t="s">
        <v>59</v>
      </c>
      <c r="C464" s="1" t="s">
        <v>40</v>
      </c>
      <c r="D464" s="2">
        <v>44607</v>
      </c>
      <c r="E464" s="1" t="s">
        <v>468</v>
      </c>
      <c r="F464" s="5">
        <f t="shared" si="29"/>
        <v>15652</v>
      </c>
      <c r="G464" s="1">
        <v>53</v>
      </c>
      <c r="H464" s="1" t="str">
        <f t="shared" si="30"/>
        <v>High</v>
      </c>
      <c r="I464" s="1" t="str">
        <f t="shared" si="31"/>
        <v>Other</v>
      </c>
      <c r="J464" s="1">
        <f t="shared" si="32"/>
        <v>543629.33000000019</v>
      </c>
    </row>
    <row r="465" spans="1:10" ht="12.75">
      <c r="A465" s="1" t="s">
        <v>24</v>
      </c>
      <c r="B465" s="1" t="s">
        <v>54</v>
      </c>
      <c r="C465" s="1" t="s">
        <v>76</v>
      </c>
      <c r="D465" s="2">
        <v>44571</v>
      </c>
      <c r="E465" s="1" t="s">
        <v>469</v>
      </c>
      <c r="F465" s="5">
        <f t="shared" si="29"/>
        <v>4074</v>
      </c>
      <c r="G465" s="1">
        <v>469</v>
      </c>
      <c r="H465" s="1" t="str">
        <f t="shared" si="30"/>
        <v>High</v>
      </c>
      <c r="I465" s="1" t="str">
        <f t="shared" si="31"/>
        <v>Other</v>
      </c>
      <c r="J465" s="1">
        <f t="shared" si="32"/>
        <v>543629.33000000019</v>
      </c>
    </row>
    <row r="466" spans="1:10" ht="12.75">
      <c r="A466" s="1" t="s">
        <v>9</v>
      </c>
      <c r="B466" s="1" t="s">
        <v>59</v>
      </c>
      <c r="C466" s="1" t="s">
        <v>84</v>
      </c>
      <c r="D466" s="2">
        <v>44685</v>
      </c>
      <c r="E466" s="1" t="s">
        <v>470</v>
      </c>
      <c r="F466" s="5">
        <f t="shared" si="29"/>
        <v>12250</v>
      </c>
      <c r="G466" s="1">
        <v>213</v>
      </c>
      <c r="H466" s="1" t="str">
        <f t="shared" si="30"/>
        <v>High</v>
      </c>
      <c r="I466" s="1" t="str">
        <f t="shared" si="31"/>
        <v>Other</v>
      </c>
      <c r="J466" s="1">
        <f t="shared" si="32"/>
        <v>543629.33000000019</v>
      </c>
    </row>
    <row r="467" spans="1:10" ht="12.75">
      <c r="A467" s="1" t="s">
        <v>27</v>
      </c>
      <c r="B467" s="1" t="s">
        <v>59</v>
      </c>
      <c r="C467" s="1" t="s">
        <v>76</v>
      </c>
      <c r="D467" s="2">
        <v>44704</v>
      </c>
      <c r="E467" s="1" t="s">
        <v>471</v>
      </c>
      <c r="F467" s="5">
        <f t="shared" si="29"/>
        <v>2366</v>
      </c>
      <c r="G467" s="1">
        <v>5</v>
      </c>
      <c r="H467" s="1" t="str">
        <f t="shared" si="30"/>
        <v>High</v>
      </c>
      <c r="I467" s="1" t="str">
        <f t="shared" si="31"/>
        <v>Other</v>
      </c>
      <c r="J467" s="1">
        <f t="shared" si="32"/>
        <v>543629.33000000019</v>
      </c>
    </row>
    <row r="468" spans="1:10" ht="12.75">
      <c r="A468" s="1" t="s">
        <v>16</v>
      </c>
      <c r="B468" s="1" t="s">
        <v>54</v>
      </c>
      <c r="C468" s="1" t="s">
        <v>81</v>
      </c>
      <c r="D468" s="2">
        <v>44677</v>
      </c>
      <c r="E468" s="1" t="s">
        <v>230</v>
      </c>
      <c r="F468" s="5">
        <f t="shared" si="29"/>
        <v>1687</v>
      </c>
      <c r="G468" s="1">
        <v>147</v>
      </c>
      <c r="H468" s="1" t="str">
        <f t="shared" si="30"/>
        <v>High</v>
      </c>
      <c r="I468" s="1" t="str">
        <f t="shared" si="31"/>
        <v>Other</v>
      </c>
      <c r="J468" s="1">
        <f t="shared" si="32"/>
        <v>543629.33000000019</v>
      </c>
    </row>
    <row r="469" spans="1:10" ht="12.75">
      <c r="A469" s="1" t="s">
        <v>22</v>
      </c>
      <c r="B469" s="1" t="s">
        <v>62</v>
      </c>
      <c r="C469" s="1" t="s">
        <v>68</v>
      </c>
      <c r="D469" s="2">
        <v>44747</v>
      </c>
      <c r="E469" s="1" t="s">
        <v>349</v>
      </c>
      <c r="F469" s="5">
        <f t="shared" si="29"/>
        <v>1232</v>
      </c>
      <c r="G469" s="1">
        <v>74</v>
      </c>
      <c r="H469" s="1" t="str">
        <f t="shared" si="30"/>
        <v>High</v>
      </c>
      <c r="I469" s="1" t="str">
        <f t="shared" si="31"/>
        <v>Other</v>
      </c>
      <c r="J469" s="1">
        <f t="shared" si="32"/>
        <v>543629.33000000019</v>
      </c>
    </row>
    <row r="470" spans="1:10" ht="12.75">
      <c r="A470" s="1" t="s">
        <v>9</v>
      </c>
      <c r="B470" s="1" t="s">
        <v>39</v>
      </c>
      <c r="C470" s="1" t="s">
        <v>68</v>
      </c>
      <c r="D470" s="2">
        <v>44763</v>
      </c>
      <c r="E470" s="1" t="s">
        <v>472</v>
      </c>
      <c r="F470" s="5">
        <f t="shared" si="29"/>
        <v>6965</v>
      </c>
      <c r="G470" s="1">
        <v>163</v>
      </c>
      <c r="H470" s="1" t="str">
        <f t="shared" si="30"/>
        <v>High</v>
      </c>
      <c r="I470" s="1" t="str">
        <f t="shared" si="31"/>
        <v>Other</v>
      </c>
      <c r="J470" s="1">
        <f t="shared" si="32"/>
        <v>543629.33000000019</v>
      </c>
    </row>
    <row r="471" spans="1:10" ht="12.75">
      <c r="A471" s="1" t="s">
        <v>21</v>
      </c>
      <c r="B471" s="1" t="s">
        <v>59</v>
      </c>
      <c r="C471" s="1" t="s">
        <v>40</v>
      </c>
      <c r="D471" s="2">
        <v>44613</v>
      </c>
      <c r="E471" s="1" t="s">
        <v>473</v>
      </c>
      <c r="F471" s="5">
        <f t="shared" si="29"/>
        <v>5292</v>
      </c>
      <c r="G471" s="1">
        <v>248</v>
      </c>
      <c r="H471" s="1" t="str">
        <f t="shared" si="30"/>
        <v>High</v>
      </c>
      <c r="I471" s="1" t="str">
        <f t="shared" si="31"/>
        <v>Other</v>
      </c>
      <c r="J471" s="1">
        <f t="shared" si="32"/>
        <v>543629.33000000019</v>
      </c>
    </row>
    <row r="472" spans="1:10" ht="12.75">
      <c r="A472" s="1" t="s">
        <v>12</v>
      </c>
      <c r="B472" s="1" t="s">
        <v>59</v>
      </c>
      <c r="C472" s="1" t="s">
        <v>60</v>
      </c>
      <c r="D472" s="2">
        <v>44595</v>
      </c>
      <c r="E472" s="1" t="s">
        <v>345</v>
      </c>
      <c r="F472" s="5">
        <f t="shared" si="29"/>
        <v>1379</v>
      </c>
      <c r="G472" s="1">
        <v>138</v>
      </c>
      <c r="H472" s="1" t="str">
        <f t="shared" si="30"/>
        <v>High</v>
      </c>
      <c r="I472" s="1" t="str">
        <f t="shared" si="31"/>
        <v>Other</v>
      </c>
      <c r="J472" s="1">
        <f t="shared" si="32"/>
        <v>543629.33000000019</v>
      </c>
    </row>
    <row r="473" spans="1:10" ht="12.75">
      <c r="A473" s="1" t="s">
        <v>20</v>
      </c>
      <c r="B473" s="1" t="s">
        <v>5</v>
      </c>
      <c r="C473" s="1" t="s">
        <v>126</v>
      </c>
      <c r="D473" s="2">
        <v>44750</v>
      </c>
      <c r="E473" s="1" t="s">
        <v>145</v>
      </c>
      <c r="F473" s="5">
        <f t="shared" si="29"/>
        <v>8001</v>
      </c>
      <c r="G473" s="1">
        <v>151</v>
      </c>
      <c r="H473" s="1" t="str">
        <f t="shared" si="30"/>
        <v>High</v>
      </c>
      <c r="I473" s="1" t="str">
        <f t="shared" si="31"/>
        <v>Other</v>
      </c>
      <c r="J473" s="1">
        <f t="shared" si="32"/>
        <v>543629.33000000019</v>
      </c>
    </row>
    <row r="474" spans="1:10" ht="12.75">
      <c r="A474" s="1" t="s">
        <v>2</v>
      </c>
      <c r="B474" s="1" t="s">
        <v>42</v>
      </c>
      <c r="C474" s="1" t="s">
        <v>55</v>
      </c>
      <c r="D474" s="2">
        <v>44712</v>
      </c>
      <c r="E474" s="1" t="s">
        <v>474</v>
      </c>
      <c r="F474" s="5">
        <f t="shared" si="29"/>
        <v>588</v>
      </c>
      <c r="G474" s="1">
        <v>139</v>
      </c>
      <c r="H474" s="1" t="str">
        <f t="shared" si="30"/>
        <v>Medium</v>
      </c>
      <c r="I474" s="1" t="str">
        <f t="shared" si="31"/>
        <v>Other</v>
      </c>
      <c r="J474" s="1">
        <f t="shared" si="32"/>
        <v>543629.33000000019</v>
      </c>
    </row>
    <row r="475" spans="1:10" ht="12.75">
      <c r="A475" s="1" t="s">
        <v>10</v>
      </c>
      <c r="B475" s="1" t="s">
        <v>54</v>
      </c>
      <c r="C475" s="1" t="s">
        <v>40</v>
      </c>
      <c r="D475" s="2">
        <v>44739</v>
      </c>
      <c r="E475" s="1" t="s">
        <v>475</v>
      </c>
      <c r="F475" s="5">
        <f t="shared" si="29"/>
        <v>4046</v>
      </c>
      <c r="G475" s="1">
        <v>103</v>
      </c>
      <c r="H475" s="1" t="str">
        <f t="shared" si="30"/>
        <v>High</v>
      </c>
      <c r="I475" s="1" t="str">
        <f t="shared" si="31"/>
        <v>Other</v>
      </c>
      <c r="J475" s="1">
        <f t="shared" si="32"/>
        <v>543041.33000000019</v>
      </c>
    </row>
    <row r="476" spans="1:10" ht="12.75">
      <c r="A476" s="1" t="s">
        <v>10</v>
      </c>
      <c r="B476" s="1" t="s">
        <v>42</v>
      </c>
      <c r="C476" s="1" t="s">
        <v>55</v>
      </c>
      <c r="D476" s="2">
        <v>44694</v>
      </c>
      <c r="E476" s="1" t="s">
        <v>199</v>
      </c>
      <c r="F476" s="5">
        <f t="shared" si="29"/>
        <v>5103</v>
      </c>
      <c r="G476" s="1">
        <v>129</v>
      </c>
      <c r="H476" s="1" t="str">
        <f t="shared" si="30"/>
        <v>High</v>
      </c>
      <c r="I476" s="1" t="str">
        <f t="shared" si="31"/>
        <v>Other</v>
      </c>
      <c r="J476" s="1">
        <f t="shared" si="32"/>
        <v>543041.33000000019</v>
      </c>
    </row>
    <row r="477" spans="1:10" ht="12.75">
      <c r="A477" s="1" t="s">
        <v>10</v>
      </c>
      <c r="B477" s="1" t="s">
        <v>59</v>
      </c>
      <c r="C477" s="1" t="s">
        <v>86</v>
      </c>
      <c r="D477" s="2">
        <v>44712</v>
      </c>
      <c r="E477" s="1" t="s">
        <v>377</v>
      </c>
      <c r="F477" s="5">
        <f t="shared" si="29"/>
        <v>2317</v>
      </c>
      <c r="G477" s="1">
        <v>102</v>
      </c>
      <c r="H477" s="1" t="str">
        <f t="shared" si="30"/>
        <v>High</v>
      </c>
      <c r="I477" s="1" t="str">
        <f t="shared" si="31"/>
        <v>Other</v>
      </c>
      <c r="J477" s="1">
        <f t="shared" si="32"/>
        <v>543041.33000000019</v>
      </c>
    </row>
    <row r="478" spans="1:10" ht="12.75">
      <c r="A478" s="1" t="s">
        <v>29</v>
      </c>
      <c r="B478" s="1" t="s">
        <v>59</v>
      </c>
      <c r="C478" s="1" t="s">
        <v>60</v>
      </c>
      <c r="D478" s="2">
        <v>44620</v>
      </c>
      <c r="E478" s="1" t="s">
        <v>476</v>
      </c>
      <c r="F478" s="5">
        <f t="shared" si="29"/>
        <v>7042</v>
      </c>
      <c r="G478" s="1">
        <v>37</v>
      </c>
      <c r="H478" s="1" t="str">
        <f t="shared" si="30"/>
        <v>High</v>
      </c>
      <c r="I478" s="1" t="str">
        <f t="shared" si="31"/>
        <v>Other</v>
      </c>
      <c r="J478" s="1">
        <f t="shared" si="32"/>
        <v>543041.33000000019</v>
      </c>
    </row>
    <row r="479" spans="1:10" ht="12.75">
      <c r="A479" s="1" t="s">
        <v>16</v>
      </c>
      <c r="B479" s="1" t="s">
        <v>54</v>
      </c>
      <c r="C479" s="1" t="s">
        <v>63</v>
      </c>
      <c r="D479" s="2">
        <v>44648</v>
      </c>
      <c r="E479" s="1" t="s">
        <v>477</v>
      </c>
      <c r="F479" s="5">
        <f t="shared" si="29"/>
        <v>6713</v>
      </c>
      <c r="G479" s="1">
        <v>31</v>
      </c>
      <c r="H479" s="1" t="str">
        <f t="shared" si="30"/>
        <v>High</v>
      </c>
      <c r="I479" s="1" t="str">
        <f t="shared" si="31"/>
        <v>Other</v>
      </c>
      <c r="J479" s="1">
        <f t="shared" si="32"/>
        <v>543041.33000000019</v>
      </c>
    </row>
    <row r="480" spans="1:10" ht="12.75">
      <c r="A480" s="1" t="s">
        <v>20</v>
      </c>
      <c r="B480" s="1" t="s">
        <v>59</v>
      </c>
      <c r="C480" s="1" t="s">
        <v>52</v>
      </c>
      <c r="D480" s="2">
        <v>44575</v>
      </c>
      <c r="E480" s="1" t="s">
        <v>183</v>
      </c>
      <c r="F480" s="5">
        <f t="shared" si="29"/>
        <v>1848</v>
      </c>
      <c r="G480" s="1">
        <v>227</v>
      </c>
      <c r="H480" s="1" t="str">
        <f t="shared" si="30"/>
        <v>High</v>
      </c>
      <c r="I480" s="1" t="str">
        <f t="shared" si="31"/>
        <v>Other</v>
      </c>
      <c r="J480" s="1">
        <f t="shared" si="32"/>
        <v>543041.33000000019</v>
      </c>
    </row>
    <row r="481" spans="1:10" ht="12.75">
      <c r="A481" s="1" t="s">
        <v>16</v>
      </c>
      <c r="B481" s="1" t="s">
        <v>54</v>
      </c>
      <c r="C481" s="1" t="s">
        <v>40</v>
      </c>
      <c r="D481" s="2">
        <v>44613</v>
      </c>
      <c r="E481" s="1" t="s">
        <v>478</v>
      </c>
      <c r="F481" s="5">
        <f t="shared" si="29"/>
        <v>6440</v>
      </c>
      <c r="G481" s="1">
        <v>145</v>
      </c>
      <c r="H481" s="1" t="str">
        <f t="shared" si="30"/>
        <v>High</v>
      </c>
      <c r="I481" s="1" t="str">
        <f t="shared" si="31"/>
        <v>Other</v>
      </c>
      <c r="J481" s="1">
        <f t="shared" si="32"/>
        <v>543041.33000000019</v>
      </c>
    </row>
    <row r="482" spans="1:10" ht="12.75">
      <c r="A482" s="1" t="s">
        <v>6</v>
      </c>
      <c r="B482" s="1" t="s">
        <v>62</v>
      </c>
      <c r="C482" s="1" t="s">
        <v>43</v>
      </c>
      <c r="D482" s="2">
        <v>44774</v>
      </c>
      <c r="E482" s="1" t="s">
        <v>479</v>
      </c>
      <c r="F482" s="5">
        <f t="shared" si="29"/>
        <v>10885</v>
      </c>
      <c r="G482" s="1">
        <v>90</v>
      </c>
      <c r="H482" s="1" t="str">
        <f t="shared" si="30"/>
        <v>High</v>
      </c>
      <c r="I482" s="1" t="str">
        <f t="shared" si="31"/>
        <v>Other</v>
      </c>
      <c r="J482" s="1">
        <f t="shared" si="32"/>
        <v>543041.33000000019</v>
      </c>
    </row>
    <row r="483" spans="1:10" ht="12.75">
      <c r="A483" s="1" t="s">
        <v>28</v>
      </c>
      <c r="B483" s="1" t="s">
        <v>54</v>
      </c>
      <c r="C483" s="1" t="s">
        <v>49</v>
      </c>
      <c r="D483" s="2">
        <v>44700</v>
      </c>
      <c r="E483" s="1" t="s">
        <v>480</v>
      </c>
      <c r="F483" s="5">
        <f t="shared" si="29"/>
        <v>2387</v>
      </c>
      <c r="G483" s="1">
        <v>59</v>
      </c>
      <c r="H483" s="1" t="str">
        <f t="shared" si="30"/>
        <v>High</v>
      </c>
      <c r="I483" s="1" t="str">
        <f t="shared" si="31"/>
        <v>Other</v>
      </c>
      <c r="J483" s="1">
        <f t="shared" si="32"/>
        <v>543041.33000000019</v>
      </c>
    </row>
    <row r="484" spans="1:10" ht="12.75">
      <c r="A484" s="1" t="s">
        <v>13</v>
      </c>
      <c r="B484" s="1" t="s">
        <v>59</v>
      </c>
      <c r="C484" s="1" t="s">
        <v>84</v>
      </c>
      <c r="D484" s="2">
        <v>44755</v>
      </c>
      <c r="E484" s="1" t="s">
        <v>127</v>
      </c>
      <c r="F484" s="5">
        <f t="shared" si="29"/>
        <v>2030</v>
      </c>
      <c r="G484" s="1">
        <v>60</v>
      </c>
      <c r="H484" s="1" t="str">
        <f t="shared" si="30"/>
        <v>High</v>
      </c>
      <c r="I484" s="1" t="str">
        <f t="shared" si="31"/>
        <v>Other</v>
      </c>
      <c r="J484" s="1">
        <f t="shared" si="32"/>
        <v>543041.33000000019</v>
      </c>
    </row>
    <row r="485" spans="1:10" ht="12.75">
      <c r="A485" s="1" t="s">
        <v>27</v>
      </c>
      <c r="B485" s="1" t="s">
        <v>5</v>
      </c>
      <c r="C485" s="1" t="s">
        <v>45</v>
      </c>
      <c r="D485" s="2">
        <v>44671</v>
      </c>
      <c r="E485" s="1" t="s">
        <v>481</v>
      </c>
      <c r="F485" s="5">
        <f t="shared" si="29"/>
        <v>6678</v>
      </c>
      <c r="G485" s="1">
        <v>148</v>
      </c>
      <c r="H485" s="1" t="str">
        <f t="shared" si="30"/>
        <v>High</v>
      </c>
      <c r="I485" s="1" t="str">
        <f t="shared" si="31"/>
        <v>Other</v>
      </c>
      <c r="J485" s="1">
        <f t="shared" si="32"/>
        <v>543041.33000000019</v>
      </c>
    </row>
    <row r="486" spans="1:10" ht="12.75">
      <c r="A486" s="1" t="s">
        <v>6</v>
      </c>
      <c r="B486" s="1" t="s">
        <v>42</v>
      </c>
      <c r="C486" s="1" t="s">
        <v>43</v>
      </c>
      <c r="D486" s="2">
        <v>44742</v>
      </c>
      <c r="E486" s="1" t="s">
        <v>482</v>
      </c>
      <c r="F486" s="5">
        <f t="shared" si="29"/>
        <v>4515</v>
      </c>
      <c r="G486" s="1">
        <v>22</v>
      </c>
      <c r="H486" s="1" t="str">
        <f t="shared" si="30"/>
        <v>High</v>
      </c>
      <c r="I486" s="1" t="str">
        <f t="shared" si="31"/>
        <v>Other</v>
      </c>
      <c r="J486" s="1">
        <f t="shared" si="32"/>
        <v>543041.33000000019</v>
      </c>
    </row>
    <row r="487" spans="1:10" ht="12.75">
      <c r="A487" s="1" t="s">
        <v>24</v>
      </c>
      <c r="B487" s="1" t="s">
        <v>39</v>
      </c>
      <c r="C487" s="1" t="s">
        <v>55</v>
      </c>
      <c r="D487" s="2">
        <v>44628</v>
      </c>
      <c r="E487" s="1" t="s">
        <v>355</v>
      </c>
      <c r="F487" s="5">
        <f t="shared" si="29"/>
        <v>3374</v>
      </c>
      <c r="G487" s="1">
        <v>142</v>
      </c>
      <c r="H487" s="1" t="str">
        <f t="shared" si="30"/>
        <v>High</v>
      </c>
      <c r="I487" s="1" t="str">
        <f t="shared" si="31"/>
        <v>Other</v>
      </c>
      <c r="J487" s="1">
        <f t="shared" si="32"/>
        <v>543041.33000000019</v>
      </c>
    </row>
    <row r="488" spans="1:10" ht="12.75">
      <c r="A488" s="1" t="s">
        <v>23</v>
      </c>
      <c r="B488" s="1" t="s">
        <v>59</v>
      </c>
      <c r="C488" s="1" t="s">
        <v>81</v>
      </c>
      <c r="D488" s="2">
        <v>44629</v>
      </c>
      <c r="E488" s="1" t="s">
        <v>483</v>
      </c>
      <c r="F488" s="5">
        <f t="shared" si="29"/>
        <v>5852</v>
      </c>
      <c r="G488" s="1">
        <v>93</v>
      </c>
      <c r="H488" s="1" t="str">
        <f t="shared" si="30"/>
        <v>High</v>
      </c>
      <c r="I488" s="1" t="str">
        <f t="shared" si="31"/>
        <v>Other</v>
      </c>
      <c r="J488" s="1">
        <f t="shared" si="32"/>
        <v>543041.33000000019</v>
      </c>
    </row>
    <row r="489" spans="1:10" ht="12.75">
      <c r="A489" s="1" t="s">
        <v>22</v>
      </c>
      <c r="B489" s="1" t="s">
        <v>62</v>
      </c>
      <c r="C489" s="1" t="s">
        <v>100</v>
      </c>
      <c r="D489" s="2">
        <v>44728</v>
      </c>
      <c r="E489" s="1" t="s">
        <v>484</v>
      </c>
      <c r="F489" s="5">
        <f t="shared" si="29"/>
        <v>1750</v>
      </c>
      <c r="G489" s="1">
        <v>208</v>
      </c>
      <c r="H489" s="1" t="str">
        <f t="shared" si="30"/>
        <v>High</v>
      </c>
      <c r="I489" s="1" t="str">
        <f t="shared" si="31"/>
        <v>Other</v>
      </c>
      <c r="J489" s="1">
        <f t="shared" si="32"/>
        <v>543041.33000000019</v>
      </c>
    </row>
    <row r="490" spans="1:10" ht="12.75">
      <c r="A490" s="1" t="s">
        <v>20</v>
      </c>
      <c r="B490" s="1" t="s">
        <v>39</v>
      </c>
      <c r="C490" s="1" t="s">
        <v>65</v>
      </c>
      <c r="D490" s="2">
        <v>44742</v>
      </c>
      <c r="E490" s="1" t="s">
        <v>485</v>
      </c>
      <c r="F490" s="5">
        <f t="shared" si="29"/>
        <v>5782</v>
      </c>
      <c r="G490" s="1">
        <v>42</v>
      </c>
      <c r="H490" s="1" t="str">
        <f t="shared" si="30"/>
        <v>High</v>
      </c>
      <c r="I490" s="1" t="str">
        <f t="shared" si="31"/>
        <v>Other</v>
      </c>
      <c r="J490" s="1">
        <f t="shared" si="32"/>
        <v>543041.33000000019</v>
      </c>
    </row>
    <row r="491" spans="1:10" ht="12.75">
      <c r="A491" s="1" t="s">
        <v>12</v>
      </c>
      <c r="B491" s="1" t="s">
        <v>42</v>
      </c>
      <c r="C491" s="1" t="s">
        <v>40</v>
      </c>
      <c r="D491" s="2">
        <v>44770</v>
      </c>
      <c r="E491" s="1" t="s">
        <v>486</v>
      </c>
      <c r="F491" s="5">
        <f t="shared" si="29"/>
        <v>2870</v>
      </c>
      <c r="G491" s="1">
        <v>120</v>
      </c>
      <c r="H491" s="1" t="str">
        <f t="shared" si="30"/>
        <v>High</v>
      </c>
      <c r="I491" s="1" t="str">
        <f t="shared" si="31"/>
        <v>Other</v>
      </c>
      <c r="J491" s="1">
        <f t="shared" si="32"/>
        <v>543041.33000000019</v>
      </c>
    </row>
    <row r="492" spans="1:10" ht="12.75">
      <c r="A492" s="1" t="s">
        <v>18</v>
      </c>
      <c r="B492" s="1" t="s">
        <v>62</v>
      </c>
      <c r="C492" s="1" t="s">
        <v>45</v>
      </c>
      <c r="D492" s="2">
        <v>44785</v>
      </c>
      <c r="E492" s="1" t="s">
        <v>487</v>
      </c>
      <c r="F492" s="5">
        <f t="shared" si="29"/>
        <v>3094</v>
      </c>
      <c r="G492" s="1">
        <v>159</v>
      </c>
      <c r="H492" s="1" t="str">
        <f t="shared" si="30"/>
        <v>High</v>
      </c>
      <c r="I492" s="1" t="str">
        <f t="shared" si="31"/>
        <v>Other</v>
      </c>
      <c r="J492" s="1">
        <f t="shared" si="32"/>
        <v>543041.33000000019</v>
      </c>
    </row>
    <row r="493" spans="1:10" ht="12.75">
      <c r="A493" s="1" t="s">
        <v>16</v>
      </c>
      <c r="B493" s="1" t="s">
        <v>39</v>
      </c>
      <c r="C493" s="1" t="s">
        <v>40</v>
      </c>
      <c r="D493" s="2">
        <v>44749</v>
      </c>
      <c r="E493" s="1" t="s">
        <v>406</v>
      </c>
      <c r="F493" s="5">
        <f t="shared" si="29"/>
        <v>3724</v>
      </c>
      <c r="G493" s="1">
        <v>316</v>
      </c>
      <c r="H493" s="1" t="str">
        <f t="shared" si="30"/>
        <v>High</v>
      </c>
      <c r="I493" s="1" t="str">
        <f t="shared" si="31"/>
        <v>Other</v>
      </c>
      <c r="J493" s="1">
        <f t="shared" si="32"/>
        <v>543041.33000000019</v>
      </c>
    </row>
    <row r="494" spans="1:10" ht="12.75">
      <c r="A494" s="1" t="s">
        <v>16</v>
      </c>
      <c r="B494" s="1" t="s">
        <v>59</v>
      </c>
      <c r="C494" s="1" t="s">
        <v>43</v>
      </c>
      <c r="D494" s="2">
        <v>44798</v>
      </c>
      <c r="E494" s="1" t="s">
        <v>488</v>
      </c>
      <c r="F494" s="5">
        <f t="shared" si="29"/>
        <v>12761</v>
      </c>
      <c r="G494" s="1">
        <v>47</v>
      </c>
      <c r="H494" s="1" t="str">
        <f t="shared" si="30"/>
        <v>High</v>
      </c>
      <c r="I494" s="1" t="str">
        <f t="shared" si="31"/>
        <v>Other</v>
      </c>
      <c r="J494" s="1">
        <f t="shared" si="32"/>
        <v>543041.33000000019</v>
      </c>
    </row>
    <row r="495" spans="1:10" ht="12.75">
      <c r="A495" s="1" t="s">
        <v>13</v>
      </c>
      <c r="B495" s="1" t="s">
        <v>62</v>
      </c>
      <c r="C495" s="1" t="s">
        <v>63</v>
      </c>
      <c r="D495" s="2">
        <v>44578</v>
      </c>
      <c r="E495" s="1" t="s">
        <v>489</v>
      </c>
      <c r="F495" s="5">
        <f t="shared" si="29"/>
        <v>3696</v>
      </c>
      <c r="G495" s="1">
        <v>233</v>
      </c>
      <c r="H495" s="1" t="str">
        <f t="shared" si="30"/>
        <v>High</v>
      </c>
      <c r="I495" s="1" t="str">
        <f t="shared" si="31"/>
        <v>Other</v>
      </c>
      <c r="J495" s="1">
        <f t="shared" si="32"/>
        <v>543041.33000000019</v>
      </c>
    </row>
    <row r="496" spans="1:10" ht="12.75">
      <c r="A496" s="1" t="s">
        <v>15</v>
      </c>
      <c r="B496" s="1" t="s">
        <v>5</v>
      </c>
      <c r="C496" s="1" t="s">
        <v>147</v>
      </c>
      <c r="D496" s="2">
        <v>44624</v>
      </c>
      <c r="E496" s="1" t="s">
        <v>490</v>
      </c>
      <c r="F496" s="5">
        <f t="shared" si="29"/>
        <v>5222</v>
      </c>
      <c r="G496" s="1">
        <v>384</v>
      </c>
      <c r="H496" s="1" t="str">
        <f t="shared" si="30"/>
        <v>High</v>
      </c>
      <c r="I496" s="1" t="str">
        <f t="shared" si="31"/>
        <v>Other</v>
      </c>
      <c r="J496" s="1">
        <f t="shared" si="32"/>
        <v>543041.33000000019</v>
      </c>
    </row>
    <row r="497" spans="1:10" ht="12.75">
      <c r="A497" s="1" t="s">
        <v>14</v>
      </c>
      <c r="B497" s="1" t="s">
        <v>54</v>
      </c>
      <c r="C497" s="1" t="s">
        <v>81</v>
      </c>
      <c r="D497" s="2">
        <v>44798</v>
      </c>
      <c r="E497" s="1" t="s">
        <v>491</v>
      </c>
      <c r="F497" s="5">
        <f t="shared" si="29"/>
        <v>8939</v>
      </c>
      <c r="G497" s="1">
        <v>4</v>
      </c>
      <c r="H497" s="1" t="str">
        <f t="shared" si="30"/>
        <v>High</v>
      </c>
      <c r="I497" s="1" t="str">
        <f t="shared" si="31"/>
        <v>Other</v>
      </c>
      <c r="J497" s="1">
        <f t="shared" si="32"/>
        <v>543041.33000000019</v>
      </c>
    </row>
    <row r="498" spans="1:10" ht="12.75">
      <c r="A498" s="1" t="s">
        <v>17</v>
      </c>
      <c r="B498" s="1" t="s">
        <v>39</v>
      </c>
      <c r="C498" s="1" t="s">
        <v>45</v>
      </c>
      <c r="D498" s="2">
        <v>44666</v>
      </c>
      <c r="E498" s="1" t="s">
        <v>492</v>
      </c>
      <c r="F498" s="5">
        <f t="shared" si="29"/>
        <v>2156</v>
      </c>
      <c r="G498" s="1">
        <v>260</v>
      </c>
      <c r="H498" s="1" t="str">
        <f t="shared" si="30"/>
        <v>High</v>
      </c>
      <c r="I498" s="1" t="str">
        <f t="shared" si="31"/>
        <v>Other</v>
      </c>
      <c r="J498" s="1">
        <f t="shared" si="32"/>
        <v>543041.33000000019</v>
      </c>
    </row>
    <row r="499" spans="1:10" ht="12.75">
      <c r="A499" s="1" t="s">
        <v>8</v>
      </c>
      <c r="B499" s="1" t="s">
        <v>59</v>
      </c>
      <c r="C499" s="1" t="s">
        <v>68</v>
      </c>
      <c r="D499" s="2">
        <v>44631</v>
      </c>
      <c r="E499" s="1" t="s">
        <v>493</v>
      </c>
      <c r="F499" s="5">
        <f t="shared" si="29"/>
        <v>2380</v>
      </c>
      <c r="G499" s="1">
        <v>22</v>
      </c>
      <c r="H499" s="1" t="str">
        <f t="shared" si="30"/>
        <v>High</v>
      </c>
      <c r="I499" s="1" t="str">
        <f t="shared" si="31"/>
        <v>Other</v>
      </c>
      <c r="J499" s="1">
        <f t="shared" si="32"/>
        <v>543041.33000000019</v>
      </c>
    </row>
    <row r="500" spans="1:10" ht="12.75">
      <c r="A500" s="1" t="s">
        <v>25</v>
      </c>
      <c r="B500" s="1" t="s">
        <v>59</v>
      </c>
      <c r="C500" s="1" t="s">
        <v>100</v>
      </c>
      <c r="D500" s="2">
        <v>44701</v>
      </c>
      <c r="E500" s="1" t="s">
        <v>494</v>
      </c>
      <c r="F500" s="5">
        <f t="shared" si="29"/>
        <v>3339</v>
      </c>
      <c r="G500" s="1">
        <v>18</v>
      </c>
      <c r="H500" s="1" t="str">
        <f t="shared" si="30"/>
        <v>High</v>
      </c>
      <c r="I500" s="1" t="str">
        <f t="shared" si="31"/>
        <v>Other</v>
      </c>
      <c r="J500" s="1">
        <f t="shared" si="32"/>
        <v>543041.33000000019</v>
      </c>
    </row>
    <row r="501" spans="1:10" ht="12.75">
      <c r="A501" s="1" t="s">
        <v>7</v>
      </c>
      <c r="B501" s="1" t="s">
        <v>54</v>
      </c>
      <c r="C501" s="1" t="s">
        <v>86</v>
      </c>
      <c r="D501" s="2">
        <v>44726</v>
      </c>
      <c r="E501" s="1" t="s">
        <v>495</v>
      </c>
      <c r="F501" s="5">
        <f t="shared" si="29"/>
        <v>14980</v>
      </c>
      <c r="G501" s="1">
        <v>42</v>
      </c>
      <c r="H501" s="1" t="str">
        <f t="shared" si="30"/>
        <v>High</v>
      </c>
      <c r="I501" s="1" t="str">
        <f t="shared" si="31"/>
        <v>Other</v>
      </c>
      <c r="J501" s="1">
        <f t="shared" si="32"/>
        <v>543041.33000000019</v>
      </c>
    </row>
    <row r="502" spans="1:10" ht="12.75">
      <c r="A502" s="1" t="s">
        <v>11</v>
      </c>
      <c r="B502" s="1" t="s">
        <v>54</v>
      </c>
      <c r="C502" s="1" t="s">
        <v>52</v>
      </c>
      <c r="D502" s="2">
        <v>44665</v>
      </c>
      <c r="E502" s="1" t="s">
        <v>496</v>
      </c>
      <c r="F502" s="5">
        <f t="shared" si="29"/>
        <v>1512</v>
      </c>
      <c r="G502" s="1">
        <v>73</v>
      </c>
      <c r="H502" s="1" t="str">
        <f t="shared" si="30"/>
        <v>High</v>
      </c>
      <c r="I502" s="1" t="str">
        <f t="shared" si="31"/>
        <v>Other</v>
      </c>
      <c r="J502" s="1">
        <f t="shared" si="32"/>
        <v>543041.33000000019</v>
      </c>
    </row>
    <row r="503" spans="1:10" ht="12.75">
      <c r="A503" s="1" t="s">
        <v>11</v>
      </c>
      <c r="B503" s="1" t="s">
        <v>59</v>
      </c>
      <c r="C503" s="1" t="s">
        <v>49</v>
      </c>
      <c r="D503" s="2">
        <v>44749</v>
      </c>
      <c r="E503" s="1" t="s">
        <v>497</v>
      </c>
      <c r="F503" s="5">
        <f t="shared" si="29"/>
        <v>6657</v>
      </c>
      <c r="G503" s="1">
        <v>154</v>
      </c>
      <c r="H503" s="1" t="str">
        <f t="shared" si="30"/>
        <v>High</v>
      </c>
      <c r="I503" s="1" t="str">
        <f t="shared" si="31"/>
        <v>Other</v>
      </c>
      <c r="J503" s="1">
        <f t="shared" si="32"/>
        <v>543041.33000000019</v>
      </c>
    </row>
    <row r="504" spans="1:10" ht="12.75">
      <c r="A504" s="1" t="s">
        <v>9</v>
      </c>
      <c r="B504" s="1" t="s">
        <v>42</v>
      </c>
      <c r="C504" s="1" t="s">
        <v>40</v>
      </c>
      <c r="D504" s="2">
        <v>44797</v>
      </c>
      <c r="E504" s="1" t="s">
        <v>498</v>
      </c>
      <c r="F504" s="5">
        <f t="shared" si="29"/>
        <v>3836</v>
      </c>
      <c r="G504" s="1">
        <v>71</v>
      </c>
      <c r="H504" s="1" t="str">
        <f t="shared" si="30"/>
        <v>High</v>
      </c>
      <c r="I504" s="1" t="str">
        <f t="shared" si="31"/>
        <v>Other</v>
      </c>
      <c r="J504" s="1">
        <f t="shared" si="32"/>
        <v>543041.33000000019</v>
      </c>
    </row>
    <row r="505" spans="1:10" ht="12.75">
      <c r="A505" s="1" t="s">
        <v>11</v>
      </c>
      <c r="B505" s="1" t="s">
        <v>42</v>
      </c>
      <c r="C505" s="1" t="s">
        <v>63</v>
      </c>
      <c r="D505" s="2">
        <v>44616</v>
      </c>
      <c r="E505" s="1" t="s">
        <v>499</v>
      </c>
      <c r="F505" s="5">
        <f t="shared" si="29"/>
        <v>8771</v>
      </c>
      <c r="G505" s="1">
        <v>127</v>
      </c>
      <c r="H505" s="1" t="str">
        <f t="shared" si="30"/>
        <v>High</v>
      </c>
      <c r="I505" s="1" t="str">
        <f t="shared" si="31"/>
        <v>Other</v>
      </c>
      <c r="J505" s="1">
        <f t="shared" si="32"/>
        <v>543041.33000000019</v>
      </c>
    </row>
    <row r="506" spans="1:10" ht="12.75">
      <c r="A506" s="1" t="s">
        <v>18</v>
      </c>
      <c r="B506" s="1" t="s">
        <v>62</v>
      </c>
      <c r="C506" s="1" t="s">
        <v>100</v>
      </c>
      <c r="D506" s="2">
        <v>44690</v>
      </c>
      <c r="E506" s="1" t="s">
        <v>500</v>
      </c>
      <c r="F506" s="5">
        <f t="shared" si="29"/>
        <v>651</v>
      </c>
      <c r="G506" s="1">
        <v>224</v>
      </c>
      <c r="H506" s="1" t="str">
        <f t="shared" si="30"/>
        <v>Medium</v>
      </c>
      <c r="I506" s="1" t="str">
        <f t="shared" si="31"/>
        <v>Other</v>
      </c>
      <c r="J506" s="1">
        <f t="shared" si="32"/>
        <v>543041.33000000019</v>
      </c>
    </row>
    <row r="507" spans="1:10" ht="12.75">
      <c r="A507" s="1" t="s">
        <v>8</v>
      </c>
      <c r="B507" s="1" t="s">
        <v>5</v>
      </c>
      <c r="C507" s="1" t="s">
        <v>147</v>
      </c>
      <c r="D507" s="2">
        <v>44600</v>
      </c>
      <c r="E507" s="1" t="s">
        <v>501</v>
      </c>
      <c r="F507" s="5">
        <f t="shared" si="29"/>
        <v>6706</v>
      </c>
      <c r="G507" s="1">
        <v>223</v>
      </c>
      <c r="H507" s="1" t="str">
        <f t="shared" si="30"/>
        <v>High</v>
      </c>
      <c r="I507" s="1" t="str">
        <f t="shared" si="31"/>
        <v>Other</v>
      </c>
      <c r="J507" s="1">
        <f t="shared" si="32"/>
        <v>543041.33000000019</v>
      </c>
    </row>
    <row r="508" spans="1:10" ht="12.75">
      <c r="A508" s="1" t="s">
        <v>26</v>
      </c>
      <c r="B508" s="1" t="s">
        <v>39</v>
      </c>
      <c r="C508" s="1" t="s">
        <v>147</v>
      </c>
      <c r="D508" s="2">
        <v>44644</v>
      </c>
      <c r="E508" s="1" t="s">
        <v>502</v>
      </c>
      <c r="F508" s="5">
        <f t="shared" si="29"/>
        <v>1421</v>
      </c>
      <c r="G508" s="1">
        <v>284</v>
      </c>
      <c r="H508" s="1" t="str">
        <f t="shared" si="30"/>
        <v>High</v>
      </c>
      <c r="I508" s="1" t="str">
        <f t="shared" si="31"/>
        <v>Other</v>
      </c>
      <c r="J508" s="1">
        <f t="shared" si="32"/>
        <v>543041.33000000019</v>
      </c>
    </row>
    <row r="509" spans="1:10" ht="12.75">
      <c r="A509" s="1" t="s">
        <v>19</v>
      </c>
      <c r="B509" s="1" t="s">
        <v>59</v>
      </c>
      <c r="C509" s="1" t="s">
        <v>65</v>
      </c>
      <c r="D509" s="2">
        <v>44732</v>
      </c>
      <c r="E509" s="1" t="s">
        <v>503</v>
      </c>
      <c r="F509" s="5">
        <f t="shared" si="29"/>
        <v>8526</v>
      </c>
      <c r="G509" s="1">
        <v>73</v>
      </c>
      <c r="H509" s="1" t="str">
        <f t="shared" si="30"/>
        <v>High</v>
      </c>
      <c r="I509" s="1" t="str">
        <f t="shared" si="31"/>
        <v>Other</v>
      </c>
      <c r="J509" s="1">
        <f t="shared" si="32"/>
        <v>543041.33000000019</v>
      </c>
    </row>
    <row r="510" spans="1:10" ht="12.75">
      <c r="A510" s="1" t="s">
        <v>2</v>
      </c>
      <c r="B510" s="1" t="s">
        <v>62</v>
      </c>
      <c r="C510" s="1" t="s">
        <v>86</v>
      </c>
      <c r="D510" s="2">
        <v>44627</v>
      </c>
      <c r="E510" s="1" t="s">
        <v>504</v>
      </c>
      <c r="F510" s="5">
        <f t="shared" si="29"/>
        <v>1435</v>
      </c>
      <c r="G510" s="1">
        <v>112</v>
      </c>
      <c r="H510" s="1" t="str">
        <f t="shared" si="30"/>
        <v>High</v>
      </c>
      <c r="I510" s="1" t="str">
        <f t="shared" si="31"/>
        <v>Other</v>
      </c>
      <c r="J510" s="1">
        <f t="shared" si="32"/>
        <v>543041.33000000019</v>
      </c>
    </row>
    <row r="511" spans="1:10" ht="12.75">
      <c r="A511" s="1" t="s">
        <v>8</v>
      </c>
      <c r="B511" s="1" t="s">
        <v>5</v>
      </c>
      <c r="C511" s="1" t="s">
        <v>81</v>
      </c>
      <c r="D511" s="2">
        <v>44732</v>
      </c>
      <c r="E511" s="1" t="s">
        <v>505</v>
      </c>
      <c r="F511" s="5">
        <f t="shared" si="29"/>
        <v>7434</v>
      </c>
      <c r="G511" s="1">
        <v>85</v>
      </c>
      <c r="H511" s="1" t="str">
        <f t="shared" si="30"/>
        <v>High</v>
      </c>
      <c r="I511" s="1" t="str">
        <f t="shared" si="31"/>
        <v>Other</v>
      </c>
      <c r="J511" s="1">
        <f t="shared" si="32"/>
        <v>541606.33000000019</v>
      </c>
    </row>
    <row r="512" spans="1:10" ht="12.75">
      <c r="A512" s="1" t="s">
        <v>22</v>
      </c>
      <c r="B512" s="1" t="s">
        <v>54</v>
      </c>
      <c r="C512" s="1" t="s">
        <v>68</v>
      </c>
      <c r="D512" s="2">
        <v>44609</v>
      </c>
      <c r="E512" s="1" t="s">
        <v>506</v>
      </c>
      <c r="F512" s="5">
        <f t="shared" si="29"/>
        <v>15316</v>
      </c>
      <c r="G512" s="1">
        <v>270</v>
      </c>
      <c r="H512" s="1" t="str">
        <f t="shared" si="30"/>
        <v>High</v>
      </c>
      <c r="I512" s="1" t="str">
        <f t="shared" si="31"/>
        <v>Other</v>
      </c>
      <c r="J512" s="1">
        <f t="shared" si="32"/>
        <v>541606.33000000019</v>
      </c>
    </row>
    <row r="513" spans="1:10" ht="12.75">
      <c r="A513" s="1" t="s">
        <v>9</v>
      </c>
      <c r="B513" s="1" t="s">
        <v>39</v>
      </c>
      <c r="C513" s="1" t="s">
        <v>51</v>
      </c>
      <c r="D513" s="2">
        <v>44587</v>
      </c>
      <c r="E513" s="1" t="s">
        <v>361</v>
      </c>
      <c r="F513" s="5">
        <f t="shared" si="29"/>
        <v>10479</v>
      </c>
      <c r="G513" s="1">
        <v>45</v>
      </c>
      <c r="H513" s="1" t="str">
        <f t="shared" si="30"/>
        <v>High</v>
      </c>
      <c r="I513" s="1" t="str">
        <f t="shared" si="31"/>
        <v>Other</v>
      </c>
      <c r="J513" s="1">
        <f t="shared" si="32"/>
        <v>541606.33000000019</v>
      </c>
    </row>
    <row r="514" spans="1:10" ht="12.75">
      <c r="A514" s="1" t="s">
        <v>9</v>
      </c>
      <c r="B514" s="1" t="s">
        <v>5</v>
      </c>
      <c r="C514" s="1" t="s">
        <v>40</v>
      </c>
      <c r="D514" s="2">
        <v>44683</v>
      </c>
      <c r="E514" s="1" t="s">
        <v>507</v>
      </c>
      <c r="F514" s="5">
        <f t="shared" ref="F514:F577" si="33">VALUE(SUBSTITUTE(E514,"$",""))</f>
        <v>2751</v>
      </c>
      <c r="G514" s="1">
        <v>153</v>
      </c>
      <c r="H514" s="1" t="str">
        <f t="shared" ref="H514:H577" si="34">IF(F514&gt;800,"High",IF(F514&gt;500,"Medium","Low"))</f>
        <v>High</v>
      </c>
      <c r="I514" s="1" t="str">
        <f t="shared" ref="I514:I577" si="35">IF(AND(B514="Australia",A514="Mallorie Waber"),"Top Local","Other")</f>
        <v>Other</v>
      </c>
      <c r="J514" s="1">
        <f t="shared" ref="J514:J577" si="36">SUMIF(A514:A3794,"Mallorie Waber",F514:F3794)</f>
        <v>541606.33000000019</v>
      </c>
    </row>
    <row r="515" spans="1:10" ht="12.75">
      <c r="A515" s="1" t="s">
        <v>24</v>
      </c>
      <c r="B515" s="1" t="s">
        <v>62</v>
      </c>
      <c r="C515" s="1" t="s">
        <v>51</v>
      </c>
      <c r="D515" s="2">
        <v>44749</v>
      </c>
      <c r="E515" s="1" t="s">
        <v>229</v>
      </c>
      <c r="F515" s="5">
        <f t="shared" si="33"/>
        <v>12586</v>
      </c>
      <c r="G515" s="1">
        <v>7</v>
      </c>
      <c r="H515" s="1" t="str">
        <f t="shared" si="34"/>
        <v>High</v>
      </c>
      <c r="I515" s="1" t="str">
        <f t="shared" si="35"/>
        <v>Other</v>
      </c>
      <c r="J515" s="1">
        <f t="shared" si="36"/>
        <v>541606.33000000019</v>
      </c>
    </row>
    <row r="516" spans="1:10" ht="12.75">
      <c r="A516" s="1" t="s">
        <v>19</v>
      </c>
      <c r="B516" s="1" t="s">
        <v>5</v>
      </c>
      <c r="C516" s="1" t="s">
        <v>122</v>
      </c>
      <c r="D516" s="2">
        <v>44795</v>
      </c>
      <c r="E516" s="1" t="s">
        <v>508</v>
      </c>
      <c r="F516" s="5">
        <f t="shared" si="33"/>
        <v>2786</v>
      </c>
      <c r="G516" s="1">
        <v>51</v>
      </c>
      <c r="H516" s="1" t="str">
        <f t="shared" si="34"/>
        <v>High</v>
      </c>
      <c r="I516" s="1" t="str">
        <f t="shared" si="35"/>
        <v>Other</v>
      </c>
      <c r="J516" s="1">
        <f t="shared" si="36"/>
        <v>541606.33000000019</v>
      </c>
    </row>
    <row r="517" spans="1:10" ht="12.75">
      <c r="A517" s="1" t="s">
        <v>18</v>
      </c>
      <c r="B517" s="1" t="s">
        <v>5</v>
      </c>
      <c r="C517" s="1" t="s">
        <v>52</v>
      </c>
      <c r="D517" s="2">
        <v>44784</v>
      </c>
      <c r="E517" s="1" t="s">
        <v>509</v>
      </c>
      <c r="F517" s="5">
        <f t="shared" si="33"/>
        <v>2303</v>
      </c>
      <c r="G517" s="1">
        <v>67</v>
      </c>
      <c r="H517" s="1" t="str">
        <f t="shared" si="34"/>
        <v>High</v>
      </c>
      <c r="I517" s="1" t="str">
        <f t="shared" si="35"/>
        <v>Other</v>
      </c>
      <c r="J517" s="1">
        <f t="shared" si="36"/>
        <v>541606.33000000019</v>
      </c>
    </row>
    <row r="518" spans="1:10" ht="12.75">
      <c r="A518" s="1" t="s">
        <v>14</v>
      </c>
      <c r="B518" s="1" t="s">
        <v>39</v>
      </c>
      <c r="C518" s="1" t="s">
        <v>51</v>
      </c>
      <c r="D518" s="2">
        <v>44574</v>
      </c>
      <c r="E518" s="1" t="s">
        <v>238</v>
      </c>
      <c r="F518" s="5">
        <f t="shared" si="33"/>
        <v>8113</v>
      </c>
      <c r="G518" s="1">
        <v>194</v>
      </c>
      <c r="H518" s="1" t="str">
        <f t="shared" si="34"/>
        <v>High</v>
      </c>
      <c r="I518" s="1" t="str">
        <f t="shared" si="35"/>
        <v>Other</v>
      </c>
      <c r="J518" s="1">
        <f t="shared" si="36"/>
        <v>541606.33000000019</v>
      </c>
    </row>
    <row r="519" spans="1:10" ht="12.75">
      <c r="A519" s="1" t="s">
        <v>23</v>
      </c>
      <c r="B519" s="1" t="s">
        <v>5</v>
      </c>
      <c r="C519" s="1" t="s">
        <v>55</v>
      </c>
      <c r="D519" s="2">
        <v>44622</v>
      </c>
      <c r="E519" s="1" t="s">
        <v>510</v>
      </c>
      <c r="F519" s="5">
        <f t="shared" si="33"/>
        <v>12271</v>
      </c>
      <c r="G519" s="1">
        <v>116</v>
      </c>
      <c r="H519" s="1" t="str">
        <f t="shared" si="34"/>
        <v>High</v>
      </c>
      <c r="I519" s="1" t="str">
        <f t="shared" si="35"/>
        <v>Other</v>
      </c>
      <c r="J519" s="1">
        <f t="shared" si="36"/>
        <v>541606.33000000019</v>
      </c>
    </row>
    <row r="520" spans="1:10" ht="12.75">
      <c r="A520" s="1" t="s">
        <v>14</v>
      </c>
      <c r="B520" s="1" t="s">
        <v>5</v>
      </c>
      <c r="C520" s="1" t="s">
        <v>102</v>
      </c>
      <c r="D520" s="2">
        <v>44769</v>
      </c>
      <c r="E520" s="1" t="s">
        <v>511</v>
      </c>
      <c r="F520" s="5">
        <f t="shared" si="33"/>
        <v>11298</v>
      </c>
      <c r="G520" s="1">
        <v>41</v>
      </c>
      <c r="H520" s="1" t="str">
        <f t="shared" si="34"/>
        <v>High</v>
      </c>
      <c r="I520" s="1" t="str">
        <f t="shared" si="35"/>
        <v>Other</v>
      </c>
      <c r="J520" s="1">
        <f t="shared" si="36"/>
        <v>541606.33000000019</v>
      </c>
    </row>
    <row r="521" spans="1:10" ht="12.75">
      <c r="A521" s="1" t="s">
        <v>12</v>
      </c>
      <c r="B521" s="1" t="s">
        <v>54</v>
      </c>
      <c r="C521" s="1" t="s">
        <v>65</v>
      </c>
      <c r="D521" s="2">
        <v>44630</v>
      </c>
      <c r="E521" s="1" t="s">
        <v>512</v>
      </c>
      <c r="F521" s="5">
        <f t="shared" si="33"/>
        <v>15855</v>
      </c>
      <c r="G521" s="1">
        <v>111</v>
      </c>
      <c r="H521" s="1" t="str">
        <f t="shared" si="34"/>
        <v>High</v>
      </c>
      <c r="I521" s="1" t="str">
        <f t="shared" si="35"/>
        <v>Other</v>
      </c>
      <c r="J521" s="1">
        <f t="shared" si="36"/>
        <v>541606.33000000019</v>
      </c>
    </row>
    <row r="522" spans="1:10" ht="12.75">
      <c r="A522" s="1" t="s">
        <v>28</v>
      </c>
      <c r="B522" s="1" t="s">
        <v>59</v>
      </c>
      <c r="C522" s="1" t="s">
        <v>43</v>
      </c>
      <c r="D522" s="2">
        <v>44796</v>
      </c>
      <c r="E522" s="1" t="s">
        <v>513</v>
      </c>
      <c r="F522" s="5">
        <f t="shared" si="33"/>
        <v>12404</v>
      </c>
      <c r="G522" s="1">
        <v>334</v>
      </c>
      <c r="H522" s="1" t="str">
        <f t="shared" si="34"/>
        <v>High</v>
      </c>
      <c r="I522" s="1" t="str">
        <f t="shared" si="35"/>
        <v>Other</v>
      </c>
      <c r="J522" s="1">
        <f t="shared" si="36"/>
        <v>541606.33000000019</v>
      </c>
    </row>
    <row r="523" spans="1:10" ht="12.75">
      <c r="A523" s="1" t="s">
        <v>26</v>
      </c>
      <c r="B523" s="1" t="s">
        <v>59</v>
      </c>
      <c r="C523" s="1" t="s">
        <v>63</v>
      </c>
      <c r="D523" s="2">
        <v>44676</v>
      </c>
      <c r="E523" s="1" t="s">
        <v>56</v>
      </c>
      <c r="F523" s="5">
        <f t="shared" si="33"/>
        <v>3990</v>
      </c>
      <c r="G523" s="1">
        <v>155</v>
      </c>
      <c r="H523" s="1" t="str">
        <f t="shared" si="34"/>
        <v>High</v>
      </c>
      <c r="I523" s="1" t="str">
        <f t="shared" si="35"/>
        <v>Other</v>
      </c>
      <c r="J523" s="1">
        <f t="shared" si="36"/>
        <v>541606.33000000019</v>
      </c>
    </row>
    <row r="524" spans="1:10" ht="12.75">
      <c r="A524" s="1" t="s">
        <v>6</v>
      </c>
      <c r="B524" s="1" t="s">
        <v>39</v>
      </c>
      <c r="C524" s="1" t="s">
        <v>72</v>
      </c>
      <c r="D524" s="2">
        <v>44627</v>
      </c>
      <c r="E524" s="1" t="s">
        <v>514</v>
      </c>
      <c r="F524" s="5">
        <f t="shared" si="33"/>
        <v>10808</v>
      </c>
      <c r="G524" s="1">
        <v>407</v>
      </c>
      <c r="H524" s="1" t="str">
        <f t="shared" si="34"/>
        <v>High</v>
      </c>
      <c r="I524" s="1" t="str">
        <f t="shared" si="35"/>
        <v>Other</v>
      </c>
      <c r="J524" s="1">
        <f t="shared" si="36"/>
        <v>541606.33000000019</v>
      </c>
    </row>
    <row r="525" spans="1:10" ht="12.75">
      <c r="A525" s="1" t="s">
        <v>29</v>
      </c>
      <c r="B525" s="1" t="s">
        <v>39</v>
      </c>
      <c r="C525" s="1" t="s">
        <v>68</v>
      </c>
      <c r="D525" s="2">
        <v>44754</v>
      </c>
      <c r="E525" s="1" t="s">
        <v>515</v>
      </c>
      <c r="F525" s="5">
        <f t="shared" si="33"/>
        <v>4858</v>
      </c>
      <c r="G525" s="1">
        <v>52</v>
      </c>
      <c r="H525" s="1" t="str">
        <f t="shared" si="34"/>
        <v>High</v>
      </c>
      <c r="I525" s="1" t="str">
        <f t="shared" si="35"/>
        <v>Other</v>
      </c>
      <c r="J525" s="1">
        <f t="shared" si="36"/>
        <v>541606.33000000019</v>
      </c>
    </row>
    <row r="526" spans="1:10" ht="12.75">
      <c r="A526" s="1" t="s">
        <v>9</v>
      </c>
      <c r="B526" s="1" t="s">
        <v>59</v>
      </c>
      <c r="C526" s="1" t="s">
        <v>60</v>
      </c>
      <c r="D526" s="2">
        <v>44697</v>
      </c>
      <c r="E526" s="1" t="s">
        <v>516</v>
      </c>
      <c r="F526" s="5">
        <f t="shared" si="33"/>
        <v>7742</v>
      </c>
      <c r="G526" s="1">
        <v>138</v>
      </c>
      <c r="H526" s="1" t="str">
        <f t="shared" si="34"/>
        <v>High</v>
      </c>
      <c r="I526" s="1" t="str">
        <f t="shared" si="35"/>
        <v>Other</v>
      </c>
      <c r="J526" s="1">
        <f t="shared" si="36"/>
        <v>541606.33000000019</v>
      </c>
    </row>
    <row r="527" spans="1:10" ht="12.75">
      <c r="A527" s="1" t="s">
        <v>23</v>
      </c>
      <c r="B527" s="1" t="s">
        <v>42</v>
      </c>
      <c r="C527" s="1" t="s">
        <v>49</v>
      </c>
      <c r="D527" s="2">
        <v>44622</v>
      </c>
      <c r="E527" s="1" t="s">
        <v>293</v>
      </c>
      <c r="F527" s="5">
        <f t="shared" si="33"/>
        <v>3752</v>
      </c>
      <c r="G527" s="1">
        <v>70</v>
      </c>
      <c r="H527" s="1" t="str">
        <f t="shared" si="34"/>
        <v>High</v>
      </c>
      <c r="I527" s="1" t="str">
        <f t="shared" si="35"/>
        <v>Other</v>
      </c>
      <c r="J527" s="1">
        <f t="shared" si="36"/>
        <v>541606.33000000019</v>
      </c>
    </row>
    <row r="528" spans="1:10" ht="12.75">
      <c r="A528" s="1" t="s">
        <v>14</v>
      </c>
      <c r="B528" s="1" t="s">
        <v>54</v>
      </c>
      <c r="C528" s="1" t="s">
        <v>43</v>
      </c>
      <c r="D528" s="2">
        <v>44711</v>
      </c>
      <c r="E528" s="1" t="s">
        <v>378</v>
      </c>
      <c r="F528" s="5">
        <f t="shared" si="33"/>
        <v>1218</v>
      </c>
      <c r="G528" s="1">
        <v>149</v>
      </c>
      <c r="H528" s="1" t="str">
        <f t="shared" si="34"/>
        <v>High</v>
      </c>
      <c r="I528" s="1" t="str">
        <f t="shared" si="35"/>
        <v>Other</v>
      </c>
      <c r="J528" s="1">
        <f t="shared" si="36"/>
        <v>541606.33000000019</v>
      </c>
    </row>
    <row r="529" spans="1:10" ht="12.75">
      <c r="A529" s="1" t="s">
        <v>14</v>
      </c>
      <c r="B529" s="1" t="s">
        <v>39</v>
      </c>
      <c r="C529" s="1" t="s">
        <v>86</v>
      </c>
      <c r="D529" s="2">
        <v>44722</v>
      </c>
      <c r="E529" s="1" t="s">
        <v>517</v>
      </c>
      <c r="F529" s="5">
        <f t="shared" si="33"/>
        <v>10983</v>
      </c>
      <c r="G529" s="1">
        <v>179</v>
      </c>
      <c r="H529" s="1" t="str">
        <f t="shared" si="34"/>
        <v>High</v>
      </c>
      <c r="I529" s="1" t="str">
        <f t="shared" si="35"/>
        <v>Other</v>
      </c>
      <c r="J529" s="1">
        <f t="shared" si="36"/>
        <v>541606.33000000019</v>
      </c>
    </row>
    <row r="530" spans="1:10" ht="12.75">
      <c r="A530" s="1" t="s">
        <v>7</v>
      </c>
      <c r="B530" s="1" t="s">
        <v>59</v>
      </c>
      <c r="C530" s="1" t="s">
        <v>51</v>
      </c>
      <c r="D530" s="2">
        <v>44767</v>
      </c>
      <c r="E530" s="1" t="s">
        <v>518</v>
      </c>
      <c r="F530" s="5">
        <f t="shared" si="33"/>
        <v>6769</v>
      </c>
      <c r="G530" s="1">
        <v>353</v>
      </c>
      <c r="H530" s="1" t="str">
        <f t="shared" si="34"/>
        <v>High</v>
      </c>
      <c r="I530" s="1" t="str">
        <f t="shared" si="35"/>
        <v>Other</v>
      </c>
      <c r="J530" s="1">
        <f t="shared" si="36"/>
        <v>541606.33000000019</v>
      </c>
    </row>
    <row r="531" spans="1:10" ht="12.75">
      <c r="A531" s="1" t="s">
        <v>28</v>
      </c>
      <c r="B531" s="1" t="s">
        <v>54</v>
      </c>
      <c r="C531" s="1" t="s">
        <v>40</v>
      </c>
      <c r="D531" s="2">
        <v>44721</v>
      </c>
      <c r="E531" s="1" t="s">
        <v>215</v>
      </c>
      <c r="F531" s="5">
        <f t="shared" si="33"/>
        <v>4361</v>
      </c>
      <c r="G531" s="1">
        <v>97</v>
      </c>
      <c r="H531" s="1" t="str">
        <f t="shared" si="34"/>
        <v>High</v>
      </c>
      <c r="I531" s="1" t="str">
        <f t="shared" si="35"/>
        <v>Other</v>
      </c>
      <c r="J531" s="1">
        <f t="shared" si="36"/>
        <v>541606.33000000019</v>
      </c>
    </row>
    <row r="532" spans="1:10" ht="12.75">
      <c r="A532" s="1" t="s">
        <v>6</v>
      </c>
      <c r="B532" s="1" t="s">
        <v>59</v>
      </c>
      <c r="C532" s="1" t="s">
        <v>72</v>
      </c>
      <c r="D532" s="2">
        <v>44693</v>
      </c>
      <c r="E532" s="1" t="s">
        <v>519</v>
      </c>
      <c r="F532" s="5">
        <f t="shared" si="33"/>
        <v>777</v>
      </c>
      <c r="G532" s="1">
        <v>60</v>
      </c>
      <c r="H532" s="1" t="str">
        <f t="shared" si="34"/>
        <v>Medium</v>
      </c>
      <c r="I532" s="1" t="str">
        <f t="shared" si="35"/>
        <v>Other</v>
      </c>
      <c r="J532" s="1">
        <f t="shared" si="36"/>
        <v>541606.33000000019</v>
      </c>
    </row>
    <row r="533" spans="1:10" ht="12.75">
      <c r="A533" s="1" t="s">
        <v>23</v>
      </c>
      <c r="B533" s="1" t="s">
        <v>59</v>
      </c>
      <c r="C533" s="1" t="s">
        <v>65</v>
      </c>
      <c r="D533" s="2">
        <v>44690</v>
      </c>
      <c r="E533" s="1" t="s">
        <v>520</v>
      </c>
      <c r="F533" s="5">
        <f t="shared" si="33"/>
        <v>3843</v>
      </c>
      <c r="G533" s="1">
        <v>5</v>
      </c>
      <c r="H533" s="1" t="str">
        <f t="shared" si="34"/>
        <v>High</v>
      </c>
      <c r="I533" s="1" t="str">
        <f t="shared" si="35"/>
        <v>Other</v>
      </c>
      <c r="J533" s="1">
        <f t="shared" si="36"/>
        <v>541606.33000000019</v>
      </c>
    </row>
    <row r="534" spans="1:10" ht="12.75">
      <c r="A534" s="1" t="s">
        <v>7</v>
      </c>
      <c r="B534" s="1" t="s">
        <v>62</v>
      </c>
      <c r="C534" s="1" t="s">
        <v>86</v>
      </c>
      <c r="D534" s="2">
        <v>44782</v>
      </c>
      <c r="E534" s="1" t="s">
        <v>521</v>
      </c>
      <c r="F534" s="5">
        <f t="shared" si="33"/>
        <v>6930</v>
      </c>
      <c r="G534" s="1">
        <v>182</v>
      </c>
      <c r="H534" s="1" t="str">
        <f t="shared" si="34"/>
        <v>High</v>
      </c>
      <c r="I534" s="1" t="str">
        <f t="shared" si="35"/>
        <v>Other</v>
      </c>
      <c r="J534" s="1">
        <f t="shared" si="36"/>
        <v>541606.33000000019</v>
      </c>
    </row>
    <row r="535" spans="1:10" ht="12.75">
      <c r="A535" s="1" t="s">
        <v>10</v>
      </c>
      <c r="B535" s="1" t="s">
        <v>42</v>
      </c>
      <c r="C535" s="1" t="s">
        <v>102</v>
      </c>
      <c r="D535" s="2">
        <v>44664</v>
      </c>
      <c r="E535" s="1" t="s">
        <v>383</v>
      </c>
      <c r="F535" s="5">
        <f t="shared" si="33"/>
        <v>5733</v>
      </c>
      <c r="G535" s="1">
        <v>114</v>
      </c>
      <c r="H535" s="1" t="str">
        <f t="shared" si="34"/>
        <v>High</v>
      </c>
      <c r="I535" s="1" t="str">
        <f t="shared" si="35"/>
        <v>Other</v>
      </c>
      <c r="J535" s="1">
        <f t="shared" si="36"/>
        <v>541606.33000000019</v>
      </c>
    </row>
    <row r="536" spans="1:10" ht="12.75">
      <c r="A536" s="1" t="s">
        <v>27</v>
      </c>
      <c r="B536" s="1" t="s">
        <v>59</v>
      </c>
      <c r="C536" s="1" t="s">
        <v>126</v>
      </c>
      <c r="D536" s="2">
        <v>44683</v>
      </c>
      <c r="E536" s="1" t="s">
        <v>522</v>
      </c>
      <c r="F536" s="5">
        <f t="shared" si="33"/>
        <v>8393</v>
      </c>
      <c r="G536" s="1">
        <v>46</v>
      </c>
      <c r="H536" s="1" t="str">
        <f t="shared" si="34"/>
        <v>High</v>
      </c>
      <c r="I536" s="1" t="str">
        <f t="shared" si="35"/>
        <v>Other</v>
      </c>
      <c r="J536" s="1">
        <f t="shared" si="36"/>
        <v>541606.33000000019</v>
      </c>
    </row>
    <row r="537" spans="1:10" ht="12.75">
      <c r="A537" s="1" t="s">
        <v>21</v>
      </c>
      <c r="B537" s="1" t="s">
        <v>59</v>
      </c>
      <c r="C537" s="1" t="s">
        <v>51</v>
      </c>
      <c r="D537" s="2">
        <v>44782</v>
      </c>
      <c r="E537" s="1" t="s">
        <v>523</v>
      </c>
      <c r="F537" s="5">
        <f t="shared" si="33"/>
        <v>3822</v>
      </c>
      <c r="G537" s="1">
        <v>320</v>
      </c>
      <c r="H537" s="1" t="str">
        <f t="shared" si="34"/>
        <v>High</v>
      </c>
      <c r="I537" s="1" t="str">
        <f t="shared" si="35"/>
        <v>Other</v>
      </c>
      <c r="J537" s="1">
        <f t="shared" si="36"/>
        <v>541606.33000000019</v>
      </c>
    </row>
    <row r="538" spans="1:10" ht="12.75">
      <c r="A538" s="1" t="s">
        <v>25</v>
      </c>
      <c r="B538" s="1" t="s">
        <v>5</v>
      </c>
      <c r="C538" s="1" t="s">
        <v>100</v>
      </c>
      <c r="D538" s="2">
        <v>44796</v>
      </c>
      <c r="E538" s="1" t="s">
        <v>524</v>
      </c>
      <c r="F538" s="5">
        <f t="shared" si="33"/>
        <v>6342</v>
      </c>
      <c r="G538" s="1">
        <v>178</v>
      </c>
      <c r="H538" s="1" t="str">
        <f t="shared" si="34"/>
        <v>High</v>
      </c>
      <c r="I538" s="1" t="str">
        <f t="shared" si="35"/>
        <v>Other</v>
      </c>
      <c r="J538" s="1">
        <f t="shared" si="36"/>
        <v>541606.33000000019</v>
      </c>
    </row>
    <row r="539" spans="1:10" ht="12.75">
      <c r="A539" s="1" t="s">
        <v>23</v>
      </c>
      <c r="B539" s="1" t="s">
        <v>42</v>
      </c>
      <c r="C539" s="1" t="s">
        <v>76</v>
      </c>
      <c r="D539" s="2">
        <v>44694</v>
      </c>
      <c r="E539" s="1" t="s">
        <v>525</v>
      </c>
      <c r="F539" s="5">
        <f t="shared" si="33"/>
        <v>6510</v>
      </c>
      <c r="G539" s="1">
        <v>170</v>
      </c>
      <c r="H539" s="1" t="str">
        <f t="shared" si="34"/>
        <v>High</v>
      </c>
      <c r="I539" s="1" t="str">
        <f t="shared" si="35"/>
        <v>Other</v>
      </c>
      <c r="J539" s="1">
        <f t="shared" si="36"/>
        <v>541606.33000000019</v>
      </c>
    </row>
    <row r="540" spans="1:10" ht="12.75">
      <c r="A540" s="1" t="s">
        <v>18</v>
      </c>
      <c r="B540" s="1" t="s">
        <v>59</v>
      </c>
      <c r="C540" s="1" t="s">
        <v>86</v>
      </c>
      <c r="D540" s="2">
        <v>44593</v>
      </c>
      <c r="E540" s="1" t="s">
        <v>526</v>
      </c>
      <c r="F540" s="5">
        <f t="shared" si="33"/>
        <v>10171</v>
      </c>
      <c r="G540" s="1">
        <v>67</v>
      </c>
      <c r="H540" s="1" t="str">
        <f t="shared" si="34"/>
        <v>High</v>
      </c>
      <c r="I540" s="1" t="str">
        <f t="shared" si="35"/>
        <v>Other</v>
      </c>
      <c r="J540" s="1">
        <f t="shared" si="36"/>
        <v>541606.33000000019</v>
      </c>
    </row>
    <row r="541" spans="1:10" ht="12.75">
      <c r="A541" s="1" t="s">
        <v>25</v>
      </c>
      <c r="B541" s="1" t="s">
        <v>59</v>
      </c>
      <c r="C541" s="1" t="s">
        <v>55</v>
      </c>
      <c r="D541" s="2">
        <v>44735</v>
      </c>
      <c r="E541" s="1" t="s">
        <v>527</v>
      </c>
      <c r="F541" s="5">
        <f t="shared" si="33"/>
        <v>5908</v>
      </c>
      <c r="G541" s="1">
        <v>301</v>
      </c>
      <c r="H541" s="1" t="str">
        <f t="shared" si="34"/>
        <v>High</v>
      </c>
      <c r="I541" s="1" t="str">
        <f t="shared" si="35"/>
        <v>Other</v>
      </c>
      <c r="J541" s="1">
        <f t="shared" si="36"/>
        <v>541606.33000000019</v>
      </c>
    </row>
    <row r="542" spans="1:10" ht="12.75">
      <c r="A542" s="1" t="s">
        <v>9</v>
      </c>
      <c r="B542" s="1" t="s">
        <v>39</v>
      </c>
      <c r="C542" s="1" t="s">
        <v>102</v>
      </c>
      <c r="D542" s="2">
        <v>44705</v>
      </c>
      <c r="E542" s="1" t="s">
        <v>528</v>
      </c>
      <c r="F542" s="5">
        <f t="shared" si="33"/>
        <v>10164</v>
      </c>
      <c r="G542" s="1">
        <v>134</v>
      </c>
      <c r="H542" s="1" t="str">
        <f t="shared" si="34"/>
        <v>High</v>
      </c>
      <c r="I542" s="1" t="str">
        <f t="shared" si="35"/>
        <v>Other</v>
      </c>
      <c r="J542" s="1">
        <f t="shared" si="36"/>
        <v>541606.33000000019</v>
      </c>
    </row>
    <row r="543" spans="1:10" ht="12.75">
      <c r="A543" s="1" t="s">
        <v>15</v>
      </c>
      <c r="B543" s="1" t="s">
        <v>62</v>
      </c>
      <c r="C543" s="1" t="s">
        <v>40</v>
      </c>
      <c r="D543" s="2">
        <v>44652</v>
      </c>
      <c r="E543" s="1" t="s">
        <v>161</v>
      </c>
      <c r="F543" s="5">
        <f t="shared" si="33"/>
        <v>1064</v>
      </c>
      <c r="G543" s="1">
        <v>211</v>
      </c>
      <c r="H543" s="1" t="str">
        <f t="shared" si="34"/>
        <v>High</v>
      </c>
      <c r="I543" s="1" t="str">
        <f t="shared" si="35"/>
        <v>Other</v>
      </c>
      <c r="J543" s="1">
        <f t="shared" si="36"/>
        <v>541606.33000000019</v>
      </c>
    </row>
    <row r="544" spans="1:10" ht="12.75">
      <c r="A544" s="1" t="s">
        <v>25</v>
      </c>
      <c r="B544" s="1" t="s">
        <v>62</v>
      </c>
      <c r="C544" s="1" t="s">
        <v>147</v>
      </c>
      <c r="D544" s="2">
        <v>44769</v>
      </c>
      <c r="E544" s="1" t="s">
        <v>529</v>
      </c>
      <c r="F544" s="5">
        <f t="shared" si="33"/>
        <v>9716</v>
      </c>
      <c r="G544" s="1">
        <v>151</v>
      </c>
      <c r="H544" s="1" t="str">
        <f t="shared" si="34"/>
        <v>High</v>
      </c>
      <c r="I544" s="1" t="str">
        <f t="shared" si="35"/>
        <v>Other</v>
      </c>
      <c r="J544" s="1">
        <f t="shared" si="36"/>
        <v>541606.33000000019</v>
      </c>
    </row>
    <row r="545" spans="1:10" ht="12.75">
      <c r="A545" s="1" t="s">
        <v>17</v>
      </c>
      <c r="B545" s="1" t="s">
        <v>42</v>
      </c>
      <c r="C545" s="1" t="s">
        <v>45</v>
      </c>
      <c r="D545" s="2">
        <v>44588</v>
      </c>
      <c r="E545" s="1" t="s">
        <v>530</v>
      </c>
      <c r="F545" s="5">
        <f t="shared" si="33"/>
        <v>22050</v>
      </c>
      <c r="G545" s="1">
        <v>208</v>
      </c>
      <c r="H545" s="1" t="str">
        <f t="shared" si="34"/>
        <v>High</v>
      </c>
      <c r="I545" s="1" t="str">
        <f t="shared" si="35"/>
        <v>Other</v>
      </c>
      <c r="J545" s="1">
        <f t="shared" si="36"/>
        <v>541606.33000000019</v>
      </c>
    </row>
    <row r="546" spans="1:10" ht="12.75">
      <c r="A546" s="1" t="s">
        <v>15</v>
      </c>
      <c r="B546" s="1" t="s">
        <v>42</v>
      </c>
      <c r="C546" s="1" t="s">
        <v>102</v>
      </c>
      <c r="D546" s="2">
        <v>44785</v>
      </c>
      <c r="E546" s="1" t="s">
        <v>200</v>
      </c>
      <c r="F546" s="5">
        <f t="shared" si="33"/>
        <v>2541</v>
      </c>
      <c r="G546" s="1">
        <v>134</v>
      </c>
      <c r="H546" s="1" t="str">
        <f t="shared" si="34"/>
        <v>High</v>
      </c>
      <c r="I546" s="1" t="str">
        <f t="shared" si="35"/>
        <v>Other</v>
      </c>
      <c r="J546" s="1">
        <f t="shared" si="36"/>
        <v>541606.33000000019</v>
      </c>
    </row>
    <row r="547" spans="1:10" ht="12.75">
      <c r="A547" s="1" t="s">
        <v>20</v>
      </c>
      <c r="B547" s="1" t="s">
        <v>62</v>
      </c>
      <c r="C547" s="1" t="s">
        <v>91</v>
      </c>
      <c r="D547" s="2">
        <v>44593</v>
      </c>
      <c r="E547" s="1" t="s">
        <v>531</v>
      </c>
      <c r="F547" s="5">
        <f t="shared" si="33"/>
        <v>9989</v>
      </c>
      <c r="G547" s="1">
        <v>49</v>
      </c>
      <c r="H547" s="1" t="str">
        <f t="shared" si="34"/>
        <v>High</v>
      </c>
      <c r="I547" s="1" t="str">
        <f t="shared" si="35"/>
        <v>Other</v>
      </c>
      <c r="J547" s="1">
        <f t="shared" si="36"/>
        <v>541606.33000000019</v>
      </c>
    </row>
    <row r="548" spans="1:10" ht="12.75">
      <c r="A548" s="1" t="s">
        <v>19</v>
      </c>
      <c r="B548" s="1" t="s">
        <v>42</v>
      </c>
      <c r="C548" s="1" t="s">
        <v>52</v>
      </c>
      <c r="D548" s="2">
        <v>44622</v>
      </c>
      <c r="E548" s="1" t="s">
        <v>532</v>
      </c>
      <c r="F548" s="5">
        <f t="shared" si="33"/>
        <v>4739</v>
      </c>
      <c r="G548" s="1">
        <v>204</v>
      </c>
      <c r="H548" s="1" t="str">
        <f t="shared" si="34"/>
        <v>High</v>
      </c>
      <c r="I548" s="1" t="str">
        <f t="shared" si="35"/>
        <v>Other</v>
      </c>
      <c r="J548" s="1">
        <f t="shared" si="36"/>
        <v>541606.33000000019</v>
      </c>
    </row>
    <row r="549" spans="1:10" ht="12.75">
      <c r="A549" s="1" t="s">
        <v>12</v>
      </c>
      <c r="B549" s="1" t="s">
        <v>5</v>
      </c>
      <c r="C549" s="1" t="s">
        <v>51</v>
      </c>
      <c r="D549" s="2">
        <v>44742</v>
      </c>
      <c r="E549" s="1" t="s">
        <v>533</v>
      </c>
      <c r="F549" s="5">
        <f t="shared" si="33"/>
        <v>3185</v>
      </c>
      <c r="G549" s="1">
        <v>34</v>
      </c>
      <c r="H549" s="1" t="str">
        <f t="shared" si="34"/>
        <v>High</v>
      </c>
      <c r="I549" s="1" t="str">
        <f t="shared" si="35"/>
        <v>Other</v>
      </c>
      <c r="J549" s="1">
        <f t="shared" si="36"/>
        <v>541606.33000000019</v>
      </c>
    </row>
    <row r="550" spans="1:10" ht="12.75">
      <c r="A550" s="1" t="s">
        <v>21</v>
      </c>
      <c r="B550" s="1" t="s">
        <v>5</v>
      </c>
      <c r="C550" s="1" t="s">
        <v>76</v>
      </c>
      <c r="D550" s="2">
        <v>44578</v>
      </c>
      <c r="E550" s="1" t="s">
        <v>534</v>
      </c>
      <c r="F550" s="5">
        <f t="shared" si="33"/>
        <v>8225</v>
      </c>
      <c r="G550" s="1">
        <v>91</v>
      </c>
      <c r="H550" s="1" t="str">
        <f t="shared" si="34"/>
        <v>High</v>
      </c>
      <c r="I550" s="1" t="str">
        <f t="shared" si="35"/>
        <v>Other</v>
      </c>
      <c r="J550" s="1">
        <f t="shared" si="36"/>
        <v>541606.33000000019</v>
      </c>
    </row>
    <row r="551" spans="1:10" ht="12.75">
      <c r="A551" s="1" t="s">
        <v>7</v>
      </c>
      <c r="B551" s="1" t="s">
        <v>59</v>
      </c>
      <c r="C551" s="1" t="s">
        <v>72</v>
      </c>
      <c r="D551" s="2">
        <v>44749</v>
      </c>
      <c r="E551" s="1" t="s">
        <v>535</v>
      </c>
      <c r="F551" s="5">
        <f t="shared" si="33"/>
        <v>14301</v>
      </c>
      <c r="G551" s="1">
        <v>130</v>
      </c>
      <c r="H551" s="1" t="str">
        <f t="shared" si="34"/>
        <v>High</v>
      </c>
      <c r="I551" s="1" t="str">
        <f t="shared" si="35"/>
        <v>Other</v>
      </c>
      <c r="J551" s="1">
        <f t="shared" si="36"/>
        <v>541606.33000000019</v>
      </c>
    </row>
    <row r="552" spans="1:10" ht="12.75">
      <c r="A552" s="1" t="s">
        <v>2</v>
      </c>
      <c r="B552" s="1" t="s">
        <v>54</v>
      </c>
      <c r="C552" s="1" t="s">
        <v>40</v>
      </c>
      <c r="D552" s="2">
        <v>44592</v>
      </c>
      <c r="E552" s="1" t="s">
        <v>536</v>
      </c>
      <c r="F552" s="5">
        <f t="shared" si="33"/>
        <v>1316</v>
      </c>
      <c r="G552" s="1">
        <v>107</v>
      </c>
      <c r="H552" s="1" t="str">
        <f t="shared" si="34"/>
        <v>High</v>
      </c>
      <c r="I552" s="1" t="str">
        <f t="shared" si="35"/>
        <v>Other</v>
      </c>
      <c r="J552" s="1">
        <f t="shared" si="36"/>
        <v>541606.33000000019</v>
      </c>
    </row>
    <row r="553" spans="1:10" ht="12.75">
      <c r="A553" s="1" t="s">
        <v>28</v>
      </c>
      <c r="B553" s="1" t="s">
        <v>39</v>
      </c>
      <c r="C553" s="1" t="s">
        <v>51</v>
      </c>
      <c r="D553" s="2">
        <v>44783</v>
      </c>
      <c r="E553" s="1" t="s">
        <v>537</v>
      </c>
      <c r="F553" s="5">
        <f t="shared" si="33"/>
        <v>3486</v>
      </c>
      <c r="G553" s="1">
        <v>121</v>
      </c>
      <c r="H553" s="1" t="str">
        <f t="shared" si="34"/>
        <v>High</v>
      </c>
      <c r="I553" s="1" t="str">
        <f t="shared" si="35"/>
        <v>Other</v>
      </c>
      <c r="J553" s="1">
        <f t="shared" si="36"/>
        <v>540290.33000000019</v>
      </c>
    </row>
    <row r="554" spans="1:10" ht="12.75">
      <c r="A554" s="1" t="s">
        <v>28</v>
      </c>
      <c r="B554" s="1" t="s">
        <v>59</v>
      </c>
      <c r="C554" s="1" t="s">
        <v>45</v>
      </c>
      <c r="D554" s="2">
        <v>44791</v>
      </c>
      <c r="E554" s="1" t="s">
        <v>538</v>
      </c>
      <c r="F554" s="5">
        <f t="shared" si="33"/>
        <v>13930</v>
      </c>
      <c r="G554" s="1">
        <v>339</v>
      </c>
      <c r="H554" s="1" t="str">
        <f t="shared" si="34"/>
        <v>High</v>
      </c>
      <c r="I554" s="1" t="str">
        <f t="shared" si="35"/>
        <v>Other</v>
      </c>
      <c r="J554" s="1">
        <f t="shared" si="36"/>
        <v>540290.33000000019</v>
      </c>
    </row>
    <row r="555" spans="1:10" ht="12.75">
      <c r="A555" s="1" t="s">
        <v>7</v>
      </c>
      <c r="B555" s="1" t="s">
        <v>54</v>
      </c>
      <c r="C555" s="1" t="s">
        <v>84</v>
      </c>
      <c r="D555" s="2">
        <v>44727</v>
      </c>
      <c r="E555" s="1" t="s">
        <v>404</v>
      </c>
      <c r="F555" s="5">
        <f t="shared" si="33"/>
        <v>5509</v>
      </c>
      <c r="G555" s="1">
        <v>321</v>
      </c>
      <c r="H555" s="1" t="str">
        <f t="shared" si="34"/>
        <v>High</v>
      </c>
      <c r="I555" s="1" t="str">
        <f t="shared" si="35"/>
        <v>Other</v>
      </c>
      <c r="J555" s="1">
        <f t="shared" si="36"/>
        <v>540290.33000000019</v>
      </c>
    </row>
    <row r="556" spans="1:10" ht="12.75">
      <c r="A556" s="1" t="s">
        <v>14</v>
      </c>
      <c r="B556" s="1" t="s">
        <v>59</v>
      </c>
      <c r="C556" s="1" t="s">
        <v>122</v>
      </c>
      <c r="D556" s="2">
        <v>44587</v>
      </c>
      <c r="E556" s="1" t="s">
        <v>539</v>
      </c>
      <c r="F556" s="5">
        <f t="shared" si="33"/>
        <v>8470</v>
      </c>
      <c r="G556" s="1">
        <v>9</v>
      </c>
      <c r="H556" s="1" t="str">
        <f t="shared" si="34"/>
        <v>High</v>
      </c>
      <c r="I556" s="1" t="str">
        <f t="shared" si="35"/>
        <v>Other</v>
      </c>
      <c r="J556" s="1">
        <f t="shared" si="36"/>
        <v>540290.33000000019</v>
      </c>
    </row>
    <row r="557" spans="1:10" ht="12.75">
      <c r="A557" s="1" t="s">
        <v>12</v>
      </c>
      <c r="B557" s="1" t="s">
        <v>59</v>
      </c>
      <c r="C557" s="1" t="s">
        <v>76</v>
      </c>
      <c r="D557" s="2">
        <v>44680</v>
      </c>
      <c r="E557" s="1" t="s">
        <v>540</v>
      </c>
      <c r="F557" s="5">
        <f t="shared" si="33"/>
        <v>77</v>
      </c>
      <c r="G557" s="1">
        <v>69</v>
      </c>
      <c r="H557" s="1" t="str">
        <f t="shared" si="34"/>
        <v>Low</v>
      </c>
      <c r="I557" s="1" t="str">
        <f t="shared" si="35"/>
        <v>Other</v>
      </c>
      <c r="J557" s="1">
        <f t="shared" si="36"/>
        <v>540290.33000000019</v>
      </c>
    </row>
    <row r="558" spans="1:10" ht="12.75">
      <c r="A558" s="1" t="s">
        <v>2</v>
      </c>
      <c r="B558" s="1" t="s">
        <v>62</v>
      </c>
      <c r="C558" s="1" t="s">
        <v>84</v>
      </c>
      <c r="D558" s="2">
        <v>44623</v>
      </c>
      <c r="E558" s="1" t="s">
        <v>541</v>
      </c>
      <c r="F558" s="5">
        <f t="shared" si="33"/>
        <v>3381</v>
      </c>
      <c r="G558" s="1">
        <v>72</v>
      </c>
      <c r="H558" s="1" t="str">
        <f t="shared" si="34"/>
        <v>High</v>
      </c>
      <c r="I558" s="1" t="str">
        <f t="shared" si="35"/>
        <v>Other</v>
      </c>
      <c r="J558" s="1">
        <f t="shared" si="36"/>
        <v>540290.33000000019</v>
      </c>
    </row>
    <row r="559" spans="1:10" ht="12.75">
      <c r="A559" s="1" t="s">
        <v>8</v>
      </c>
      <c r="B559" s="1" t="s">
        <v>5</v>
      </c>
      <c r="C559" s="1" t="s">
        <v>91</v>
      </c>
      <c r="D559" s="2">
        <v>44614</v>
      </c>
      <c r="E559" s="1" t="s">
        <v>542</v>
      </c>
      <c r="F559" s="5">
        <f t="shared" si="33"/>
        <v>4102</v>
      </c>
      <c r="G559" s="1">
        <v>392</v>
      </c>
      <c r="H559" s="1" t="str">
        <f t="shared" si="34"/>
        <v>High</v>
      </c>
      <c r="I559" s="1" t="str">
        <f t="shared" si="35"/>
        <v>Other</v>
      </c>
      <c r="J559" s="1">
        <f t="shared" si="36"/>
        <v>536909.33000000019</v>
      </c>
    </row>
    <row r="560" spans="1:10" ht="12.75">
      <c r="A560" s="1" t="s">
        <v>22</v>
      </c>
      <c r="B560" s="1" t="s">
        <v>59</v>
      </c>
      <c r="C560" s="1" t="s">
        <v>49</v>
      </c>
      <c r="D560" s="2">
        <v>44624</v>
      </c>
      <c r="E560" s="1" t="s">
        <v>416</v>
      </c>
      <c r="F560" s="5">
        <f t="shared" si="33"/>
        <v>3577</v>
      </c>
      <c r="G560" s="1">
        <v>158</v>
      </c>
      <c r="H560" s="1" t="str">
        <f t="shared" si="34"/>
        <v>High</v>
      </c>
      <c r="I560" s="1" t="str">
        <f t="shared" si="35"/>
        <v>Other</v>
      </c>
      <c r="J560" s="1">
        <f t="shared" si="36"/>
        <v>536909.33000000019</v>
      </c>
    </row>
    <row r="561" spans="1:10" ht="12.75">
      <c r="A561" s="1" t="s">
        <v>6</v>
      </c>
      <c r="B561" s="1" t="s">
        <v>42</v>
      </c>
      <c r="C561" s="1" t="s">
        <v>49</v>
      </c>
      <c r="D561" s="2">
        <v>44749</v>
      </c>
      <c r="E561" s="1" t="s">
        <v>543</v>
      </c>
      <c r="F561" s="5">
        <f t="shared" si="33"/>
        <v>2975</v>
      </c>
      <c r="G561" s="1">
        <v>9</v>
      </c>
      <c r="H561" s="1" t="str">
        <f t="shared" si="34"/>
        <v>High</v>
      </c>
      <c r="I561" s="1" t="str">
        <f t="shared" si="35"/>
        <v>Other</v>
      </c>
      <c r="J561" s="1">
        <f t="shared" si="36"/>
        <v>536909.33000000019</v>
      </c>
    </row>
    <row r="562" spans="1:10" ht="12.75">
      <c r="A562" s="1" t="s">
        <v>25</v>
      </c>
      <c r="B562" s="1" t="s">
        <v>54</v>
      </c>
      <c r="C562" s="1" t="s">
        <v>126</v>
      </c>
      <c r="D562" s="2">
        <v>44729</v>
      </c>
      <c r="E562" s="1" t="s">
        <v>544</v>
      </c>
      <c r="F562" s="5">
        <f t="shared" si="33"/>
        <v>4137</v>
      </c>
      <c r="G562" s="1">
        <v>347</v>
      </c>
      <c r="H562" s="1" t="str">
        <f t="shared" si="34"/>
        <v>High</v>
      </c>
      <c r="I562" s="1" t="str">
        <f t="shared" si="35"/>
        <v>Other</v>
      </c>
      <c r="J562" s="1">
        <f t="shared" si="36"/>
        <v>536909.33000000019</v>
      </c>
    </row>
    <row r="563" spans="1:10" ht="12.75">
      <c r="A563" s="1" t="s">
        <v>15</v>
      </c>
      <c r="B563" s="1" t="s">
        <v>62</v>
      </c>
      <c r="C563" s="1" t="s">
        <v>126</v>
      </c>
      <c r="D563" s="2">
        <v>44775</v>
      </c>
      <c r="E563" s="1" t="s">
        <v>545</v>
      </c>
      <c r="F563" s="5">
        <f t="shared" si="33"/>
        <v>9541</v>
      </c>
      <c r="G563" s="1">
        <v>114</v>
      </c>
      <c r="H563" s="1" t="str">
        <f t="shared" si="34"/>
        <v>High</v>
      </c>
      <c r="I563" s="1" t="str">
        <f t="shared" si="35"/>
        <v>Other</v>
      </c>
      <c r="J563" s="1">
        <f t="shared" si="36"/>
        <v>536909.33000000019</v>
      </c>
    </row>
    <row r="564" spans="1:10" ht="12.75">
      <c r="A564" s="1" t="s">
        <v>22</v>
      </c>
      <c r="B564" s="1" t="s">
        <v>59</v>
      </c>
      <c r="C564" s="1" t="s">
        <v>122</v>
      </c>
      <c r="D564" s="2">
        <v>44785</v>
      </c>
      <c r="E564" s="1" t="s">
        <v>145</v>
      </c>
      <c r="F564" s="5">
        <f t="shared" si="33"/>
        <v>8001</v>
      </c>
      <c r="G564" s="1">
        <v>120</v>
      </c>
      <c r="H564" s="1" t="str">
        <f t="shared" si="34"/>
        <v>High</v>
      </c>
      <c r="I564" s="1" t="str">
        <f t="shared" si="35"/>
        <v>Other</v>
      </c>
      <c r="J564" s="1">
        <f t="shared" si="36"/>
        <v>536909.33000000019</v>
      </c>
    </row>
    <row r="565" spans="1:10" ht="12.75">
      <c r="A565" s="1" t="s">
        <v>9</v>
      </c>
      <c r="B565" s="1" t="s">
        <v>54</v>
      </c>
      <c r="C565" s="1" t="s">
        <v>45</v>
      </c>
      <c r="D565" s="2">
        <v>44589</v>
      </c>
      <c r="E565" s="1" t="s">
        <v>546</v>
      </c>
      <c r="F565" s="5">
        <f t="shared" si="33"/>
        <v>5152</v>
      </c>
      <c r="G565" s="1">
        <v>333</v>
      </c>
      <c r="H565" s="1" t="str">
        <f t="shared" si="34"/>
        <v>High</v>
      </c>
      <c r="I565" s="1" t="str">
        <f t="shared" si="35"/>
        <v>Other</v>
      </c>
      <c r="J565" s="1">
        <f t="shared" si="36"/>
        <v>536909.33000000019</v>
      </c>
    </row>
    <row r="566" spans="1:10" ht="12.75">
      <c r="A566" s="1" t="s">
        <v>12</v>
      </c>
      <c r="B566" s="1" t="s">
        <v>5</v>
      </c>
      <c r="C566" s="1" t="s">
        <v>60</v>
      </c>
      <c r="D566" s="2">
        <v>44680</v>
      </c>
      <c r="E566" s="1" t="s">
        <v>547</v>
      </c>
      <c r="F566" s="5">
        <f t="shared" si="33"/>
        <v>11116</v>
      </c>
      <c r="G566" s="1">
        <v>432</v>
      </c>
      <c r="H566" s="1" t="str">
        <f t="shared" si="34"/>
        <v>High</v>
      </c>
      <c r="I566" s="1" t="str">
        <f t="shared" si="35"/>
        <v>Other</v>
      </c>
      <c r="J566" s="1">
        <f t="shared" si="36"/>
        <v>536909.33000000019</v>
      </c>
    </row>
    <row r="567" spans="1:10" ht="12.75">
      <c r="A567" s="1" t="s">
        <v>14</v>
      </c>
      <c r="B567" s="1" t="s">
        <v>5</v>
      </c>
      <c r="C567" s="1" t="s">
        <v>86</v>
      </c>
      <c r="D567" s="2">
        <v>44656</v>
      </c>
      <c r="E567" s="1" t="s">
        <v>548</v>
      </c>
      <c r="F567" s="5">
        <f t="shared" si="33"/>
        <v>13076</v>
      </c>
      <c r="G567" s="1">
        <v>236</v>
      </c>
      <c r="H567" s="1" t="str">
        <f t="shared" si="34"/>
        <v>High</v>
      </c>
      <c r="I567" s="1" t="str">
        <f t="shared" si="35"/>
        <v>Other</v>
      </c>
      <c r="J567" s="1">
        <f t="shared" si="36"/>
        <v>536909.33000000019</v>
      </c>
    </row>
    <row r="568" spans="1:10" ht="12.75">
      <c r="A568" s="1" t="s">
        <v>8</v>
      </c>
      <c r="B568" s="1" t="s">
        <v>62</v>
      </c>
      <c r="C568" s="1" t="s">
        <v>86</v>
      </c>
      <c r="D568" s="2">
        <v>44579</v>
      </c>
      <c r="E568" s="1" t="s">
        <v>549</v>
      </c>
      <c r="F568" s="5">
        <f t="shared" si="33"/>
        <v>10213</v>
      </c>
      <c r="G568" s="1">
        <v>135</v>
      </c>
      <c r="H568" s="1" t="str">
        <f t="shared" si="34"/>
        <v>High</v>
      </c>
      <c r="I568" s="1" t="str">
        <f t="shared" si="35"/>
        <v>Other</v>
      </c>
      <c r="J568" s="1">
        <f t="shared" si="36"/>
        <v>536909.33000000019</v>
      </c>
    </row>
    <row r="569" spans="1:10" ht="12.75">
      <c r="A569" s="1" t="s">
        <v>11</v>
      </c>
      <c r="B569" s="1" t="s">
        <v>39</v>
      </c>
      <c r="C569" s="1" t="s">
        <v>122</v>
      </c>
      <c r="D569" s="2">
        <v>44697</v>
      </c>
      <c r="E569" s="1" t="s">
        <v>550</v>
      </c>
      <c r="F569" s="5">
        <f t="shared" si="33"/>
        <v>2485</v>
      </c>
      <c r="G569" s="1">
        <v>97</v>
      </c>
      <c r="H569" s="1" t="str">
        <f t="shared" si="34"/>
        <v>High</v>
      </c>
      <c r="I569" s="1" t="str">
        <f t="shared" si="35"/>
        <v>Other</v>
      </c>
      <c r="J569" s="1">
        <f t="shared" si="36"/>
        <v>536909.33000000019</v>
      </c>
    </row>
    <row r="570" spans="1:10" ht="12.75">
      <c r="A570" s="1" t="s">
        <v>12</v>
      </c>
      <c r="B570" s="1" t="s">
        <v>5</v>
      </c>
      <c r="C570" s="1" t="s">
        <v>84</v>
      </c>
      <c r="D570" s="2">
        <v>44797</v>
      </c>
      <c r="E570" s="1" t="s">
        <v>551</v>
      </c>
      <c r="F570" s="5">
        <f t="shared" si="33"/>
        <v>8715</v>
      </c>
      <c r="G570" s="1">
        <v>168</v>
      </c>
      <c r="H570" s="1" t="str">
        <f t="shared" si="34"/>
        <v>High</v>
      </c>
      <c r="I570" s="1" t="str">
        <f t="shared" si="35"/>
        <v>Other</v>
      </c>
      <c r="J570" s="1">
        <f t="shared" si="36"/>
        <v>536909.33000000019</v>
      </c>
    </row>
    <row r="571" spans="1:10" ht="12.75">
      <c r="A571" s="1" t="s">
        <v>24</v>
      </c>
      <c r="B571" s="1" t="s">
        <v>42</v>
      </c>
      <c r="C571" s="1" t="s">
        <v>43</v>
      </c>
      <c r="D571" s="2">
        <v>44579</v>
      </c>
      <c r="E571" s="1" t="s">
        <v>121</v>
      </c>
      <c r="F571" s="5">
        <f t="shared" si="33"/>
        <v>273</v>
      </c>
      <c r="G571" s="1">
        <v>402</v>
      </c>
      <c r="H571" s="1" t="str">
        <f t="shared" si="34"/>
        <v>Low</v>
      </c>
      <c r="I571" s="1" t="str">
        <f t="shared" si="35"/>
        <v>Other</v>
      </c>
      <c r="J571" s="1">
        <f t="shared" si="36"/>
        <v>536909.33000000019</v>
      </c>
    </row>
    <row r="572" spans="1:10" ht="12.75">
      <c r="A572" s="1" t="s">
        <v>8</v>
      </c>
      <c r="B572" s="1" t="s">
        <v>59</v>
      </c>
      <c r="C572" s="1" t="s">
        <v>63</v>
      </c>
      <c r="D572" s="2">
        <v>44795</v>
      </c>
      <c r="E572" s="1" t="s">
        <v>451</v>
      </c>
      <c r="F572" s="5">
        <f t="shared" si="33"/>
        <v>7623</v>
      </c>
      <c r="G572" s="1">
        <v>10</v>
      </c>
      <c r="H572" s="1" t="str">
        <f t="shared" si="34"/>
        <v>High</v>
      </c>
      <c r="I572" s="1" t="str">
        <f t="shared" si="35"/>
        <v>Other</v>
      </c>
      <c r="J572" s="1">
        <f t="shared" si="36"/>
        <v>536909.33000000019</v>
      </c>
    </row>
    <row r="573" spans="1:10" ht="12.75">
      <c r="A573" s="1" t="s">
        <v>23</v>
      </c>
      <c r="B573" s="1" t="s">
        <v>39</v>
      </c>
      <c r="C573" s="1" t="s">
        <v>51</v>
      </c>
      <c r="D573" s="2">
        <v>44627</v>
      </c>
      <c r="E573" s="1" t="s">
        <v>552</v>
      </c>
      <c r="F573" s="5">
        <f t="shared" si="33"/>
        <v>7</v>
      </c>
      <c r="G573" s="1">
        <v>84</v>
      </c>
      <c r="H573" s="1" t="str">
        <f t="shared" si="34"/>
        <v>Low</v>
      </c>
      <c r="I573" s="1" t="str">
        <f t="shared" si="35"/>
        <v>Other</v>
      </c>
      <c r="J573" s="1">
        <f t="shared" si="36"/>
        <v>536909.33000000019</v>
      </c>
    </row>
    <row r="574" spans="1:10" ht="12.75">
      <c r="A574" s="1" t="s">
        <v>28</v>
      </c>
      <c r="B574" s="1" t="s">
        <v>39</v>
      </c>
      <c r="C574" s="1" t="s">
        <v>102</v>
      </c>
      <c r="D574" s="2">
        <v>44624</v>
      </c>
      <c r="E574" s="1" t="s">
        <v>346</v>
      </c>
      <c r="F574" s="5">
        <f t="shared" si="33"/>
        <v>3010</v>
      </c>
      <c r="G574" s="1">
        <v>69</v>
      </c>
      <c r="H574" s="1" t="str">
        <f t="shared" si="34"/>
        <v>High</v>
      </c>
      <c r="I574" s="1" t="str">
        <f t="shared" si="35"/>
        <v>Other</v>
      </c>
      <c r="J574" s="1">
        <f t="shared" si="36"/>
        <v>536909.33000000019</v>
      </c>
    </row>
    <row r="575" spans="1:10" ht="12.75">
      <c r="A575" s="1" t="s">
        <v>21</v>
      </c>
      <c r="B575" s="1" t="s">
        <v>62</v>
      </c>
      <c r="C575" s="1" t="s">
        <v>86</v>
      </c>
      <c r="D575" s="2">
        <v>44673</v>
      </c>
      <c r="E575" s="1" t="s">
        <v>181</v>
      </c>
      <c r="F575" s="5">
        <f t="shared" si="33"/>
        <v>11550</v>
      </c>
      <c r="G575" s="1">
        <v>111</v>
      </c>
      <c r="H575" s="1" t="str">
        <f t="shared" si="34"/>
        <v>High</v>
      </c>
      <c r="I575" s="1" t="str">
        <f t="shared" si="35"/>
        <v>Other</v>
      </c>
      <c r="J575" s="1">
        <f t="shared" si="36"/>
        <v>536909.33000000019</v>
      </c>
    </row>
    <row r="576" spans="1:10" ht="12.75">
      <c r="A576" s="1" t="s">
        <v>8</v>
      </c>
      <c r="B576" s="1" t="s">
        <v>5</v>
      </c>
      <c r="C576" s="1" t="s">
        <v>72</v>
      </c>
      <c r="D576" s="2">
        <v>44721</v>
      </c>
      <c r="E576" s="1" t="s">
        <v>475</v>
      </c>
      <c r="F576" s="5">
        <f t="shared" si="33"/>
        <v>4046</v>
      </c>
      <c r="G576" s="1">
        <v>89</v>
      </c>
      <c r="H576" s="1" t="str">
        <f t="shared" si="34"/>
        <v>High</v>
      </c>
      <c r="I576" s="1" t="str">
        <f t="shared" si="35"/>
        <v>Other</v>
      </c>
      <c r="J576" s="1">
        <f t="shared" si="36"/>
        <v>536909.33000000019</v>
      </c>
    </row>
    <row r="577" spans="1:10" ht="12.75">
      <c r="A577" s="1" t="s">
        <v>15</v>
      </c>
      <c r="B577" s="1" t="s">
        <v>62</v>
      </c>
      <c r="C577" s="1" t="s">
        <v>81</v>
      </c>
      <c r="D577" s="2">
        <v>44767</v>
      </c>
      <c r="E577" s="1" t="s">
        <v>553</v>
      </c>
      <c r="F577" s="5">
        <f t="shared" si="33"/>
        <v>8904</v>
      </c>
      <c r="G577" s="1">
        <v>199</v>
      </c>
      <c r="H577" s="1" t="str">
        <f t="shared" si="34"/>
        <v>High</v>
      </c>
      <c r="I577" s="1" t="str">
        <f t="shared" si="35"/>
        <v>Other</v>
      </c>
      <c r="J577" s="1">
        <f t="shared" si="36"/>
        <v>536909.33000000019</v>
      </c>
    </row>
    <row r="578" spans="1:10" ht="12.75">
      <c r="A578" s="1" t="s">
        <v>15</v>
      </c>
      <c r="B578" s="1" t="s">
        <v>42</v>
      </c>
      <c r="C578" s="1" t="s">
        <v>49</v>
      </c>
      <c r="D578" s="2">
        <v>44776</v>
      </c>
      <c r="E578" s="1" t="s">
        <v>511</v>
      </c>
      <c r="F578" s="5">
        <f t="shared" ref="F578:F641" si="37">VALUE(SUBSTITUTE(E578,"$",""))</f>
        <v>11298</v>
      </c>
      <c r="G578" s="1">
        <v>89</v>
      </c>
      <c r="H578" s="1" t="str">
        <f t="shared" ref="H578:H641" si="38">IF(F578&gt;800,"High",IF(F578&gt;500,"Medium","Low"))</f>
        <v>High</v>
      </c>
      <c r="I578" s="1" t="str">
        <f t="shared" ref="I578:I641" si="39">IF(AND(B578="Australia",A578="Mallorie Waber"),"Top Local","Other")</f>
        <v>Other</v>
      </c>
      <c r="J578" s="1">
        <f t="shared" ref="J578:J641" si="40">SUMIF(A578:A3858,"Mallorie Waber",F578:F3858)</f>
        <v>536909.33000000019</v>
      </c>
    </row>
    <row r="579" spans="1:10" ht="12.75">
      <c r="A579" s="1" t="s">
        <v>19</v>
      </c>
      <c r="B579" s="1" t="s">
        <v>5</v>
      </c>
      <c r="C579" s="1" t="s">
        <v>86</v>
      </c>
      <c r="D579" s="2">
        <v>44776</v>
      </c>
      <c r="E579" s="1" t="s">
        <v>554</v>
      </c>
      <c r="F579" s="5">
        <f t="shared" si="37"/>
        <v>4396</v>
      </c>
      <c r="G579" s="1">
        <v>131</v>
      </c>
      <c r="H579" s="1" t="str">
        <f t="shared" si="38"/>
        <v>High</v>
      </c>
      <c r="I579" s="1" t="str">
        <f t="shared" si="39"/>
        <v>Other</v>
      </c>
      <c r="J579" s="1">
        <f t="shared" si="40"/>
        <v>536909.33000000019</v>
      </c>
    </row>
    <row r="580" spans="1:10" ht="12.75">
      <c r="A580" s="1" t="s">
        <v>11</v>
      </c>
      <c r="B580" s="1" t="s">
        <v>39</v>
      </c>
      <c r="C580" s="1" t="s">
        <v>72</v>
      </c>
      <c r="D580" s="2">
        <v>44684</v>
      </c>
      <c r="E580" s="1" t="s">
        <v>555</v>
      </c>
      <c r="F580" s="5">
        <f t="shared" si="37"/>
        <v>12068</v>
      </c>
      <c r="G580" s="1">
        <v>227</v>
      </c>
      <c r="H580" s="1" t="str">
        <f t="shared" si="38"/>
        <v>High</v>
      </c>
      <c r="I580" s="1" t="str">
        <f t="shared" si="39"/>
        <v>Other</v>
      </c>
      <c r="J580" s="1">
        <f t="shared" si="40"/>
        <v>536909.33000000019</v>
      </c>
    </row>
    <row r="581" spans="1:10" ht="12.75">
      <c r="A581" s="1" t="s">
        <v>13</v>
      </c>
      <c r="B581" s="1" t="s">
        <v>62</v>
      </c>
      <c r="C581" s="1" t="s">
        <v>52</v>
      </c>
      <c r="D581" s="2">
        <v>44580</v>
      </c>
      <c r="E581" s="1" t="s">
        <v>556</v>
      </c>
      <c r="F581" s="5">
        <f t="shared" si="37"/>
        <v>9772</v>
      </c>
      <c r="G581" s="1">
        <v>301</v>
      </c>
      <c r="H581" s="1" t="str">
        <f t="shared" si="38"/>
        <v>High</v>
      </c>
      <c r="I581" s="1" t="str">
        <f t="shared" si="39"/>
        <v>Other</v>
      </c>
      <c r="J581" s="1">
        <f t="shared" si="40"/>
        <v>536909.33000000019</v>
      </c>
    </row>
    <row r="582" spans="1:10" ht="12.75">
      <c r="A582" s="1" t="s">
        <v>26</v>
      </c>
      <c r="B582" s="1" t="s">
        <v>59</v>
      </c>
      <c r="C582" s="1" t="s">
        <v>55</v>
      </c>
      <c r="D582" s="2">
        <v>44603</v>
      </c>
      <c r="E582" s="1" t="s">
        <v>557</v>
      </c>
      <c r="F582" s="5">
        <f t="shared" si="37"/>
        <v>10458</v>
      </c>
      <c r="G582" s="1">
        <v>316</v>
      </c>
      <c r="H582" s="1" t="str">
        <f t="shared" si="38"/>
        <v>High</v>
      </c>
      <c r="I582" s="1" t="str">
        <f t="shared" si="39"/>
        <v>Other</v>
      </c>
      <c r="J582" s="1">
        <f t="shared" si="40"/>
        <v>536909.33000000019</v>
      </c>
    </row>
    <row r="583" spans="1:10" ht="12.75">
      <c r="A583" s="1" t="s">
        <v>10</v>
      </c>
      <c r="B583" s="1" t="s">
        <v>42</v>
      </c>
      <c r="C583" s="1" t="s">
        <v>91</v>
      </c>
      <c r="D583" s="2">
        <v>44726</v>
      </c>
      <c r="E583" s="1" t="s">
        <v>558</v>
      </c>
      <c r="F583" s="5">
        <f t="shared" si="37"/>
        <v>6426</v>
      </c>
      <c r="G583" s="1">
        <v>390</v>
      </c>
      <c r="H583" s="1" t="str">
        <f t="shared" si="38"/>
        <v>High</v>
      </c>
      <c r="I583" s="1" t="str">
        <f t="shared" si="39"/>
        <v>Other</v>
      </c>
      <c r="J583" s="1">
        <f t="shared" si="40"/>
        <v>536909.33000000019</v>
      </c>
    </row>
    <row r="584" spans="1:10" ht="12.75">
      <c r="A584" s="1" t="s">
        <v>12</v>
      </c>
      <c r="B584" s="1" t="s">
        <v>59</v>
      </c>
      <c r="C584" s="1" t="s">
        <v>55</v>
      </c>
      <c r="D584" s="2">
        <v>44643</v>
      </c>
      <c r="E584" s="1" t="s">
        <v>153</v>
      </c>
      <c r="F584" s="5">
        <f t="shared" si="37"/>
        <v>6188</v>
      </c>
      <c r="G584" s="1">
        <v>223</v>
      </c>
      <c r="H584" s="1" t="str">
        <f t="shared" si="38"/>
        <v>High</v>
      </c>
      <c r="I584" s="1" t="str">
        <f t="shared" si="39"/>
        <v>Other</v>
      </c>
      <c r="J584" s="1">
        <f t="shared" si="40"/>
        <v>536909.33000000019</v>
      </c>
    </row>
    <row r="585" spans="1:10" ht="12.75">
      <c r="A585" s="1" t="s">
        <v>9</v>
      </c>
      <c r="B585" s="1" t="s">
        <v>62</v>
      </c>
      <c r="C585" s="1" t="s">
        <v>43</v>
      </c>
      <c r="D585" s="2">
        <v>44609</v>
      </c>
      <c r="E585" s="1" t="s">
        <v>559</v>
      </c>
      <c r="F585" s="5">
        <f t="shared" si="37"/>
        <v>7504</v>
      </c>
      <c r="G585" s="1">
        <v>101</v>
      </c>
      <c r="H585" s="1" t="str">
        <f t="shared" si="38"/>
        <v>High</v>
      </c>
      <c r="I585" s="1" t="str">
        <f t="shared" si="39"/>
        <v>Other</v>
      </c>
      <c r="J585" s="1">
        <f t="shared" si="40"/>
        <v>536909.33000000019</v>
      </c>
    </row>
    <row r="586" spans="1:10" ht="12.75">
      <c r="A586" s="1" t="s">
        <v>6</v>
      </c>
      <c r="B586" s="1" t="s">
        <v>62</v>
      </c>
      <c r="C586" s="1" t="s">
        <v>49</v>
      </c>
      <c r="D586" s="2">
        <v>44637</v>
      </c>
      <c r="E586" s="1" t="s">
        <v>484</v>
      </c>
      <c r="F586" s="5">
        <f t="shared" si="37"/>
        <v>1750</v>
      </c>
      <c r="G586" s="1">
        <v>479</v>
      </c>
      <c r="H586" s="1" t="str">
        <f t="shared" si="38"/>
        <v>High</v>
      </c>
      <c r="I586" s="1" t="str">
        <f t="shared" si="39"/>
        <v>Other</v>
      </c>
      <c r="J586" s="1">
        <f t="shared" si="40"/>
        <v>536909.33000000019</v>
      </c>
    </row>
    <row r="587" spans="1:10" ht="12.75">
      <c r="A587" s="1" t="s">
        <v>2</v>
      </c>
      <c r="B587" s="1" t="s">
        <v>5</v>
      </c>
      <c r="C587" s="1" t="s">
        <v>76</v>
      </c>
      <c r="D587" s="2">
        <v>44741</v>
      </c>
      <c r="E587" s="1" t="s">
        <v>560</v>
      </c>
      <c r="F587" s="5">
        <f t="shared" si="37"/>
        <v>5439</v>
      </c>
      <c r="G587" s="1">
        <v>287</v>
      </c>
      <c r="H587" s="1" t="str">
        <f t="shared" si="38"/>
        <v>High</v>
      </c>
      <c r="I587" s="1" t="str">
        <f t="shared" si="39"/>
        <v>Top Local</v>
      </c>
      <c r="J587" s="1">
        <f t="shared" si="40"/>
        <v>536909.33000000019</v>
      </c>
    </row>
    <row r="588" spans="1:10" ht="12.75">
      <c r="A588" s="1" t="s">
        <v>17</v>
      </c>
      <c r="B588" s="1" t="s">
        <v>62</v>
      </c>
      <c r="C588" s="1" t="s">
        <v>102</v>
      </c>
      <c r="D588" s="2">
        <v>44797</v>
      </c>
      <c r="E588" s="1" t="s">
        <v>561</v>
      </c>
      <c r="F588" s="5">
        <f t="shared" si="37"/>
        <v>15547</v>
      </c>
      <c r="G588" s="1">
        <v>269</v>
      </c>
      <c r="H588" s="1" t="str">
        <f t="shared" si="38"/>
        <v>High</v>
      </c>
      <c r="I588" s="1" t="str">
        <f t="shared" si="39"/>
        <v>Other</v>
      </c>
      <c r="J588" s="1">
        <f t="shared" si="40"/>
        <v>531470.33000000019</v>
      </c>
    </row>
    <row r="589" spans="1:10" ht="12.75">
      <c r="A589" s="1" t="s">
        <v>20</v>
      </c>
      <c r="B589" s="1" t="s">
        <v>62</v>
      </c>
      <c r="C589" s="1" t="s">
        <v>76</v>
      </c>
      <c r="D589" s="2">
        <v>44746</v>
      </c>
      <c r="E589" s="1" t="s">
        <v>562</v>
      </c>
      <c r="F589" s="5">
        <f t="shared" si="37"/>
        <v>11956</v>
      </c>
      <c r="G589" s="1">
        <v>277</v>
      </c>
      <c r="H589" s="1" t="str">
        <f t="shared" si="38"/>
        <v>High</v>
      </c>
      <c r="I589" s="1" t="str">
        <f t="shared" si="39"/>
        <v>Other</v>
      </c>
      <c r="J589" s="1">
        <f t="shared" si="40"/>
        <v>531470.33000000019</v>
      </c>
    </row>
    <row r="590" spans="1:10" ht="12.75">
      <c r="A590" s="1" t="s">
        <v>26</v>
      </c>
      <c r="B590" s="1" t="s">
        <v>54</v>
      </c>
      <c r="C590" s="1" t="s">
        <v>91</v>
      </c>
      <c r="D590" s="2">
        <v>44648</v>
      </c>
      <c r="E590" s="1" t="s">
        <v>563</v>
      </c>
      <c r="F590" s="5">
        <f t="shared" si="37"/>
        <v>2723</v>
      </c>
      <c r="G590" s="1">
        <v>67</v>
      </c>
      <c r="H590" s="1" t="str">
        <f t="shared" si="38"/>
        <v>High</v>
      </c>
      <c r="I590" s="1" t="str">
        <f t="shared" si="39"/>
        <v>Other</v>
      </c>
      <c r="J590" s="1">
        <f t="shared" si="40"/>
        <v>531470.33000000019</v>
      </c>
    </row>
    <row r="591" spans="1:10" ht="12.75">
      <c r="A591" s="1" t="s">
        <v>24</v>
      </c>
      <c r="B591" s="1" t="s">
        <v>42</v>
      </c>
      <c r="C591" s="1" t="s">
        <v>49</v>
      </c>
      <c r="D591" s="2">
        <v>44670</v>
      </c>
      <c r="E591" s="1" t="s">
        <v>564</v>
      </c>
      <c r="F591" s="5">
        <f t="shared" si="37"/>
        <v>19327</v>
      </c>
      <c r="G591" s="1">
        <v>135</v>
      </c>
      <c r="H591" s="1" t="str">
        <f t="shared" si="38"/>
        <v>High</v>
      </c>
      <c r="I591" s="1" t="str">
        <f t="shared" si="39"/>
        <v>Other</v>
      </c>
      <c r="J591" s="1">
        <f t="shared" si="40"/>
        <v>531470.33000000019</v>
      </c>
    </row>
    <row r="592" spans="1:10" ht="12.75">
      <c r="A592" s="1" t="s">
        <v>17</v>
      </c>
      <c r="B592" s="1" t="s">
        <v>54</v>
      </c>
      <c r="C592" s="1" t="s">
        <v>40</v>
      </c>
      <c r="D592" s="2">
        <v>44579</v>
      </c>
      <c r="E592" s="1" t="s">
        <v>223</v>
      </c>
      <c r="F592" s="5">
        <f t="shared" si="37"/>
        <v>9058</v>
      </c>
      <c r="G592" s="1">
        <v>229</v>
      </c>
      <c r="H592" s="1" t="str">
        <f t="shared" si="38"/>
        <v>High</v>
      </c>
      <c r="I592" s="1" t="str">
        <f t="shared" si="39"/>
        <v>Other</v>
      </c>
      <c r="J592" s="1">
        <f t="shared" si="40"/>
        <v>531470.33000000019</v>
      </c>
    </row>
    <row r="593" spans="1:10" ht="12.75">
      <c r="A593" s="1" t="s">
        <v>10</v>
      </c>
      <c r="B593" s="1" t="s">
        <v>54</v>
      </c>
      <c r="C593" s="1" t="s">
        <v>81</v>
      </c>
      <c r="D593" s="2">
        <v>44578</v>
      </c>
      <c r="E593" s="1" t="s">
        <v>402</v>
      </c>
      <c r="F593" s="5">
        <f t="shared" si="37"/>
        <v>2996</v>
      </c>
      <c r="G593" s="1">
        <v>88</v>
      </c>
      <c r="H593" s="1" t="str">
        <f t="shared" si="38"/>
        <v>High</v>
      </c>
      <c r="I593" s="1" t="str">
        <f t="shared" si="39"/>
        <v>Other</v>
      </c>
      <c r="J593" s="1">
        <f t="shared" si="40"/>
        <v>531470.33000000019</v>
      </c>
    </row>
    <row r="594" spans="1:10" ht="12.75">
      <c r="A594" s="1" t="s">
        <v>27</v>
      </c>
      <c r="B594" s="1" t="s">
        <v>54</v>
      </c>
      <c r="C594" s="1" t="s">
        <v>40</v>
      </c>
      <c r="D594" s="2">
        <v>44607</v>
      </c>
      <c r="E594" s="1" t="s">
        <v>565</v>
      </c>
      <c r="F594" s="5">
        <f t="shared" si="37"/>
        <v>8848</v>
      </c>
      <c r="G594" s="1">
        <v>211</v>
      </c>
      <c r="H594" s="1" t="str">
        <f t="shared" si="38"/>
        <v>High</v>
      </c>
      <c r="I594" s="1" t="str">
        <f t="shared" si="39"/>
        <v>Other</v>
      </c>
      <c r="J594" s="1">
        <f t="shared" si="40"/>
        <v>531470.33000000019</v>
      </c>
    </row>
    <row r="595" spans="1:10" ht="12.75">
      <c r="A595" s="1" t="s">
        <v>27</v>
      </c>
      <c r="B595" s="1" t="s">
        <v>39</v>
      </c>
      <c r="C595" s="1" t="s">
        <v>72</v>
      </c>
      <c r="D595" s="2">
        <v>44603</v>
      </c>
      <c r="E595" s="1" t="s">
        <v>566</v>
      </c>
      <c r="F595" s="5">
        <f t="shared" si="37"/>
        <v>14336</v>
      </c>
      <c r="G595" s="1">
        <v>293</v>
      </c>
      <c r="H595" s="1" t="str">
        <f t="shared" si="38"/>
        <v>High</v>
      </c>
      <c r="I595" s="1" t="str">
        <f t="shared" si="39"/>
        <v>Other</v>
      </c>
      <c r="J595" s="1">
        <f t="shared" si="40"/>
        <v>531470.33000000019</v>
      </c>
    </row>
    <row r="596" spans="1:10" ht="12.75">
      <c r="A596" s="1" t="s">
        <v>25</v>
      </c>
      <c r="B596" s="1" t="s">
        <v>59</v>
      </c>
      <c r="C596" s="1" t="s">
        <v>86</v>
      </c>
      <c r="D596" s="2">
        <v>44641</v>
      </c>
      <c r="E596" s="1" t="s">
        <v>567</v>
      </c>
      <c r="F596" s="5">
        <f t="shared" si="37"/>
        <v>16401</v>
      </c>
      <c r="G596" s="1">
        <v>179</v>
      </c>
      <c r="H596" s="1" t="str">
        <f t="shared" si="38"/>
        <v>High</v>
      </c>
      <c r="I596" s="1" t="str">
        <f t="shared" si="39"/>
        <v>Other</v>
      </c>
      <c r="J596" s="1">
        <f t="shared" si="40"/>
        <v>531470.33000000019</v>
      </c>
    </row>
    <row r="597" spans="1:10" ht="12.75">
      <c r="A597" s="1" t="s">
        <v>23</v>
      </c>
      <c r="B597" s="1" t="s">
        <v>54</v>
      </c>
      <c r="C597" s="1" t="s">
        <v>91</v>
      </c>
      <c r="D597" s="2">
        <v>44566</v>
      </c>
      <c r="E597" s="1" t="s">
        <v>568</v>
      </c>
      <c r="F597" s="5">
        <f t="shared" si="37"/>
        <v>5173</v>
      </c>
      <c r="G597" s="1">
        <v>129</v>
      </c>
      <c r="H597" s="1" t="str">
        <f t="shared" si="38"/>
        <v>High</v>
      </c>
      <c r="I597" s="1" t="str">
        <f t="shared" si="39"/>
        <v>Other</v>
      </c>
      <c r="J597" s="1">
        <f t="shared" si="40"/>
        <v>531470.33000000019</v>
      </c>
    </row>
    <row r="598" spans="1:10" ht="12.75">
      <c r="A598" s="1" t="s">
        <v>7</v>
      </c>
      <c r="B598" s="1" t="s">
        <v>42</v>
      </c>
      <c r="C598" s="1" t="s">
        <v>100</v>
      </c>
      <c r="D598" s="2">
        <v>44711</v>
      </c>
      <c r="E598" s="1" t="s">
        <v>328</v>
      </c>
      <c r="F598" s="5">
        <f t="shared" si="37"/>
        <v>6328</v>
      </c>
      <c r="G598" s="1">
        <v>164</v>
      </c>
      <c r="H598" s="1" t="str">
        <f t="shared" si="38"/>
        <v>High</v>
      </c>
      <c r="I598" s="1" t="str">
        <f t="shared" si="39"/>
        <v>Other</v>
      </c>
      <c r="J598" s="1">
        <f t="shared" si="40"/>
        <v>531470.33000000019</v>
      </c>
    </row>
    <row r="599" spans="1:10" ht="12.75">
      <c r="A599" s="1" t="s">
        <v>11</v>
      </c>
      <c r="B599" s="1" t="s">
        <v>59</v>
      </c>
      <c r="C599" s="1" t="s">
        <v>51</v>
      </c>
      <c r="D599" s="2">
        <v>44565</v>
      </c>
      <c r="E599" s="1" t="s">
        <v>569</v>
      </c>
      <c r="F599" s="5">
        <f t="shared" si="37"/>
        <v>2534</v>
      </c>
      <c r="G599" s="1">
        <v>219</v>
      </c>
      <c r="H599" s="1" t="str">
        <f t="shared" si="38"/>
        <v>High</v>
      </c>
      <c r="I599" s="1" t="str">
        <f t="shared" si="39"/>
        <v>Other</v>
      </c>
      <c r="J599" s="1">
        <f t="shared" si="40"/>
        <v>531470.33000000019</v>
      </c>
    </row>
    <row r="600" spans="1:10" ht="12.75">
      <c r="A600" s="1" t="s">
        <v>28</v>
      </c>
      <c r="B600" s="1" t="s">
        <v>5</v>
      </c>
      <c r="C600" s="1" t="s">
        <v>81</v>
      </c>
      <c r="D600" s="2">
        <v>44673</v>
      </c>
      <c r="E600" s="1" t="s">
        <v>504</v>
      </c>
      <c r="F600" s="5">
        <f t="shared" si="37"/>
        <v>1435</v>
      </c>
      <c r="G600" s="1">
        <v>258</v>
      </c>
      <c r="H600" s="1" t="str">
        <f t="shared" si="38"/>
        <v>High</v>
      </c>
      <c r="I600" s="1" t="str">
        <f t="shared" si="39"/>
        <v>Other</v>
      </c>
      <c r="J600" s="1">
        <f t="shared" si="40"/>
        <v>531470.33000000019</v>
      </c>
    </row>
    <row r="601" spans="1:10" ht="12.75">
      <c r="A601" s="1" t="s">
        <v>20</v>
      </c>
      <c r="B601" s="1" t="s">
        <v>62</v>
      </c>
      <c r="C601" s="1" t="s">
        <v>72</v>
      </c>
      <c r="D601" s="2">
        <v>44602</v>
      </c>
      <c r="E601" s="1" t="s">
        <v>216</v>
      </c>
      <c r="F601" s="5">
        <f t="shared" si="37"/>
        <v>3052</v>
      </c>
      <c r="G601" s="1">
        <v>116</v>
      </c>
      <c r="H601" s="1" t="str">
        <f t="shared" si="38"/>
        <v>High</v>
      </c>
      <c r="I601" s="1" t="str">
        <f t="shared" si="39"/>
        <v>Other</v>
      </c>
      <c r="J601" s="1">
        <f t="shared" si="40"/>
        <v>531470.33000000019</v>
      </c>
    </row>
    <row r="602" spans="1:10" ht="12.75">
      <c r="A602" s="1" t="s">
        <v>21</v>
      </c>
      <c r="B602" s="1" t="s">
        <v>42</v>
      </c>
      <c r="C602" s="1" t="s">
        <v>76</v>
      </c>
      <c r="D602" s="2">
        <v>44785</v>
      </c>
      <c r="E602" s="1" t="s">
        <v>570</v>
      </c>
      <c r="F602" s="5">
        <f t="shared" si="37"/>
        <v>910</v>
      </c>
      <c r="G602" s="1">
        <v>204</v>
      </c>
      <c r="H602" s="1" t="str">
        <f t="shared" si="38"/>
        <v>High</v>
      </c>
      <c r="I602" s="1" t="str">
        <f t="shared" si="39"/>
        <v>Other</v>
      </c>
      <c r="J602" s="1">
        <f t="shared" si="40"/>
        <v>531470.33000000019</v>
      </c>
    </row>
    <row r="603" spans="1:10" ht="12.75">
      <c r="A603" s="1" t="s">
        <v>23</v>
      </c>
      <c r="B603" s="1" t="s">
        <v>59</v>
      </c>
      <c r="C603" s="1" t="s">
        <v>68</v>
      </c>
      <c r="D603" s="2">
        <v>44783</v>
      </c>
      <c r="E603" s="1" t="s">
        <v>571</v>
      </c>
      <c r="F603" s="5">
        <f t="shared" si="37"/>
        <v>2331</v>
      </c>
      <c r="G603" s="1">
        <v>321</v>
      </c>
      <c r="H603" s="1" t="str">
        <f t="shared" si="38"/>
        <v>High</v>
      </c>
      <c r="I603" s="1" t="str">
        <f t="shared" si="39"/>
        <v>Other</v>
      </c>
      <c r="J603" s="1">
        <f t="shared" si="40"/>
        <v>531470.33000000019</v>
      </c>
    </row>
    <row r="604" spans="1:10" ht="12.75">
      <c r="A604" s="1" t="s">
        <v>12</v>
      </c>
      <c r="B604" s="1" t="s">
        <v>5</v>
      </c>
      <c r="C604" s="1" t="s">
        <v>100</v>
      </c>
      <c r="D604" s="2">
        <v>44719</v>
      </c>
      <c r="E604" s="1" t="s">
        <v>418</v>
      </c>
      <c r="F604" s="5">
        <f t="shared" si="37"/>
        <v>679</v>
      </c>
      <c r="G604" s="1">
        <v>56</v>
      </c>
      <c r="H604" s="1" t="str">
        <f t="shared" si="38"/>
        <v>Medium</v>
      </c>
      <c r="I604" s="1" t="str">
        <f t="shared" si="39"/>
        <v>Other</v>
      </c>
      <c r="J604" s="1">
        <f t="shared" si="40"/>
        <v>531470.33000000019</v>
      </c>
    </row>
    <row r="605" spans="1:10" ht="12.75">
      <c r="A605" s="1" t="s">
        <v>11</v>
      </c>
      <c r="B605" s="1" t="s">
        <v>42</v>
      </c>
      <c r="C605" s="1" t="s">
        <v>122</v>
      </c>
      <c r="D605" s="2">
        <v>44718</v>
      </c>
      <c r="E605" s="1" t="s">
        <v>572</v>
      </c>
      <c r="F605" s="5">
        <f t="shared" si="37"/>
        <v>2086</v>
      </c>
      <c r="G605" s="1">
        <v>74</v>
      </c>
      <c r="H605" s="1" t="str">
        <f t="shared" si="38"/>
        <v>High</v>
      </c>
      <c r="I605" s="1" t="str">
        <f t="shared" si="39"/>
        <v>Other</v>
      </c>
      <c r="J605" s="1">
        <f t="shared" si="40"/>
        <v>531470.33000000019</v>
      </c>
    </row>
    <row r="606" spans="1:10" ht="12.75">
      <c r="A606" s="1" t="s">
        <v>18</v>
      </c>
      <c r="B606" s="1" t="s">
        <v>54</v>
      </c>
      <c r="C606" s="1" t="s">
        <v>122</v>
      </c>
      <c r="D606" s="2">
        <v>44656</v>
      </c>
      <c r="E606" s="1" t="s">
        <v>573</v>
      </c>
      <c r="F606" s="5">
        <f t="shared" si="37"/>
        <v>5012</v>
      </c>
      <c r="G606" s="1">
        <v>189</v>
      </c>
      <c r="H606" s="1" t="str">
        <f t="shared" si="38"/>
        <v>High</v>
      </c>
      <c r="I606" s="1" t="str">
        <f t="shared" si="39"/>
        <v>Other</v>
      </c>
      <c r="J606" s="1">
        <f t="shared" si="40"/>
        <v>531470.33000000019</v>
      </c>
    </row>
    <row r="607" spans="1:10" ht="12.75">
      <c r="A607" s="1" t="s">
        <v>29</v>
      </c>
      <c r="B607" s="1" t="s">
        <v>59</v>
      </c>
      <c r="C607" s="1" t="s">
        <v>55</v>
      </c>
      <c r="D607" s="2">
        <v>44669</v>
      </c>
      <c r="E607" s="1" t="s">
        <v>46</v>
      </c>
      <c r="F607" s="5">
        <f t="shared" si="37"/>
        <v>4501</v>
      </c>
      <c r="G607" s="1">
        <v>131</v>
      </c>
      <c r="H607" s="1" t="str">
        <f t="shared" si="38"/>
        <v>High</v>
      </c>
      <c r="I607" s="1" t="str">
        <f t="shared" si="39"/>
        <v>Other</v>
      </c>
      <c r="J607" s="1">
        <f t="shared" si="40"/>
        <v>531470.33000000019</v>
      </c>
    </row>
    <row r="608" spans="1:10" ht="12.75">
      <c r="A608" s="1" t="s">
        <v>27</v>
      </c>
      <c r="B608" s="1" t="s">
        <v>42</v>
      </c>
      <c r="C608" s="1" t="s">
        <v>55</v>
      </c>
      <c r="D608" s="2">
        <v>44592</v>
      </c>
      <c r="E608" s="1" t="s">
        <v>574</v>
      </c>
      <c r="F608" s="5">
        <f t="shared" si="37"/>
        <v>13482</v>
      </c>
      <c r="G608" s="1">
        <v>15</v>
      </c>
      <c r="H608" s="1" t="str">
        <f t="shared" si="38"/>
        <v>High</v>
      </c>
      <c r="I608" s="1" t="str">
        <f t="shared" si="39"/>
        <v>Other</v>
      </c>
      <c r="J608" s="1">
        <f t="shared" si="40"/>
        <v>531470.33000000019</v>
      </c>
    </row>
    <row r="609" spans="1:10" ht="12.75">
      <c r="A609" s="1" t="s">
        <v>9</v>
      </c>
      <c r="B609" s="1" t="s">
        <v>59</v>
      </c>
      <c r="C609" s="1" t="s">
        <v>122</v>
      </c>
      <c r="D609" s="2">
        <v>44795</v>
      </c>
      <c r="E609" s="1" t="s">
        <v>575</v>
      </c>
      <c r="F609" s="5">
        <f t="shared" si="37"/>
        <v>5621</v>
      </c>
      <c r="G609" s="1">
        <v>140</v>
      </c>
      <c r="H609" s="1" t="str">
        <f t="shared" si="38"/>
        <v>High</v>
      </c>
      <c r="I609" s="1" t="str">
        <f t="shared" si="39"/>
        <v>Other</v>
      </c>
      <c r="J609" s="1">
        <f t="shared" si="40"/>
        <v>531470.33000000019</v>
      </c>
    </row>
    <row r="610" spans="1:10" ht="12.75">
      <c r="A610" s="1" t="s">
        <v>11</v>
      </c>
      <c r="B610" s="1" t="s">
        <v>5</v>
      </c>
      <c r="C610" s="1" t="s">
        <v>51</v>
      </c>
      <c r="D610" s="2">
        <v>44617</v>
      </c>
      <c r="E610" s="1" t="s">
        <v>576</v>
      </c>
      <c r="F610" s="5">
        <f t="shared" si="37"/>
        <v>10486</v>
      </c>
      <c r="G610" s="1">
        <v>198</v>
      </c>
      <c r="H610" s="1" t="str">
        <f t="shared" si="38"/>
        <v>High</v>
      </c>
      <c r="I610" s="1" t="str">
        <f t="shared" si="39"/>
        <v>Other</v>
      </c>
      <c r="J610" s="1">
        <f t="shared" si="40"/>
        <v>531470.33000000019</v>
      </c>
    </row>
    <row r="611" spans="1:10" ht="12.75">
      <c r="A611" s="1" t="s">
        <v>15</v>
      </c>
      <c r="B611" s="1" t="s">
        <v>5</v>
      </c>
      <c r="C611" s="1" t="s">
        <v>40</v>
      </c>
      <c r="D611" s="2">
        <v>44614</v>
      </c>
      <c r="E611" s="1" t="s">
        <v>577</v>
      </c>
      <c r="F611" s="5">
        <f t="shared" si="37"/>
        <v>17626</v>
      </c>
      <c r="G611" s="1">
        <v>103</v>
      </c>
      <c r="H611" s="1" t="str">
        <f t="shared" si="38"/>
        <v>High</v>
      </c>
      <c r="I611" s="1" t="str">
        <f t="shared" si="39"/>
        <v>Other</v>
      </c>
      <c r="J611" s="1">
        <f t="shared" si="40"/>
        <v>531470.33000000019</v>
      </c>
    </row>
    <row r="612" spans="1:10" ht="12.75">
      <c r="A612" s="1" t="s">
        <v>22</v>
      </c>
      <c r="B612" s="1" t="s">
        <v>54</v>
      </c>
      <c r="C612" s="1" t="s">
        <v>72</v>
      </c>
      <c r="D612" s="2">
        <v>44573</v>
      </c>
      <c r="E612" s="1" t="s">
        <v>578</v>
      </c>
      <c r="F612" s="5">
        <f t="shared" si="37"/>
        <v>4494</v>
      </c>
      <c r="G612" s="1">
        <v>187</v>
      </c>
      <c r="H612" s="1" t="str">
        <f t="shared" si="38"/>
        <v>High</v>
      </c>
      <c r="I612" s="1" t="str">
        <f t="shared" si="39"/>
        <v>Other</v>
      </c>
      <c r="J612" s="1">
        <f t="shared" si="40"/>
        <v>531470.33000000019</v>
      </c>
    </row>
    <row r="613" spans="1:10" ht="12.75">
      <c r="A613" s="1" t="s">
        <v>7</v>
      </c>
      <c r="B613" s="1" t="s">
        <v>39</v>
      </c>
      <c r="C613" s="1" t="s">
        <v>91</v>
      </c>
      <c r="D613" s="2">
        <v>44706</v>
      </c>
      <c r="E613" s="1" t="s">
        <v>579</v>
      </c>
      <c r="F613" s="5">
        <f t="shared" si="37"/>
        <v>105</v>
      </c>
      <c r="G613" s="1">
        <v>125</v>
      </c>
      <c r="H613" s="1" t="str">
        <f t="shared" si="38"/>
        <v>Low</v>
      </c>
      <c r="I613" s="1" t="str">
        <f t="shared" si="39"/>
        <v>Other</v>
      </c>
      <c r="J613" s="1">
        <f t="shared" si="40"/>
        <v>531470.33000000019</v>
      </c>
    </row>
    <row r="614" spans="1:10" ht="12.75">
      <c r="A614" s="1" t="s">
        <v>12</v>
      </c>
      <c r="B614" s="1" t="s">
        <v>42</v>
      </c>
      <c r="C614" s="1" t="s">
        <v>49</v>
      </c>
      <c r="D614" s="2">
        <v>44593</v>
      </c>
      <c r="E614" s="1" t="s">
        <v>192</v>
      </c>
      <c r="F614" s="5">
        <f t="shared" si="37"/>
        <v>2464</v>
      </c>
      <c r="G614" s="1">
        <v>8</v>
      </c>
      <c r="H614" s="1" t="str">
        <f t="shared" si="38"/>
        <v>High</v>
      </c>
      <c r="I614" s="1" t="str">
        <f t="shared" si="39"/>
        <v>Other</v>
      </c>
      <c r="J614" s="1">
        <f t="shared" si="40"/>
        <v>531470.33000000019</v>
      </c>
    </row>
    <row r="615" spans="1:10" ht="12.75">
      <c r="A615" s="1" t="s">
        <v>19</v>
      </c>
      <c r="B615" s="1" t="s">
        <v>39</v>
      </c>
      <c r="C615" s="1" t="s">
        <v>63</v>
      </c>
      <c r="D615" s="2">
        <v>44678</v>
      </c>
      <c r="E615" s="1" t="s">
        <v>345</v>
      </c>
      <c r="F615" s="5">
        <f t="shared" si="37"/>
        <v>1379</v>
      </c>
      <c r="G615" s="1">
        <v>70</v>
      </c>
      <c r="H615" s="1" t="str">
        <f t="shared" si="38"/>
        <v>High</v>
      </c>
      <c r="I615" s="1" t="str">
        <f t="shared" si="39"/>
        <v>Other</v>
      </c>
      <c r="J615" s="1">
        <f t="shared" si="40"/>
        <v>531470.33000000019</v>
      </c>
    </row>
    <row r="616" spans="1:10" ht="12.75">
      <c r="A616" s="1" t="s">
        <v>20</v>
      </c>
      <c r="B616" s="1" t="s">
        <v>59</v>
      </c>
      <c r="C616" s="1" t="s">
        <v>49</v>
      </c>
      <c r="D616" s="2">
        <v>44764</v>
      </c>
      <c r="E616" s="1" t="s">
        <v>241</v>
      </c>
      <c r="F616" s="5">
        <f t="shared" si="37"/>
        <v>2583</v>
      </c>
      <c r="G616" s="1">
        <v>126</v>
      </c>
      <c r="H616" s="1" t="str">
        <f t="shared" si="38"/>
        <v>High</v>
      </c>
      <c r="I616" s="1" t="str">
        <f t="shared" si="39"/>
        <v>Other</v>
      </c>
      <c r="J616" s="1">
        <f t="shared" si="40"/>
        <v>531470.33000000019</v>
      </c>
    </row>
    <row r="617" spans="1:10" ht="12.75">
      <c r="A617" s="1" t="s">
        <v>24</v>
      </c>
      <c r="B617" s="1" t="s">
        <v>54</v>
      </c>
      <c r="C617" s="1" t="s">
        <v>40</v>
      </c>
      <c r="D617" s="2">
        <v>44587</v>
      </c>
      <c r="E617" s="1" t="s">
        <v>580</v>
      </c>
      <c r="F617" s="5">
        <f t="shared" si="37"/>
        <v>3220</v>
      </c>
      <c r="G617" s="1">
        <v>265</v>
      </c>
      <c r="H617" s="1" t="str">
        <f t="shared" si="38"/>
        <v>High</v>
      </c>
      <c r="I617" s="1" t="str">
        <f t="shared" si="39"/>
        <v>Other</v>
      </c>
      <c r="J617" s="1">
        <f t="shared" si="40"/>
        <v>531470.33000000019</v>
      </c>
    </row>
    <row r="618" spans="1:10" ht="12.75">
      <c r="A618" s="1" t="s">
        <v>24</v>
      </c>
      <c r="B618" s="1" t="s">
        <v>59</v>
      </c>
      <c r="C618" s="1" t="s">
        <v>40</v>
      </c>
      <c r="D618" s="2">
        <v>44797</v>
      </c>
      <c r="E618" s="1" t="s">
        <v>581</v>
      </c>
      <c r="F618" s="5">
        <f t="shared" si="37"/>
        <v>4802</v>
      </c>
      <c r="G618" s="1">
        <v>296</v>
      </c>
      <c r="H618" s="1" t="str">
        <f t="shared" si="38"/>
        <v>High</v>
      </c>
      <c r="I618" s="1" t="str">
        <f t="shared" si="39"/>
        <v>Other</v>
      </c>
      <c r="J618" s="1">
        <f t="shared" si="40"/>
        <v>531470.33000000019</v>
      </c>
    </row>
    <row r="619" spans="1:10" ht="12.75">
      <c r="A619" s="1" t="s">
        <v>9</v>
      </c>
      <c r="B619" s="1" t="s">
        <v>54</v>
      </c>
      <c r="C619" s="1" t="s">
        <v>81</v>
      </c>
      <c r="D619" s="2">
        <v>44579</v>
      </c>
      <c r="E619" s="1" t="s">
        <v>582</v>
      </c>
      <c r="F619" s="5">
        <f t="shared" si="37"/>
        <v>5677</v>
      </c>
      <c r="G619" s="1">
        <v>21</v>
      </c>
      <c r="H619" s="1" t="str">
        <f t="shared" si="38"/>
        <v>High</v>
      </c>
      <c r="I619" s="1" t="str">
        <f t="shared" si="39"/>
        <v>Other</v>
      </c>
      <c r="J619" s="1">
        <f t="shared" si="40"/>
        <v>531470.33000000019</v>
      </c>
    </row>
    <row r="620" spans="1:10" ht="12.75">
      <c r="A620" s="1" t="s">
        <v>18</v>
      </c>
      <c r="B620" s="1" t="s">
        <v>42</v>
      </c>
      <c r="C620" s="1" t="s">
        <v>43</v>
      </c>
      <c r="D620" s="2">
        <v>44650</v>
      </c>
      <c r="E620" s="1" t="s">
        <v>583</v>
      </c>
      <c r="F620" s="5">
        <f t="shared" si="37"/>
        <v>945</v>
      </c>
      <c r="G620" s="1">
        <v>83</v>
      </c>
      <c r="H620" s="1" t="str">
        <f t="shared" si="38"/>
        <v>High</v>
      </c>
      <c r="I620" s="1" t="str">
        <f t="shared" si="39"/>
        <v>Other</v>
      </c>
      <c r="J620" s="1">
        <f t="shared" si="40"/>
        <v>531470.33000000019</v>
      </c>
    </row>
    <row r="621" spans="1:10" ht="12.75">
      <c r="A621" s="1" t="s">
        <v>17</v>
      </c>
      <c r="B621" s="1" t="s">
        <v>5</v>
      </c>
      <c r="C621" s="1" t="s">
        <v>126</v>
      </c>
      <c r="D621" s="2">
        <v>44578</v>
      </c>
      <c r="E621" s="1" t="s">
        <v>584</v>
      </c>
      <c r="F621" s="5">
        <f t="shared" si="37"/>
        <v>8757</v>
      </c>
      <c r="G621" s="1">
        <v>162</v>
      </c>
      <c r="H621" s="1" t="str">
        <f t="shared" si="38"/>
        <v>High</v>
      </c>
      <c r="I621" s="1" t="str">
        <f t="shared" si="39"/>
        <v>Other</v>
      </c>
      <c r="J621" s="1">
        <f t="shared" si="40"/>
        <v>531470.33000000019</v>
      </c>
    </row>
    <row r="622" spans="1:10" ht="12.75">
      <c r="A622" s="1" t="s">
        <v>12</v>
      </c>
      <c r="B622" s="1" t="s">
        <v>59</v>
      </c>
      <c r="C622" s="1" t="s">
        <v>81</v>
      </c>
      <c r="D622" s="2">
        <v>44609</v>
      </c>
      <c r="E622" s="1" t="s">
        <v>585</v>
      </c>
      <c r="F622" s="5">
        <f t="shared" si="37"/>
        <v>4816</v>
      </c>
      <c r="G622" s="1">
        <v>145</v>
      </c>
      <c r="H622" s="1" t="str">
        <f t="shared" si="38"/>
        <v>High</v>
      </c>
      <c r="I622" s="1" t="str">
        <f t="shared" si="39"/>
        <v>Other</v>
      </c>
      <c r="J622" s="1">
        <f t="shared" si="40"/>
        <v>531470.33000000019</v>
      </c>
    </row>
    <row r="623" spans="1:10" ht="12.75">
      <c r="A623" s="1" t="s">
        <v>12</v>
      </c>
      <c r="B623" s="1" t="s">
        <v>62</v>
      </c>
      <c r="C623" s="1" t="s">
        <v>45</v>
      </c>
      <c r="D623" s="2">
        <v>44659</v>
      </c>
      <c r="E623" s="1" t="s">
        <v>586</v>
      </c>
      <c r="F623" s="5">
        <f t="shared" si="37"/>
        <v>7532</v>
      </c>
      <c r="G623" s="1">
        <v>44</v>
      </c>
      <c r="H623" s="1" t="str">
        <f t="shared" si="38"/>
        <v>High</v>
      </c>
      <c r="I623" s="1" t="str">
        <f t="shared" si="39"/>
        <v>Other</v>
      </c>
      <c r="J623" s="1">
        <f t="shared" si="40"/>
        <v>531470.33000000019</v>
      </c>
    </row>
    <row r="624" spans="1:10" ht="12.75">
      <c r="A624" s="1" t="s">
        <v>20</v>
      </c>
      <c r="B624" s="1" t="s">
        <v>62</v>
      </c>
      <c r="C624" s="1" t="s">
        <v>65</v>
      </c>
      <c r="D624" s="2">
        <v>44748</v>
      </c>
      <c r="E624" s="1" t="s">
        <v>224</v>
      </c>
      <c r="F624" s="5">
        <f t="shared" si="37"/>
        <v>3549</v>
      </c>
      <c r="G624" s="1">
        <v>82</v>
      </c>
      <c r="H624" s="1" t="str">
        <f t="shared" si="38"/>
        <v>High</v>
      </c>
      <c r="I624" s="1" t="str">
        <f t="shared" si="39"/>
        <v>Other</v>
      </c>
      <c r="J624" s="1">
        <f t="shared" si="40"/>
        <v>531470.33000000019</v>
      </c>
    </row>
    <row r="625" spans="1:10" ht="12.75">
      <c r="A625" s="1" t="s">
        <v>13</v>
      </c>
      <c r="B625" s="1" t="s">
        <v>42</v>
      </c>
      <c r="C625" s="1" t="s">
        <v>81</v>
      </c>
      <c r="D625" s="2">
        <v>44655</v>
      </c>
      <c r="E625" s="1" t="s">
        <v>587</v>
      </c>
      <c r="F625" s="5">
        <f t="shared" si="37"/>
        <v>4340</v>
      </c>
      <c r="G625" s="1">
        <v>226</v>
      </c>
      <c r="H625" s="1" t="str">
        <f t="shared" si="38"/>
        <v>High</v>
      </c>
      <c r="I625" s="1" t="str">
        <f t="shared" si="39"/>
        <v>Other</v>
      </c>
      <c r="J625" s="1">
        <f t="shared" si="40"/>
        <v>531470.33000000019</v>
      </c>
    </row>
    <row r="626" spans="1:10" ht="12.75">
      <c r="A626" s="1" t="s">
        <v>15</v>
      </c>
      <c r="B626" s="1" t="s">
        <v>54</v>
      </c>
      <c r="C626" s="1" t="s">
        <v>68</v>
      </c>
      <c r="D626" s="2">
        <v>44622</v>
      </c>
      <c r="E626" s="1" t="s">
        <v>588</v>
      </c>
      <c r="F626" s="5">
        <f t="shared" si="37"/>
        <v>1799</v>
      </c>
      <c r="G626" s="1">
        <v>207</v>
      </c>
      <c r="H626" s="1" t="str">
        <f t="shared" si="38"/>
        <v>High</v>
      </c>
      <c r="I626" s="1" t="str">
        <f t="shared" si="39"/>
        <v>Other</v>
      </c>
      <c r="J626" s="1">
        <f t="shared" si="40"/>
        <v>531470.33000000019</v>
      </c>
    </row>
    <row r="627" spans="1:10" ht="12.75">
      <c r="A627" s="1" t="s">
        <v>20</v>
      </c>
      <c r="B627" s="1" t="s">
        <v>54</v>
      </c>
      <c r="C627" s="1" t="s">
        <v>100</v>
      </c>
      <c r="D627" s="2">
        <v>44782</v>
      </c>
      <c r="E627" s="1" t="s">
        <v>589</v>
      </c>
      <c r="F627" s="5">
        <f t="shared" si="37"/>
        <v>1127</v>
      </c>
      <c r="G627" s="1">
        <v>176</v>
      </c>
      <c r="H627" s="1" t="str">
        <f t="shared" si="38"/>
        <v>High</v>
      </c>
      <c r="I627" s="1" t="str">
        <f t="shared" si="39"/>
        <v>Other</v>
      </c>
      <c r="J627" s="1">
        <f t="shared" si="40"/>
        <v>531470.33000000019</v>
      </c>
    </row>
    <row r="628" spans="1:10" ht="12.75">
      <c r="A628" s="1" t="s">
        <v>6</v>
      </c>
      <c r="B628" s="1" t="s">
        <v>5</v>
      </c>
      <c r="C628" s="1" t="s">
        <v>72</v>
      </c>
      <c r="D628" s="2">
        <v>44721</v>
      </c>
      <c r="E628" s="1" t="s">
        <v>590</v>
      </c>
      <c r="F628" s="5">
        <f t="shared" si="37"/>
        <v>10038</v>
      </c>
      <c r="G628" s="1">
        <v>286</v>
      </c>
      <c r="H628" s="1" t="str">
        <f t="shared" si="38"/>
        <v>High</v>
      </c>
      <c r="I628" s="1" t="str">
        <f t="shared" si="39"/>
        <v>Other</v>
      </c>
      <c r="J628" s="1">
        <f t="shared" si="40"/>
        <v>531470.33000000019</v>
      </c>
    </row>
    <row r="629" spans="1:10" ht="12.75">
      <c r="A629" s="1" t="s">
        <v>17</v>
      </c>
      <c r="B629" s="1" t="s">
        <v>39</v>
      </c>
      <c r="C629" s="1" t="s">
        <v>126</v>
      </c>
      <c r="D629" s="2">
        <v>44714</v>
      </c>
      <c r="E629" s="1" t="s">
        <v>591</v>
      </c>
      <c r="F629" s="5">
        <f t="shared" si="37"/>
        <v>2926</v>
      </c>
      <c r="G629" s="1">
        <v>300</v>
      </c>
      <c r="H629" s="1" t="str">
        <f t="shared" si="38"/>
        <v>High</v>
      </c>
      <c r="I629" s="1" t="str">
        <f t="shared" si="39"/>
        <v>Other</v>
      </c>
      <c r="J629" s="1">
        <f t="shared" si="40"/>
        <v>531470.33000000019</v>
      </c>
    </row>
    <row r="630" spans="1:10" ht="12.75">
      <c r="A630" s="1" t="s">
        <v>10</v>
      </c>
      <c r="B630" s="1" t="s">
        <v>59</v>
      </c>
      <c r="C630" s="1" t="s">
        <v>81</v>
      </c>
      <c r="D630" s="2">
        <v>44747</v>
      </c>
      <c r="E630" s="1" t="s">
        <v>592</v>
      </c>
      <c r="F630" s="5">
        <f t="shared" si="37"/>
        <v>6279</v>
      </c>
      <c r="G630" s="1">
        <v>235</v>
      </c>
      <c r="H630" s="1" t="str">
        <f t="shared" si="38"/>
        <v>High</v>
      </c>
      <c r="I630" s="1" t="str">
        <f t="shared" si="39"/>
        <v>Other</v>
      </c>
      <c r="J630" s="1">
        <f t="shared" si="40"/>
        <v>531470.33000000019</v>
      </c>
    </row>
    <row r="631" spans="1:10" ht="12.75">
      <c r="A631" s="1" t="s">
        <v>27</v>
      </c>
      <c r="B631" s="1" t="s">
        <v>62</v>
      </c>
      <c r="C631" s="1" t="s">
        <v>63</v>
      </c>
      <c r="D631" s="2">
        <v>44784</v>
      </c>
      <c r="E631" s="1" t="s">
        <v>593</v>
      </c>
      <c r="F631" s="5">
        <f t="shared" si="37"/>
        <v>308</v>
      </c>
      <c r="G631" s="1">
        <v>125</v>
      </c>
      <c r="H631" s="1" t="str">
        <f t="shared" si="38"/>
        <v>Low</v>
      </c>
      <c r="I631" s="1" t="str">
        <f t="shared" si="39"/>
        <v>Other</v>
      </c>
      <c r="J631" s="1">
        <f t="shared" si="40"/>
        <v>531470.33000000019</v>
      </c>
    </row>
    <row r="632" spans="1:10" ht="12.75">
      <c r="A632" s="1" t="s">
        <v>9</v>
      </c>
      <c r="B632" s="1" t="s">
        <v>42</v>
      </c>
      <c r="C632" s="1" t="s">
        <v>102</v>
      </c>
      <c r="D632" s="2">
        <v>44603</v>
      </c>
      <c r="E632" s="1" t="s">
        <v>594</v>
      </c>
      <c r="F632" s="5">
        <f t="shared" si="37"/>
        <v>3500</v>
      </c>
      <c r="G632" s="1">
        <v>145</v>
      </c>
      <c r="H632" s="1" t="str">
        <f t="shared" si="38"/>
        <v>High</v>
      </c>
      <c r="I632" s="1" t="str">
        <f t="shared" si="39"/>
        <v>Other</v>
      </c>
      <c r="J632" s="1">
        <f t="shared" si="40"/>
        <v>531470.33000000019</v>
      </c>
    </row>
    <row r="633" spans="1:10" ht="12.75">
      <c r="A633" s="1" t="s">
        <v>12</v>
      </c>
      <c r="B633" s="1" t="s">
        <v>54</v>
      </c>
      <c r="C633" s="1" t="s">
        <v>76</v>
      </c>
      <c r="D633" s="2">
        <v>44784</v>
      </c>
      <c r="E633" s="1" t="s">
        <v>595</v>
      </c>
      <c r="F633" s="5">
        <f t="shared" si="37"/>
        <v>658</v>
      </c>
      <c r="G633" s="1">
        <v>65</v>
      </c>
      <c r="H633" s="1" t="str">
        <f t="shared" si="38"/>
        <v>Medium</v>
      </c>
      <c r="I633" s="1" t="str">
        <f t="shared" si="39"/>
        <v>Other</v>
      </c>
      <c r="J633" s="1">
        <f t="shared" si="40"/>
        <v>531470.33000000019</v>
      </c>
    </row>
    <row r="634" spans="1:10" ht="12.75">
      <c r="A634" s="1" t="s">
        <v>26</v>
      </c>
      <c r="B634" s="1" t="s">
        <v>5</v>
      </c>
      <c r="C634" s="1" t="s">
        <v>65</v>
      </c>
      <c r="D634" s="2">
        <v>44693</v>
      </c>
      <c r="E634" s="1" t="s">
        <v>596</v>
      </c>
      <c r="F634" s="5">
        <f t="shared" si="37"/>
        <v>12565</v>
      </c>
      <c r="G634" s="1">
        <v>102</v>
      </c>
      <c r="H634" s="1" t="str">
        <f t="shared" si="38"/>
        <v>High</v>
      </c>
      <c r="I634" s="1" t="str">
        <f t="shared" si="39"/>
        <v>Other</v>
      </c>
      <c r="J634" s="1">
        <f t="shared" si="40"/>
        <v>531470.33000000019</v>
      </c>
    </row>
    <row r="635" spans="1:10" ht="12.75">
      <c r="A635" s="1" t="s">
        <v>29</v>
      </c>
      <c r="B635" s="1" t="s">
        <v>59</v>
      </c>
      <c r="C635" s="1" t="s">
        <v>72</v>
      </c>
      <c r="D635" s="2">
        <v>44757</v>
      </c>
      <c r="E635" s="1" t="s">
        <v>573</v>
      </c>
      <c r="F635" s="5">
        <f t="shared" si="37"/>
        <v>5012</v>
      </c>
      <c r="G635" s="1">
        <v>93</v>
      </c>
      <c r="H635" s="1" t="str">
        <f t="shared" si="38"/>
        <v>High</v>
      </c>
      <c r="I635" s="1" t="str">
        <f t="shared" si="39"/>
        <v>Other</v>
      </c>
      <c r="J635" s="1">
        <f t="shared" si="40"/>
        <v>531470.33000000019</v>
      </c>
    </row>
    <row r="636" spans="1:10" ht="12.75">
      <c r="A636" s="1" t="s">
        <v>27</v>
      </c>
      <c r="B636" s="1" t="s">
        <v>42</v>
      </c>
      <c r="C636" s="1" t="s">
        <v>68</v>
      </c>
      <c r="D636" s="2">
        <v>44579</v>
      </c>
      <c r="E636" s="1" t="s">
        <v>597</v>
      </c>
      <c r="F636" s="5">
        <f t="shared" si="37"/>
        <v>3955</v>
      </c>
      <c r="G636" s="1">
        <v>134</v>
      </c>
      <c r="H636" s="1" t="str">
        <f t="shared" si="38"/>
        <v>High</v>
      </c>
      <c r="I636" s="1" t="str">
        <f t="shared" si="39"/>
        <v>Other</v>
      </c>
      <c r="J636" s="1">
        <f t="shared" si="40"/>
        <v>531470.33000000019</v>
      </c>
    </row>
    <row r="637" spans="1:10" ht="12.75">
      <c r="A637" s="1" t="s">
        <v>9</v>
      </c>
      <c r="B637" s="1" t="s">
        <v>39</v>
      </c>
      <c r="C637" s="1" t="s">
        <v>81</v>
      </c>
      <c r="D637" s="2">
        <v>44566</v>
      </c>
      <c r="E637" s="1" t="s">
        <v>598</v>
      </c>
      <c r="F637" s="5">
        <f t="shared" si="37"/>
        <v>8512</v>
      </c>
      <c r="G637" s="1">
        <v>189</v>
      </c>
      <c r="H637" s="1" t="str">
        <f t="shared" si="38"/>
        <v>High</v>
      </c>
      <c r="I637" s="1" t="str">
        <f t="shared" si="39"/>
        <v>Other</v>
      </c>
      <c r="J637" s="1">
        <f t="shared" si="40"/>
        <v>531470.33000000019</v>
      </c>
    </row>
    <row r="638" spans="1:10" ht="12.75">
      <c r="A638" s="1" t="s">
        <v>24</v>
      </c>
      <c r="B638" s="1" t="s">
        <v>5</v>
      </c>
      <c r="C638" s="1" t="s">
        <v>55</v>
      </c>
      <c r="D638" s="2">
        <v>44741</v>
      </c>
      <c r="E638" s="1" t="s">
        <v>599</v>
      </c>
      <c r="F638" s="5">
        <f t="shared" si="37"/>
        <v>504</v>
      </c>
      <c r="G638" s="1">
        <v>232</v>
      </c>
      <c r="H638" s="1" t="str">
        <f t="shared" si="38"/>
        <v>Medium</v>
      </c>
      <c r="I638" s="1" t="str">
        <f t="shared" si="39"/>
        <v>Other</v>
      </c>
      <c r="J638" s="1">
        <f t="shared" si="40"/>
        <v>531470.33000000019</v>
      </c>
    </row>
    <row r="639" spans="1:10" ht="12.75">
      <c r="A639" s="1" t="s">
        <v>7</v>
      </c>
      <c r="B639" s="1" t="s">
        <v>62</v>
      </c>
      <c r="C639" s="1" t="s">
        <v>100</v>
      </c>
      <c r="D639" s="2">
        <v>44726</v>
      </c>
      <c r="E639" s="1" t="s">
        <v>134</v>
      </c>
      <c r="F639" s="5">
        <f t="shared" si="37"/>
        <v>2800</v>
      </c>
      <c r="G639" s="1">
        <v>45</v>
      </c>
      <c r="H639" s="1" t="str">
        <f t="shared" si="38"/>
        <v>High</v>
      </c>
      <c r="I639" s="1" t="str">
        <f t="shared" si="39"/>
        <v>Other</v>
      </c>
      <c r="J639" s="1">
        <f t="shared" si="40"/>
        <v>531470.33000000019</v>
      </c>
    </row>
    <row r="640" spans="1:10" ht="12.75">
      <c r="A640" s="1" t="s">
        <v>23</v>
      </c>
      <c r="B640" s="1" t="s">
        <v>42</v>
      </c>
      <c r="C640" s="1" t="s">
        <v>40</v>
      </c>
      <c r="D640" s="2">
        <v>44781</v>
      </c>
      <c r="E640" s="1" t="s">
        <v>600</v>
      </c>
      <c r="F640" s="5">
        <f t="shared" si="37"/>
        <v>4256</v>
      </c>
      <c r="G640" s="1">
        <v>67</v>
      </c>
      <c r="H640" s="1" t="str">
        <f t="shared" si="38"/>
        <v>High</v>
      </c>
      <c r="I640" s="1" t="str">
        <f t="shared" si="39"/>
        <v>Other</v>
      </c>
      <c r="J640" s="1">
        <f t="shared" si="40"/>
        <v>531470.33000000019</v>
      </c>
    </row>
    <row r="641" spans="1:10" ht="12.75">
      <c r="A641" s="1" t="s">
        <v>6</v>
      </c>
      <c r="B641" s="1" t="s">
        <v>42</v>
      </c>
      <c r="C641" s="1" t="s">
        <v>40</v>
      </c>
      <c r="D641" s="2">
        <v>44643</v>
      </c>
      <c r="E641" s="1" t="s">
        <v>601</v>
      </c>
      <c r="F641" s="5">
        <f t="shared" si="37"/>
        <v>13573</v>
      </c>
      <c r="G641" s="1">
        <v>138</v>
      </c>
      <c r="H641" s="1" t="str">
        <f t="shared" si="38"/>
        <v>High</v>
      </c>
      <c r="I641" s="1" t="str">
        <f t="shared" si="39"/>
        <v>Other</v>
      </c>
      <c r="J641" s="1">
        <f t="shared" si="40"/>
        <v>531470.33000000019</v>
      </c>
    </row>
    <row r="642" spans="1:10" ht="12.75">
      <c r="A642" s="1" t="s">
        <v>16</v>
      </c>
      <c r="B642" s="1" t="s">
        <v>42</v>
      </c>
      <c r="C642" s="1" t="s">
        <v>126</v>
      </c>
      <c r="D642" s="2">
        <v>44565</v>
      </c>
      <c r="E642" s="1" t="s">
        <v>602</v>
      </c>
      <c r="F642" s="5">
        <f t="shared" ref="F642:F705" si="41">VALUE(SUBSTITUTE(E642,"$",""))</f>
        <v>6566</v>
      </c>
      <c r="G642" s="1">
        <v>99</v>
      </c>
      <c r="H642" s="1" t="str">
        <f t="shared" ref="H642:H705" si="42">IF(F642&gt;800,"High",IF(F642&gt;500,"Medium","Low"))</f>
        <v>High</v>
      </c>
      <c r="I642" s="1" t="str">
        <f t="shared" ref="I642:I705" si="43">IF(AND(B642="Australia",A642="Mallorie Waber"),"Top Local","Other")</f>
        <v>Other</v>
      </c>
      <c r="J642" s="1">
        <f t="shared" ref="J642:J705" si="44">SUMIF(A642:A3922,"Mallorie Waber",F642:F3922)</f>
        <v>531470.33000000019</v>
      </c>
    </row>
    <row r="643" spans="1:10" ht="12.75">
      <c r="A643" s="1" t="s">
        <v>7</v>
      </c>
      <c r="B643" s="1" t="s">
        <v>42</v>
      </c>
      <c r="C643" s="1" t="s">
        <v>72</v>
      </c>
      <c r="D643" s="2">
        <v>44614</v>
      </c>
      <c r="E643" s="1" t="s">
        <v>603</v>
      </c>
      <c r="F643" s="5">
        <f t="shared" si="41"/>
        <v>13503</v>
      </c>
      <c r="G643" s="1">
        <v>251</v>
      </c>
      <c r="H643" s="1" t="str">
        <f t="shared" si="42"/>
        <v>High</v>
      </c>
      <c r="I643" s="1" t="str">
        <f t="shared" si="43"/>
        <v>Other</v>
      </c>
      <c r="J643" s="1">
        <f t="shared" si="44"/>
        <v>531470.33000000019</v>
      </c>
    </row>
    <row r="644" spans="1:10" ht="12.75">
      <c r="A644" s="1" t="s">
        <v>28</v>
      </c>
      <c r="B644" s="1" t="s">
        <v>39</v>
      </c>
      <c r="C644" s="1" t="s">
        <v>76</v>
      </c>
      <c r="D644" s="2">
        <v>44609</v>
      </c>
      <c r="E644" s="1" t="s">
        <v>604</v>
      </c>
      <c r="F644" s="5">
        <f t="shared" si="41"/>
        <v>8680</v>
      </c>
      <c r="G644" s="1">
        <v>252</v>
      </c>
      <c r="H644" s="1" t="str">
        <f t="shared" si="42"/>
        <v>High</v>
      </c>
      <c r="I644" s="1" t="str">
        <f t="shared" si="43"/>
        <v>Other</v>
      </c>
      <c r="J644" s="1">
        <f t="shared" si="44"/>
        <v>531470.33000000019</v>
      </c>
    </row>
    <row r="645" spans="1:10" ht="12.75">
      <c r="A645" s="1" t="s">
        <v>16</v>
      </c>
      <c r="B645" s="1" t="s">
        <v>59</v>
      </c>
      <c r="C645" s="1" t="s">
        <v>91</v>
      </c>
      <c r="D645" s="2">
        <v>44595</v>
      </c>
      <c r="E645" s="1" t="s">
        <v>605</v>
      </c>
      <c r="F645" s="5">
        <f t="shared" si="41"/>
        <v>385</v>
      </c>
      <c r="G645" s="1">
        <v>78</v>
      </c>
      <c r="H645" s="1" t="str">
        <f t="shared" si="42"/>
        <v>Low</v>
      </c>
      <c r="I645" s="1" t="str">
        <f t="shared" si="43"/>
        <v>Other</v>
      </c>
      <c r="J645" s="1">
        <f t="shared" si="44"/>
        <v>531470.33000000019</v>
      </c>
    </row>
    <row r="646" spans="1:10" ht="12.75">
      <c r="A646" s="1" t="s">
        <v>10</v>
      </c>
      <c r="B646" s="1" t="s">
        <v>62</v>
      </c>
      <c r="C646" s="1" t="s">
        <v>100</v>
      </c>
      <c r="D646" s="2">
        <v>44637</v>
      </c>
      <c r="E646" s="1" t="s">
        <v>77</v>
      </c>
      <c r="F646" s="5">
        <f t="shared" si="41"/>
        <v>1267</v>
      </c>
      <c r="G646" s="1">
        <v>130</v>
      </c>
      <c r="H646" s="1" t="str">
        <f t="shared" si="42"/>
        <v>High</v>
      </c>
      <c r="I646" s="1" t="str">
        <f t="shared" si="43"/>
        <v>Other</v>
      </c>
      <c r="J646" s="1">
        <f t="shared" si="44"/>
        <v>531470.33000000019</v>
      </c>
    </row>
    <row r="647" spans="1:10" ht="12.75">
      <c r="A647" s="1" t="s">
        <v>29</v>
      </c>
      <c r="B647" s="1" t="s">
        <v>5</v>
      </c>
      <c r="C647" s="1" t="s">
        <v>122</v>
      </c>
      <c r="D647" s="2">
        <v>44586</v>
      </c>
      <c r="E647" s="1" t="s">
        <v>606</v>
      </c>
      <c r="F647" s="5">
        <f t="shared" si="41"/>
        <v>2961</v>
      </c>
      <c r="G647" s="1">
        <v>154</v>
      </c>
      <c r="H647" s="1" t="str">
        <f t="shared" si="42"/>
        <v>High</v>
      </c>
      <c r="I647" s="1" t="str">
        <f t="shared" si="43"/>
        <v>Other</v>
      </c>
      <c r="J647" s="1">
        <f t="shared" si="44"/>
        <v>531470.33000000019</v>
      </c>
    </row>
    <row r="648" spans="1:10" ht="12.75">
      <c r="A648" s="1" t="s">
        <v>7</v>
      </c>
      <c r="B648" s="1" t="s">
        <v>5</v>
      </c>
      <c r="C648" s="1" t="s">
        <v>72</v>
      </c>
      <c r="D648" s="2">
        <v>44769</v>
      </c>
      <c r="E648" s="1" t="s">
        <v>607</v>
      </c>
      <c r="F648" s="5">
        <f t="shared" si="41"/>
        <v>1981</v>
      </c>
      <c r="G648" s="1">
        <v>52</v>
      </c>
      <c r="H648" s="1" t="str">
        <f t="shared" si="42"/>
        <v>High</v>
      </c>
      <c r="I648" s="1" t="str">
        <f t="shared" si="43"/>
        <v>Other</v>
      </c>
      <c r="J648" s="1">
        <f t="shared" si="44"/>
        <v>531470.33000000019</v>
      </c>
    </row>
    <row r="649" spans="1:10" ht="12.75">
      <c r="A649" s="1" t="s">
        <v>13</v>
      </c>
      <c r="B649" s="1" t="s">
        <v>5</v>
      </c>
      <c r="C649" s="1" t="s">
        <v>81</v>
      </c>
      <c r="D649" s="2">
        <v>44589</v>
      </c>
      <c r="E649" s="1" t="s">
        <v>608</v>
      </c>
      <c r="F649" s="5">
        <f t="shared" si="41"/>
        <v>7959</v>
      </c>
      <c r="G649" s="1">
        <v>53</v>
      </c>
      <c r="H649" s="1" t="str">
        <f t="shared" si="42"/>
        <v>High</v>
      </c>
      <c r="I649" s="1" t="str">
        <f t="shared" si="43"/>
        <v>Other</v>
      </c>
      <c r="J649" s="1">
        <f t="shared" si="44"/>
        <v>531470.33000000019</v>
      </c>
    </row>
    <row r="650" spans="1:10" ht="12.75">
      <c r="A650" s="1" t="s">
        <v>9</v>
      </c>
      <c r="B650" s="1" t="s">
        <v>5</v>
      </c>
      <c r="C650" s="1" t="s">
        <v>68</v>
      </c>
      <c r="D650" s="2">
        <v>44747</v>
      </c>
      <c r="E650" s="1" t="s">
        <v>609</v>
      </c>
      <c r="F650" s="5">
        <f t="shared" si="41"/>
        <v>10794</v>
      </c>
      <c r="G650" s="1">
        <v>50</v>
      </c>
      <c r="H650" s="1" t="str">
        <f t="shared" si="42"/>
        <v>High</v>
      </c>
      <c r="I650" s="1" t="str">
        <f t="shared" si="43"/>
        <v>Other</v>
      </c>
      <c r="J650" s="1">
        <f t="shared" si="44"/>
        <v>531470.33000000019</v>
      </c>
    </row>
    <row r="651" spans="1:10" ht="12.75">
      <c r="A651" s="1" t="s">
        <v>10</v>
      </c>
      <c r="B651" s="1" t="s">
        <v>42</v>
      </c>
      <c r="C651" s="1" t="s">
        <v>84</v>
      </c>
      <c r="D651" s="2">
        <v>44635</v>
      </c>
      <c r="E651" s="1" t="s">
        <v>610</v>
      </c>
      <c r="F651" s="5">
        <f t="shared" si="41"/>
        <v>1897</v>
      </c>
      <c r="G651" s="1">
        <v>44</v>
      </c>
      <c r="H651" s="1" t="str">
        <f t="shared" si="42"/>
        <v>High</v>
      </c>
      <c r="I651" s="1" t="str">
        <f t="shared" si="43"/>
        <v>Other</v>
      </c>
      <c r="J651" s="1">
        <f t="shared" si="44"/>
        <v>531470.33000000019</v>
      </c>
    </row>
    <row r="652" spans="1:10" ht="12.75">
      <c r="A652" s="1" t="s">
        <v>23</v>
      </c>
      <c r="B652" s="1" t="s">
        <v>62</v>
      </c>
      <c r="C652" s="1" t="s">
        <v>52</v>
      </c>
      <c r="D652" s="2">
        <v>44777</v>
      </c>
      <c r="E652" s="1" t="s">
        <v>611</v>
      </c>
      <c r="F652" s="5">
        <f t="shared" si="41"/>
        <v>2744</v>
      </c>
      <c r="G652" s="1">
        <v>200</v>
      </c>
      <c r="H652" s="1" t="str">
        <f t="shared" si="42"/>
        <v>High</v>
      </c>
      <c r="I652" s="1" t="str">
        <f t="shared" si="43"/>
        <v>Other</v>
      </c>
      <c r="J652" s="1">
        <f t="shared" si="44"/>
        <v>531470.33000000019</v>
      </c>
    </row>
    <row r="653" spans="1:10" ht="12.75">
      <c r="A653" s="1" t="s">
        <v>15</v>
      </c>
      <c r="B653" s="1" t="s">
        <v>59</v>
      </c>
      <c r="C653" s="1" t="s">
        <v>81</v>
      </c>
      <c r="D653" s="2">
        <v>44739</v>
      </c>
      <c r="E653" s="1" t="s">
        <v>108</v>
      </c>
      <c r="F653" s="5">
        <f t="shared" si="41"/>
        <v>4382</v>
      </c>
      <c r="G653" s="1">
        <v>361</v>
      </c>
      <c r="H653" s="1" t="str">
        <f t="shared" si="42"/>
        <v>High</v>
      </c>
      <c r="I653" s="1" t="str">
        <f t="shared" si="43"/>
        <v>Other</v>
      </c>
      <c r="J653" s="1">
        <f t="shared" si="44"/>
        <v>531470.33000000019</v>
      </c>
    </row>
    <row r="654" spans="1:10" ht="12.75">
      <c r="A654" s="1" t="s">
        <v>15</v>
      </c>
      <c r="B654" s="1" t="s">
        <v>62</v>
      </c>
      <c r="C654" s="1" t="s">
        <v>52</v>
      </c>
      <c r="D654" s="2">
        <v>44755</v>
      </c>
      <c r="E654" s="1" t="s">
        <v>482</v>
      </c>
      <c r="F654" s="5">
        <f t="shared" si="41"/>
        <v>4515</v>
      </c>
      <c r="G654" s="1">
        <v>172</v>
      </c>
      <c r="H654" s="1" t="str">
        <f t="shared" si="42"/>
        <v>High</v>
      </c>
      <c r="I654" s="1" t="str">
        <f t="shared" si="43"/>
        <v>Other</v>
      </c>
      <c r="J654" s="1">
        <f t="shared" si="44"/>
        <v>531470.33000000019</v>
      </c>
    </row>
    <row r="655" spans="1:10" ht="12.75">
      <c r="A655" s="1" t="s">
        <v>16</v>
      </c>
      <c r="B655" s="1" t="s">
        <v>54</v>
      </c>
      <c r="C655" s="1" t="s">
        <v>86</v>
      </c>
      <c r="D655" s="2">
        <v>44616</v>
      </c>
      <c r="E655" s="1" t="s">
        <v>612</v>
      </c>
      <c r="F655" s="5">
        <f t="shared" si="41"/>
        <v>5474</v>
      </c>
      <c r="G655" s="1">
        <v>239</v>
      </c>
      <c r="H655" s="1" t="str">
        <f t="shared" si="42"/>
        <v>High</v>
      </c>
      <c r="I655" s="1" t="str">
        <f t="shared" si="43"/>
        <v>Other</v>
      </c>
      <c r="J655" s="1">
        <f t="shared" si="44"/>
        <v>531470.33000000019</v>
      </c>
    </row>
    <row r="656" spans="1:10" ht="12.75">
      <c r="A656" s="1" t="s">
        <v>18</v>
      </c>
      <c r="B656" s="1" t="s">
        <v>54</v>
      </c>
      <c r="C656" s="1" t="s">
        <v>43</v>
      </c>
      <c r="D656" s="2">
        <v>44740</v>
      </c>
      <c r="E656" s="1" t="s">
        <v>613</v>
      </c>
      <c r="F656" s="5">
        <f t="shared" si="41"/>
        <v>6069</v>
      </c>
      <c r="G656" s="1">
        <v>55</v>
      </c>
      <c r="H656" s="1" t="str">
        <f t="shared" si="42"/>
        <v>High</v>
      </c>
      <c r="I656" s="1" t="str">
        <f t="shared" si="43"/>
        <v>Other</v>
      </c>
      <c r="J656" s="1">
        <f t="shared" si="44"/>
        <v>531470.33000000019</v>
      </c>
    </row>
    <row r="657" spans="1:10" ht="12.75">
      <c r="A657" s="1" t="s">
        <v>22</v>
      </c>
      <c r="B657" s="1" t="s">
        <v>5</v>
      </c>
      <c r="C657" s="1" t="s">
        <v>43</v>
      </c>
      <c r="D657" s="2">
        <v>44742</v>
      </c>
      <c r="E657" s="1" t="s">
        <v>614</v>
      </c>
      <c r="F657" s="5">
        <f t="shared" si="41"/>
        <v>6944</v>
      </c>
      <c r="G657" s="1">
        <v>27</v>
      </c>
      <c r="H657" s="1" t="str">
        <f t="shared" si="42"/>
        <v>High</v>
      </c>
      <c r="I657" s="1" t="str">
        <f t="shared" si="43"/>
        <v>Other</v>
      </c>
      <c r="J657" s="1">
        <f t="shared" si="44"/>
        <v>531470.33000000019</v>
      </c>
    </row>
    <row r="658" spans="1:10" ht="12.75">
      <c r="A658" s="1" t="s">
        <v>24</v>
      </c>
      <c r="B658" s="1" t="s">
        <v>62</v>
      </c>
      <c r="C658" s="1" t="s">
        <v>102</v>
      </c>
      <c r="D658" s="2">
        <v>44791</v>
      </c>
      <c r="E658" s="1" t="s">
        <v>148</v>
      </c>
      <c r="F658" s="5">
        <f t="shared" si="41"/>
        <v>5859</v>
      </c>
      <c r="G658" s="1">
        <v>7</v>
      </c>
      <c r="H658" s="1" t="str">
        <f t="shared" si="42"/>
        <v>High</v>
      </c>
      <c r="I658" s="1" t="str">
        <f t="shared" si="43"/>
        <v>Other</v>
      </c>
      <c r="J658" s="1">
        <f t="shared" si="44"/>
        <v>531470.33000000019</v>
      </c>
    </row>
    <row r="659" spans="1:10" ht="12.75">
      <c r="A659" s="1" t="s">
        <v>8</v>
      </c>
      <c r="B659" s="1" t="s">
        <v>42</v>
      </c>
      <c r="C659" s="1" t="s">
        <v>147</v>
      </c>
      <c r="D659" s="2">
        <v>44585</v>
      </c>
      <c r="E659" s="1" t="s">
        <v>615</v>
      </c>
      <c r="F659" s="5">
        <f t="shared" si="41"/>
        <v>12173</v>
      </c>
      <c r="G659" s="1">
        <v>301</v>
      </c>
      <c r="H659" s="1" t="str">
        <f t="shared" si="42"/>
        <v>High</v>
      </c>
      <c r="I659" s="1" t="str">
        <f t="shared" si="43"/>
        <v>Other</v>
      </c>
      <c r="J659" s="1">
        <f t="shared" si="44"/>
        <v>531470.33000000019</v>
      </c>
    </row>
    <row r="660" spans="1:10" ht="12.75">
      <c r="A660" s="1" t="s">
        <v>28</v>
      </c>
      <c r="B660" s="1" t="s">
        <v>59</v>
      </c>
      <c r="C660" s="1" t="s">
        <v>84</v>
      </c>
      <c r="D660" s="2">
        <v>44631</v>
      </c>
      <c r="E660" s="1" t="s">
        <v>473</v>
      </c>
      <c r="F660" s="5">
        <f t="shared" si="41"/>
        <v>5292</v>
      </c>
      <c r="G660" s="1">
        <v>134</v>
      </c>
      <c r="H660" s="1" t="str">
        <f t="shared" si="42"/>
        <v>High</v>
      </c>
      <c r="I660" s="1" t="str">
        <f t="shared" si="43"/>
        <v>Other</v>
      </c>
      <c r="J660" s="1">
        <f t="shared" si="44"/>
        <v>531470.33000000019</v>
      </c>
    </row>
    <row r="661" spans="1:10" ht="12.75">
      <c r="A661" s="1" t="s">
        <v>17</v>
      </c>
      <c r="B661" s="1" t="s">
        <v>54</v>
      </c>
      <c r="C661" s="1" t="s">
        <v>52</v>
      </c>
      <c r="D661" s="2">
        <v>44735</v>
      </c>
      <c r="E661" s="1" t="s">
        <v>616</v>
      </c>
      <c r="F661" s="5">
        <f t="shared" si="41"/>
        <v>5705</v>
      </c>
      <c r="G661" s="1">
        <v>350</v>
      </c>
      <c r="H661" s="1" t="str">
        <f t="shared" si="42"/>
        <v>High</v>
      </c>
      <c r="I661" s="1" t="str">
        <f t="shared" si="43"/>
        <v>Other</v>
      </c>
      <c r="J661" s="1">
        <f t="shared" si="44"/>
        <v>531470.33000000019</v>
      </c>
    </row>
    <row r="662" spans="1:10" ht="12.75">
      <c r="A662" s="1" t="s">
        <v>13</v>
      </c>
      <c r="B662" s="1" t="s">
        <v>42</v>
      </c>
      <c r="C662" s="1" t="s">
        <v>76</v>
      </c>
      <c r="D662" s="2">
        <v>44795</v>
      </c>
      <c r="E662" s="1" t="s">
        <v>617</v>
      </c>
      <c r="F662" s="5">
        <f t="shared" si="41"/>
        <v>2492</v>
      </c>
      <c r="G662" s="1">
        <v>33</v>
      </c>
      <c r="H662" s="1" t="str">
        <f t="shared" si="42"/>
        <v>High</v>
      </c>
      <c r="I662" s="1" t="str">
        <f t="shared" si="43"/>
        <v>Other</v>
      </c>
      <c r="J662" s="1">
        <f t="shared" si="44"/>
        <v>531470.33000000019</v>
      </c>
    </row>
    <row r="663" spans="1:10" ht="12.75">
      <c r="A663" s="1" t="s">
        <v>23</v>
      </c>
      <c r="B663" s="1" t="s">
        <v>62</v>
      </c>
      <c r="C663" s="1" t="s">
        <v>55</v>
      </c>
      <c r="D663" s="2">
        <v>44565</v>
      </c>
      <c r="E663" s="1" t="s">
        <v>618</v>
      </c>
      <c r="F663" s="5">
        <f t="shared" si="41"/>
        <v>3024</v>
      </c>
      <c r="G663" s="1">
        <v>23</v>
      </c>
      <c r="H663" s="1" t="str">
        <f t="shared" si="42"/>
        <v>High</v>
      </c>
      <c r="I663" s="1" t="str">
        <f t="shared" si="43"/>
        <v>Other</v>
      </c>
      <c r="J663" s="1">
        <f t="shared" si="44"/>
        <v>531470.33000000019</v>
      </c>
    </row>
    <row r="664" spans="1:10" ht="12.75">
      <c r="A664" s="1" t="s">
        <v>24</v>
      </c>
      <c r="B664" s="1" t="s">
        <v>42</v>
      </c>
      <c r="C664" s="1" t="s">
        <v>72</v>
      </c>
      <c r="D664" s="2">
        <v>44656</v>
      </c>
      <c r="E664" s="1" t="s">
        <v>619</v>
      </c>
      <c r="F664" s="5">
        <f t="shared" si="41"/>
        <v>3437</v>
      </c>
      <c r="G664" s="1">
        <v>201</v>
      </c>
      <c r="H664" s="1" t="str">
        <f t="shared" si="42"/>
        <v>High</v>
      </c>
      <c r="I664" s="1" t="str">
        <f t="shared" si="43"/>
        <v>Other</v>
      </c>
      <c r="J664" s="1">
        <f t="shared" si="44"/>
        <v>531470.33000000019</v>
      </c>
    </row>
    <row r="665" spans="1:10" ht="12.75">
      <c r="A665" s="1" t="s">
        <v>28</v>
      </c>
      <c r="B665" s="1" t="s">
        <v>42</v>
      </c>
      <c r="C665" s="1" t="s">
        <v>72</v>
      </c>
      <c r="D665" s="2">
        <v>44666</v>
      </c>
      <c r="E665" s="1" t="s">
        <v>620</v>
      </c>
      <c r="F665" s="5">
        <f t="shared" si="41"/>
        <v>1869</v>
      </c>
      <c r="G665" s="1">
        <v>323</v>
      </c>
      <c r="H665" s="1" t="str">
        <f t="shared" si="42"/>
        <v>High</v>
      </c>
      <c r="I665" s="1" t="str">
        <f t="shared" si="43"/>
        <v>Other</v>
      </c>
      <c r="J665" s="1">
        <f t="shared" si="44"/>
        <v>531470.33000000019</v>
      </c>
    </row>
    <row r="666" spans="1:10" ht="12.75">
      <c r="A666" s="1" t="s">
        <v>13</v>
      </c>
      <c r="B666" s="1" t="s">
        <v>5</v>
      </c>
      <c r="C666" s="1" t="s">
        <v>84</v>
      </c>
      <c r="D666" s="2">
        <v>44692</v>
      </c>
      <c r="E666" s="1" t="s">
        <v>284</v>
      </c>
      <c r="F666" s="5">
        <f t="shared" si="41"/>
        <v>3171</v>
      </c>
      <c r="G666" s="1">
        <v>220</v>
      </c>
      <c r="H666" s="1" t="str">
        <f t="shared" si="42"/>
        <v>High</v>
      </c>
      <c r="I666" s="1" t="str">
        <f t="shared" si="43"/>
        <v>Other</v>
      </c>
      <c r="J666" s="1">
        <f t="shared" si="44"/>
        <v>531470.33000000019</v>
      </c>
    </row>
    <row r="667" spans="1:10" ht="12.75">
      <c r="A667" s="1" t="s">
        <v>27</v>
      </c>
      <c r="B667" s="1" t="s">
        <v>62</v>
      </c>
      <c r="C667" s="1" t="s">
        <v>86</v>
      </c>
      <c r="D667" s="2">
        <v>44763</v>
      </c>
      <c r="E667" s="1" t="s">
        <v>515</v>
      </c>
      <c r="F667" s="5">
        <f t="shared" si="41"/>
        <v>4858</v>
      </c>
      <c r="G667" s="1">
        <v>488</v>
      </c>
      <c r="H667" s="1" t="str">
        <f t="shared" si="42"/>
        <v>High</v>
      </c>
      <c r="I667" s="1" t="str">
        <f t="shared" si="43"/>
        <v>Other</v>
      </c>
      <c r="J667" s="1">
        <f t="shared" si="44"/>
        <v>531470.33000000019</v>
      </c>
    </row>
    <row r="668" spans="1:10" ht="12.75">
      <c r="A668" s="1" t="s">
        <v>15</v>
      </c>
      <c r="B668" s="1" t="s">
        <v>54</v>
      </c>
      <c r="C668" s="1" t="s">
        <v>60</v>
      </c>
      <c r="D668" s="2">
        <v>44603</v>
      </c>
      <c r="E668" s="1" t="s">
        <v>621</v>
      </c>
      <c r="F668" s="5">
        <f t="shared" si="41"/>
        <v>1225</v>
      </c>
      <c r="G668" s="1">
        <v>84</v>
      </c>
      <c r="H668" s="1" t="str">
        <f t="shared" si="42"/>
        <v>High</v>
      </c>
      <c r="I668" s="1" t="str">
        <f t="shared" si="43"/>
        <v>Other</v>
      </c>
      <c r="J668" s="1">
        <f t="shared" si="44"/>
        <v>531470.33000000019</v>
      </c>
    </row>
    <row r="669" spans="1:10" ht="12.75">
      <c r="A669" s="1" t="s">
        <v>27</v>
      </c>
      <c r="B669" s="1" t="s">
        <v>62</v>
      </c>
      <c r="C669" s="1" t="s">
        <v>49</v>
      </c>
      <c r="D669" s="2">
        <v>44750</v>
      </c>
      <c r="E669" s="1" t="s">
        <v>622</v>
      </c>
      <c r="F669" s="5">
        <f t="shared" si="41"/>
        <v>1155</v>
      </c>
      <c r="G669" s="1">
        <v>79</v>
      </c>
      <c r="H669" s="1" t="str">
        <f t="shared" si="42"/>
        <v>High</v>
      </c>
      <c r="I669" s="1" t="str">
        <f t="shared" si="43"/>
        <v>Other</v>
      </c>
      <c r="J669" s="1">
        <f t="shared" si="44"/>
        <v>531470.33000000019</v>
      </c>
    </row>
    <row r="670" spans="1:10" ht="12.75">
      <c r="A670" s="1" t="s">
        <v>23</v>
      </c>
      <c r="B670" s="1" t="s">
        <v>39</v>
      </c>
      <c r="C670" s="1" t="s">
        <v>100</v>
      </c>
      <c r="D670" s="2">
        <v>44784</v>
      </c>
      <c r="E670" s="1" t="s">
        <v>623</v>
      </c>
      <c r="F670" s="5">
        <f t="shared" si="41"/>
        <v>6811</v>
      </c>
      <c r="G670" s="1">
        <v>344</v>
      </c>
      <c r="H670" s="1" t="str">
        <f t="shared" si="42"/>
        <v>High</v>
      </c>
      <c r="I670" s="1" t="str">
        <f t="shared" si="43"/>
        <v>Other</v>
      </c>
      <c r="J670" s="1">
        <f t="shared" si="44"/>
        <v>531470.33000000019</v>
      </c>
    </row>
    <row r="671" spans="1:10" ht="12.75">
      <c r="A671" s="1" t="s">
        <v>13</v>
      </c>
      <c r="B671" s="1" t="s">
        <v>54</v>
      </c>
      <c r="C671" s="1" t="s">
        <v>52</v>
      </c>
      <c r="D671" s="2">
        <v>44777</v>
      </c>
      <c r="E671" s="1" t="s">
        <v>624</v>
      </c>
      <c r="F671" s="5">
        <f t="shared" si="41"/>
        <v>6433</v>
      </c>
      <c r="G671" s="1">
        <v>7</v>
      </c>
      <c r="H671" s="1" t="str">
        <f t="shared" si="42"/>
        <v>High</v>
      </c>
      <c r="I671" s="1" t="str">
        <f t="shared" si="43"/>
        <v>Other</v>
      </c>
      <c r="J671" s="1">
        <f t="shared" si="44"/>
        <v>531470.33000000019</v>
      </c>
    </row>
    <row r="672" spans="1:10" ht="12.75">
      <c r="A672" s="1" t="s">
        <v>27</v>
      </c>
      <c r="B672" s="1" t="s">
        <v>54</v>
      </c>
      <c r="C672" s="1" t="s">
        <v>60</v>
      </c>
      <c r="D672" s="2">
        <v>44726</v>
      </c>
      <c r="E672" s="1" t="s">
        <v>625</v>
      </c>
      <c r="F672" s="5">
        <f t="shared" si="41"/>
        <v>8169</v>
      </c>
      <c r="G672" s="1">
        <v>88</v>
      </c>
      <c r="H672" s="1" t="str">
        <f t="shared" si="42"/>
        <v>High</v>
      </c>
      <c r="I672" s="1" t="str">
        <f t="shared" si="43"/>
        <v>Other</v>
      </c>
      <c r="J672" s="1">
        <f t="shared" si="44"/>
        <v>531470.33000000019</v>
      </c>
    </row>
    <row r="673" spans="1:10" ht="12.75">
      <c r="A673" s="1" t="s">
        <v>6</v>
      </c>
      <c r="B673" s="1" t="s">
        <v>39</v>
      </c>
      <c r="C673" s="1" t="s">
        <v>122</v>
      </c>
      <c r="D673" s="2">
        <v>44578</v>
      </c>
      <c r="E673" s="1" t="s">
        <v>626</v>
      </c>
      <c r="F673" s="5">
        <f t="shared" si="41"/>
        <v>2275</v>
      </c>
      <c r="G673" s="1">
        <v>275</v>
      </c>
      <c r="H673" s="1" t="str">
        <f t="shared" si="42"/>
        <v>High</v>
      </c>
      <c r="I673" s="1" t="str">
        <f t="shared" si="43"/>
        <v>Other</v>
      </c>
      <c r="J673" s="1">
        <f t="shared" si="44"/>
        <v>531470.33000000019</v>
      </c>
    </row>
    <row r="674" spans="1:10" ht="12.75">
      <c r="A674" s="1" t="s">
        <v>11</v>
      </c>
      <c r="B674" s="1" t="s">
        <v>62</v>
      </c>
      <c r="C674" s="1" t="s">
        <v>60</v>
      </c>
      <c r="D674" s="2">
        <v>44735</v>
      </c>
      <c r="E674" s="1" t="s">
        <v>627</v>
      </c>
      <c r="F674" s="5">
        <f t="shared" si="41"/>
        <v>3857</v>
      </c>
      <c r="G674" s="1">
        <v>512</v>
      </c>
      <c r="H674" s="1" t="str">
        <f t="shared" si="42"/>
        <v>High</v>
      </c>
      <c r="I674" s="1" t="str">
        <f t="shared" si="43"/>
        <v>Other</v>
      </c>
      <c r="J674" s="1">
        <f t="shared" si="44"/>
        <v>531470.33000000019</v>
      </c>
    </row>
    <row r="675" spans="1:10" ht="12.75">
      <c r="A675" s="1" t="s">
        <v>11</v>
      </c>
      <c r="B675" s="1" t="s">
        <v>39</v>
      </c>
      <c r="C675" s="1" t="s">
        <v>49</v>
      </c>
      <c r="D675" s="2">
        <v>44797</v>
      </c>
      <c r="E675" s="1" t="s">
        <v>628</v>
      </c>
      <c r="F675" s="5">
        <f t="shared" si="41"/>
        <v>1463</v>
      </c>
      <c r="G675" s="1">
        <v>113</v>
      </c>
      <c r="H675" s="1" t="str">
        <f t="shared" si="42"/>
        <v>High</v>
      </c>
      <c r="I675" s="1" t="str">
        <f t="shared" si="43"/>
        <v>Other</v>
      </c>
      <c r="J675" s="1">
        <f t="shared" si="44"/>
        <v>531470.33000000019</v>
      </c>
    </row>
    <row r="676" spans="1:10" ht="12.75">
      <c r="A676" s="1" t="s">
        <v>27</v>
      </c>
      <c r="B676" s="1" t="s">
        <v>39</v>
      </c>
      <c r="C676" s="1" t="s">
        <v>126</v>
      </c>
      <c r="D676" s="2">
        <v>44719</v>
      </c>
      <c r="E676" s="1" t="s">
        <v>629</v>
      </c>
      <c r="F676" s="5">
        <f t="shared" si="41"/>
        <v>7924</v>
      </c>
      <c r="G676" s="1">
        <v>275</v>
      </c>
      <c r="H676" s="1" t="str">
        <f t="shared" si="42"/>
        <v>High</v>
      </c>
      <c r="I676" s="1" t="str">
        <f t="shared" si="43"/>
        <v>Other</v>
      </c>
      <c r="J676" s="1">
        <f t="shared" si="44"/>
        <v>531470.33000000019</v>
      </c>
    </row>
    <row r="677" spans="1:10" ht="12.75">
      <c r="A677" s="1" t="s">
        <v>15</v>
      </c>
      <c r="B677" s="1" t="s">
        <v>39</v>
      </c>
      <c r="C677" s="1" t="s">
        <v>84</v>
      </c>
      <c r="D677" s="2">
        <v>44734</v>
      </c>
      <c r="E677" s="1" t="s">
        <v>73</v>
      </c>
      <c r="F677" s="5">
        <f t="shared" si="41"/>
        <v>8799</v>
      </c>
      <c r="G677" s="1">
        <v>47</v>
      </c>
      <c r="H677" s="1" t="str">
        <f t="shared" si="42"/>
        <v>High</v>
      </c>
      <c r="I677" s="1" t="str">
        <f t="shared" si="43"/>
        <v>Other</v>
      </c>
      <c r="J677" s="1">
        <f t="shared" si="44"/>
        <v>531470.33000000019</v>
      </c>
    </row>
    <row r="678" spans="1:10" ht="12.75">
      <c r="A678" s="1" t="s">
        <v>21</v>
      </c>
      <c r="B678" s="1" t="s">
        <v>59</v>
      </c>
      <c r="C678" s="1" t="s">
        <v>81</v>
      </c>
      <c r="D678" s="2">
        <v>44755</v>
      </c>
      <c r="E678" s="1" t="s">
        <v>630</v>
      </c>
      <c r="F678" s="5">
        <f t="shared" si="41"/>
        <v>2898</v>
      </c>
      <c r="G678" s="1">
        <v>276</v>
      </c>
      <c r="H678" s="1" t="str">
        <f t="shared" si="42"/>
        <v>High</v>
      </c>
      <c r="I678" s="1" t="str">
        <f t="shared" si="43"/>
        <v>Other</v>
      </c>
      <c r="J678" s="1">
        <f t="shared" si="44"/>
        <v>531470.33000000019</v>
      </c>
    </row>
    <row r="679" spans="1:10" ht="12.75">
      <c r="A679" s="1" t="s">
        <v>12</v>
      </c>
      <c r="B679" s="1" t="s">
        <v>39</v>
      </c>
      <c r="C679" s="1" t="s">
        <v>102</v>
      </c>
      <c r="D679" s="2">
        <v>44705</v>
      </c>
      <c r="E679" s="1" t="s">
        <v>631</v>
      </c>
      <c r="F679" s="5">
        <f t="shared" si="41"/>
        <v>9506</v>
      </c>
      <c r="G679" s="1">
        <v>212</v>
      </c>
      <c r="H679" s="1" t="str">
        <f t="shared" si="42"/>
        <v>High</v>
      </c>
      <c r="I679" s="1" t="str">
        <f t="shared" si="43"/>
        <v>Other</v>
      </c>
      <c r="J679" s="1">
        <f t="shared" si="44"/>
        <v>531470.33000000019</v>
      </c>
    </row>
    <row r="680" spans="1:10" ht="12.75">
      <c r="A680" s="1" t="s">
        <v>23</v>
      </c>
      <c r="B680" s="1" t="s">
        <v>54</v>
      </c>
      <c r="C680" s="1" t="s">
        <v>52</v>
      </c>
      <c r="D680" s="2">
        <v>44782</v>
      </c>
      <c r="E680" s="1" t="s">
        <v>632</v>
      </c>
      <c r="F680" s="5">
        <f t="shared" si="41"/>
        <v>7175</v>
      </c>
      <c r="G680" s="1">
        <v>145</v>
      </c>
      <c r="H680" s="1" t="str">
        <f t="shared" si="42"/>
        <v>High</v>
      </c>
      <c r="I680" s="1" t="str">
        <f t="shared" si="43"/>
        <v>Other</v>
      </c>
      <c r="J680" s="1">
        <f t="shared" si="44"/>
        <v>531470.33000000019</v>
      </c>
    </row>
    <row r="681" spans="1:10" ht="12.75">
      <c r="A681" s="1" t="s">
        <v>8</v>
      </c>
      <c r="B681" s="1" t="s">
        <v>62</v>
      </c>
      <c r="C681" s="1" t="s">
        <v>43</v>
      </c>
      <c r="D681" s="2">
        <v>44657</v>
      </c>
      <c r="E681" s="1" t="s">
        <v>633</v>
      </c>
      <c r="F681" s="5">
        <f t="shared" si="41"/>
        <v>1729</v>
      </c>
      <c r="G681" s="1">
        <v>31</v>
      </c>
      <c r="H681" s="1" t="str">
        <f t="shared" si="42"/>
        <v>High</v>
      </c>
      <c r="I681" s="1" t="str">
        <f t="shared" si="43"/>
        <v>Other</v>
      </c>
      <c r="J681" s="1">
        <f t="shared" si="44"/>
        <v>531470.33000000019</v>
      </c>
    </row>
    <row r="682" spans="1:10" ht="12.75">
      <c r="A682" s="1" t="s">
        <v>15</v>
      </c>
      <c r="B682" s="1" t="s">
        <v>54</v>
      </c>
      <c r="C682" s="1" t="s">
        <v>86</v>
      </c>
      <c r="D682" s="2">
        <v>44770</v>
      </c>
      <c r="E682" s="1" t="s">
        <v>634</v>
      </c>
      <c r="F682" s="5">
        <f t="shared" si="41"/>
        <v>1589</v>
      </c>
      <c r="G682" s="1">
        <v>271</v>
      </c>
      <c r="H682" s="1" t="str">
        <f t="shared" si="42"/>
        <v>High</v>
      </c>
      <c r="I682" s="1" t="str">
        <f t="shared" si="43"/>
        <v>Other</v>
      </c>
      <c r="J682" s="1">
        <f t="shared" si="44"/>
        <v>531470.33000000019</v>
      </c>
    </row>
    <row r="683" spans="1:10" ht="12.75">
      <c r="A683" s="1" t="s">
        <v>23</v>
      </c>
      <c r="B683" s="1" t="s">
        <v>54</v>
      </c>
      <c r="C683" s="1" t="s">
        <v>100</v>
      </c>
      <c r="D683" s="2">
        <v>44797</v>
      </c>
      <c r="E683" s="1" t="s">
        <v>155</v>
      </c>
      <c r="F683" s="5">
        <f t="shared" si="41"/>
        <v>630</v>
      </c>
      <c r="G683" s="1">
        <v>52</v>
      </c>
      <c r="H683" s="1" t="str">
        <f t="shared" si="42"/>
        <v>Medium</v>
      </c>
      <c r="I683" s="1" t="str">
        <f t="shared" si="43"/>
        <v>Other</v>
      </c>
      <c r="J683" s="1">
        <f t="shared" si="44"/>
        <v>531470.33000000019</v>
      </c>
    </row>
    <row r="684" spans="1:10" ht="12.75">
      <c r="A684" s="1" t="s">
        <v>10</v>
      </c>
      <c r="B684" s="1" t="s">
        <v>5</v>
      </c>
      <c r="C684" s="1" t="s">
        <v>51</v>
      </c>
      <c r="D684" s="2">
        <v>44578</v>
      </c>
      <c r="E684" s="1" t="s">
        <v>465</v>
      </c>
      <c r="F684" s="5">
        <f t="shared" si="41"/>
        <v>112</v>
      </c>
      <c r="G684" s="1">
        <v>128</v>
      </c>
      <c r="H684" s="1" t="str">
        <f t="shared" si="42"/>
        <v>Low</v>
      </c>
      <c r="I684" s="1" t="str">
        <f t="shared" si="43"/>
        <v>Other</v>
      </c>
      <c r="J684" s="1">
        <f t="shared" si="44"/>
        <v>531470.33000000019</v>
      </c>
    </row>
    <row r="685" spans="1:10" ht="12.75">
      <c r="A685" s="1" t="s">
        <v>24</v>
      </c>
      <c r="B685" s="1" t="s">
        <v>59</v>
      </c>
      <c r="C685" s="1" t="s">
        <v>65</v>
      </c>
      <c r="D685" s="2">
        <v>44599</v>
      </c>
      <c r="E685" s="1" t="s">
        <v>635</v>
      </c>
      <c r="F685" s="5">
        <f t="shared" si="41"/>
        <v>5187</v>
      </c>
      <c r="G685" s="1">
        <v>142</v>
      </c>
      <c r="H685" s="1" t="str">
        <f t="shared" si="42"/>
        <v>High</v>
      </c>
      <c r="I685" s="1" t="str">
        <f t="shared" si="43"/>
        <v>Other</v>
      </c>
      <c r="J685" s="1">
        <f t="shared" si="44"/>
        <v>531470.33000000019</v>
      </c>
    </row>
    <row r="686" spans="1:10" ht="12.75">
      <c r="A686" s="1" t="s">
        <v>7</v>
      </c>
      <c r="B686" s="1" t="s">
        <v>5</v>
      </c>
      <c r="C686" s="1" t="s">
        <v>76</v>
      </c>
      <c r="D686" s="2">
        <v>44690</v>
      </c>
      <c r="E686" s="1" t="s">
        <v>636</v>
      </c>
      <c r="F686" s="5">
        <f t="shared" si="41"/>
        <v>6223</v>
      </c>
      <c r="G686" s="1">
        <v>256</v>
      </c>
      <c r="H686" s="1" t="str">
        <f t="shared" si="42"/>
        <v>High</v>
      </c>
      <c r="I686" s="1" t="str">
        <f t="shared" si="43"/>
        <v>Other</v>
      </c>
      <c r="J686" s="1">
        <f t="shared" si="44"/>
        <v>531470.33000000019</v>
      </c>
    </row>
    <row r="687" spans="1:10" ht="12.75">
      <c r="A687" s="1" t="s">
        <v>2</v>
      </c>
      <c r="B687" s="1" t="s">
        <v>54</v>
      </c>
      <c r="C687" s="1" t="s">
        <v>43</v>
      </c>
      <c r="D687" s="2">
        <v>44718</v>
      </c>
      <c r="E687" s="1" t="s">
        <v>331</v>
      </c>
      <c r="F687" s="5">
        <f t="shared" si="41"/>
        <v>7714</v>
      </c>
      <c r="G687" s="1">
        <v>106</v>
      </c>
      <c r="H687" s="1" t="str">
        <f t="shared" si="42"/>
        <v>High</v>
      </c>
      <c r="I687" s="1" t="str">
        <f t="shared" si="43"/>
        <v>Other</v>
      </c>
      <c r="J687" s="1">
        <f t="shared" si="44"/>
        <v>531470.33000000019</v>
      </c>
    </row>
    <row r="688" spans="1:10" ht="12.75">
      <c r="A688" s="1" t="s">
        <v>29</v>
      </c>
      <c r="B688" s="1" t="s">
        <v>59</v>
      </c>
      <c r="C688" s="1" t="s">
        <v>102</v>
      </c>
      <c r="D688" s="2">
        <v>44718</v>
      </c>
      <c r="E688" s="1" t="s">
        <v>637</v>
      </c>
      <c r="F688" s="5">
        <f t="shared" si="41"/>
        <v>9457</v>
      </c>
      <c r="G688" s="1">
        <v>6</v>
      </c>
      <c r="H688" s="1" t="str">
        <f t="shared" si="42"/>
        <v>High</v>
      </c>
      <c r="I688" s="1" t="str">
        <f t="shared" si="43"/>
        <v>Other</v>
      </c>
      <c r="J688" s="1">
        <f t="shared" si="44"/>
        <v>523756.33000000013</v>
      </c>
    </row>
    <row r="689" spans="1:10" ht="12.75">
      <c r="A689" s="1" t="s">
        <v>28</v>
      </c>
      <c r="B689" s="1" t="s">
        <v>54</v>
      </c>
      <c r="C689" s="1" t="s">
        <v>68</v>
      </c>
      <c r="D689" s="2">
        <v>44705</v>
      </c>
      <c r="E689" s="1" t="s">
        <v>481</v>
      </c>
      <c r="F689" s="5">
        <f t="shared" si="41"/>
        <v>6678</v>
      </c>
      <c r="G689" s="1">
        <v>226</v>
      </c>
      <c r="H689" s="1" t="str">
        <f t="shared" si="42"/>
        <v>High</v>
      </c>
      <c r="I689" s="1" t="str">
        <f t="shared" si="43"/>
        <v>Other</v>
      </c>
      <c r="J689" s="1">
        <f t="shared" si="44"/>
        <v>523756.33000000013</v>
      </c>
    </row>
    <row r="690" spans="1:10" ht="12.75">
      <c r="A690" s="1" t="s">
        <v>23</v>
      </c>
      <c r="B690" s="1" t="s">
        <v>39</v>
      </c>
      <c r="C690" s="1" t="s">
        <v>55</v>
      </c>
      <c r="D690" s="2">
        <v>44574</v>
      </c>
      <c r="E690" s="1" t="s">
        <v>638</v>
      </c>
      <c r="F690" s="5">
        <f t="shared" si="41"/>
        <v>2107</v>
      </c>
      <c r="G690" s="1">
        <v>121</v>
      </c>
      <c r="H690" s="1" t="str">
        <f t="shared" si="42"/>
        <v>High</v>
      </c>
      <c r="I690" s="1" t="str">
        <f t="shared" si="43"/>
        <v>Other</v>
      </c>
      <c r="J690" s="1">
        <f t="shared" si="44"/>
        <v>523756.33000000013</v>
      </c>
    </row>
    <row r="691" spans="1:10" ht="12.75">
      <c r="A691" s="1" t="s">
        <v>14</v>
      </c>
      <c r="B691" s="1" t="s">
        <v>59</v>
      </c>
      <c r="C691" s="1" t="s">
        <v>100</v>
      </c>
      <c r="D691" s="2">
        <v>44704</v>
      </c>
      <c r="E691" s="1" t="s">
        <v>613</v>
      </c>
      <c r="F691" s="5">
        <f t="shared" si="41"/>
        <v>6069</v>
      </c>
      <c r="G691" s="1">
        <v>151</v>
      </c>
      <c r="H691" s="1" t="str">
        <f t="shared" si="42"/>
        <v>High</v>
      </c>
      <c r="I691" s="1" t="str">
        <f t="shared" si="43"/>
        <v>Other</v>
      </c>
      <c r="J691" s="1">
        <f t="shared" si="44"/>
        <v>523756.33000000013</v>
      </c>
    </row>
    <row r="692" spans="1:10" ht="12.75">
      <c r="A692" s="1" t="s">
        <v>11</v>
      </c>
      <c r="B692" s="1" t="s">
        <v>39</v>
      </c>
      <c r="C692" s="1" t="s">
        <v>84</v>
      </c>
      <c r="D692" s="2">
        <v>44741</v>
      </c>
      <c r="E692" s="1" t="s">
        <v>639</v>
      </c>
      <c r="F692" s="5">
        <f t="shared" si="41"/>
        <v>1862</v>
      </c>
      <c r="G692" s="1">
        <v>284</v>
      </c>
      <c r="H692" s="1" t="str">
        <f t="shared" si="42"/>
        <v>High</v>
      </c>
      <c r="I692" s="1" t="str">
        <f t="shared" si="43"/>
        <v>Other</v>
      </c>
      <c r="J692" s="1">
        <f t="shared" si="44"/>
        <v>523756.33000000013</v>
      </c>
    </row>
    <row r="693" spans="1:10" ht="12.75">
      <c r="A693" s="1" t="s">
        <v>11</v>
      </c>
      <c r="B693" s="1" t="s">
        <v>54</v>
      </c>
      <c r="C693" s="1" t="s">
        <v>43</v>
      </c>
      <c r="D693" s="2">
        <v>44631</v>
      </c>
      <c r="E693" s="1" t="s">
        <v>640</v>
      </c>
      <c r="F693" s="5">
        <f t="shared" si="41"/>
        <v>6972</v>
      </c>
      <c r="G693" s="1">
        <v>89</v>
      </c>
      <c r="H693" s="1" t="str">
        <f t="shared" si="42"/>
        <v>High</v>
      </c>
      <c r="I693" s="1" t="str">
        <f t="shared" si="43"/>
        <v>Other</v>
      </c>
      <c r="J693" s="1">
        <f t="shared" si="44"/>
        <v>523756.33000000013</v>
      </c>
    </row>
    <row r="694" spans="1:10" ht="12.75">
      <c r="A694" s="1" t="s">
        <v>21</v>
      </c>
      <c r="B694" s="1" t="s">
        <v>59</v>
      </c>
      <c r="C694" s="1" t="s">
        <v>43</v>
      </c>
      <c r="D694" s="2">
        <v>44676</v>
      </c>
      <c r="E694" s="1" t="s">
        <v>641</v>
      </c>
      <c r="F694" s="5">
        <f t="shared" si="41"/>
        <v>10220</v>
      </c>
      <c r="G694" s="1">
        <v>508</v>
      </c>
      <c r="H694" s="1" t="str">
        <f t="shared" si="42"/>
        <v>High</v>
      </c>
      <c r="I694" s="1" t="str">
        <f t="shared" si="43"/>
        <v>Other</v>
      </c>
      <c r="J694" s="1">
        <f t="shared" si="44"/>
        <v>523756.33000000013</v>
      </c>
    </row>
    <row r="695" spans="1:10" ht="12.75">
      <c r="A695" s="1" t="s">
        <v>19</v>
      </c>
      <c r="B695" s="1" t="s">
        <v>5</v>
      </c>
      <c r="C695" s="1" t="s">
        <v>49</v>
      </c>
      <c r="D695" s="2">
        <v>44711</v>
      </c>
      <c r="E695" s="1" t="s">
        <v>642</v>
      </c>
      <c r="F695" s="5">
        <f t="shared" si="41"/>
        <v>3969</v>
      </c>
      <c r="G695" s="1">
        <v>243</v>
      </c>
      <c r="H695" s="1" t="str">
        <f t="shared" si="42"/>
        <v>High</v>
      </c>
      <c r="I695" s="1" t="str">
        <f t="shared" si="43"/>
        <v>Other</v>
      </c>
      <c r="J695" s="1">
        <f t="shared" si="44"/>
        <v>523756.33000000013</v>
      </c>
    </row>
    <row r="696" spans="1:10" ht="12.75">
      <c r="A696" s="1" t="s">
        <v>24</v>
      </c>
      <c r="B696" s="1" t="s">
        <v>42</v>
      </c>
      <c r="C696" s="1" t="s">
        <v>86</v>
      </c>
      <c r="D696" s="2">
        <v>44704</v>
      </c>
      <c r="E696" s="1" t="s">
        <v>643</v>
      </c>
      <c r="F696" s="5">
        <f t="shared" si="41"/>
        <v>1547</v>
      </c>
      <c r="G696" s="1">
        <v>170</v>
      </c>
      <c r="H696" s="1" t="str">
        <f t="shared" si="42"/>
        <v>High</v>
      </c>
      <c r="I696" s="1" t="str">
        <f t="shared" si="43"/>
        <v>Other</v>
      </c>
      <c r="J696" s="1">
        <f t="shared" si="44"/>
        <v>523756.33000000013</v>
      </c>
    </row>
    <row r="697" spans="1:10" ht="12.75">
      <c r="A697" s="1" t="s">
        <v>2</v>
      </c>
      <c r="B697" s="1" t="s">
        <v>59</v>
      </c>
      <c r="C697" s="1" t="s">
        <v>45</v>
      </c>
      <c r="D697" s="2">
        <v>44704</v>
      </c>
      <c r="E697" s="1" t="s">
        <v>258</v>
      </c>
      <c r="F697" s="5">
        <f t="shared" si="41"/>
        <v>1162</v>
      </c>
      <c r="G697" s="1">
        <v>18</v>
      </c>
      <c r="H697" s="1" t="str">
        <f t="shared" si="42"/>
        <v>High</v>
      </c>
      <c r="I697" s="1" t="str">
        <f t="shared" si="43"/>
        <v>Other</v>
      </c>
      <c r="J697" s="1">
        <f t="shared" si="44"/>
        <v>523756.33000000013</v>
      </c>
    </row>
    <row r="698" spans="1:10" ht="12.75">
      <c r="A698" s="1" t="s">
        <v>10</v>
      </c>
      <c r="B698" s="1" t="s">
        <v>62</v>
      </c>
      <c r="C698" s="1" t="s">
        <v>45</v>
      </c>
      <c r="D698" s="2">
        <v>44736</v>
      </c>
      <c r="E698" s="1" t="s">
        <v>524</v>
      </c>
      <c r="F698" s="5">
        <f t="shared" si="41"/>
        <v>6342</v>
      </c>
      <c r="G698" s="1">
        <v>282</v>
      </c>
      <c r="H698" s="1" t="str">
        <f t="shared" si="42"/>
        <v>High</v>
      </c>
      <c r="I698" s="1" t="str">
        <f t="shared" si="43"/>
        <v>Other</v>
      </c>
      <c r="J698" s="1">
        <f t="shared" si="44"/>
        <v>522594.33000000013</v>
      </c>
    </row>
    <row r="699" spans="1:10" ht="12.75">
      <c r="A699" s="1" t="s">
        <v>12</v>
      </c>
      <c r="B699" s="1" t="s">
        <v>54</v>
      </c>
      <c r="C699" s="1" t="s">
        <v>49</v>
      </c>
      <c r="D699" s="2">
        <v>44631</v>
      </c>
      <c r="E699" s="1" t="s">
        <v>644</v>
      </c>
      <c r="F699" s="5">
        <f t="shared" si="41"/>
        <v>10633</v>
      </c>
      <c r="G699" s="1">
        <v>277</v>
      </c>
      <c r="H699" s="1" t="str">
        <f t="shared" si="42"/>
        <v>High</v>
      </c>
      <c r="I699" s="1" t="str">
        <f t="shared" si="43"/>
        <v>Other</v>
      </c>
      <c r="J699" s="1">
        <f t="shared" si="44"/>
        <v>522594.33000000013</v>
      </c>
    </row>
    <row r="700" spans="1:10" ht="12.75">
      <c r="A700" s="1" t="s">
        <v>19</v>
      </c>
      <c r="B700" s="1" t="s">
        <v>59</v>
      </c>
      <c r="C700" s="1" t="s">
        <v>49</v>
      </c>
      <c r="D700" s="2">
        <v>44769</v>
      </c>
      <c r="E700" s="1" t="s">
        <v>645</v>
      </c>
      <c r="F700" s="5">
        <f t="shared" si="41"/>
        <v>15057</v>
      </c>
      <c r="G700" s="1">
        <v>212</v>
      </c>
      <c r="H700" s="1" t="str">
        <f t="shared" si="42"/>
        <v>High</v>
      </c>
      <c r="I700" s="1" t="str">
        <f t="shared" si="43"/>
        <v>Other</v>
      </c>
      <c r="J700" s="1">
        <f t="shared" si="44"/>
        <v>522594.33000000013</v>
      </c>
    </row>
    <row r="701" spans="1:10" ht="12.75">
      <c r="A701" s="1" t="s">
        <v>19</v>
      </c>
      <c r="B701" s="1" t="s">
        <v>59</v>
      </c>
      <c r="C701" s="1" t="s">
        <v>84</v>
      </c>
      <c r="D701" s="2">
        <v>44789</v>
      </c>
      <c r="E701" s="1" t="s">
        <v>58</v>
      </c>
      <c r="F701" s="5">
        <f t="shared" si="41"/>
        <v>4704</v>
      </c>
      <c r="G701" s="1">
        <v>126</v>
      </c>
      <c r="H701" s="1" t="str">
        <f t="shared" si="42"/>
        <v>High</v>
      </c>
      <c r="I701" s="1" t="str">
        <f t="shared" si="43"/>
        <v>Other</v>
      </c>
      <c r="J701" s="1">
        <f t="shared" si="44"/>
        <v>522594.33000000013</v>
      </c>
    </row>
    <row r="702" spans="1:10" ht="12.75">
      <c r="A702" s="1" t="s">
        <v>26</v>
      </c>
      <c r="B702" s="1" t="s">
        <v>62</v>
      </c>
      <c r="C702" s="1" t="s">
        <v>49</v>
      </c>
      <c r="D702" s="2">
        <v>44627</v>
      </c>
      <c r="E702" s="1" t="s">
        <v>646</v>
      </c>
      <c r="F702" s="5">
        <f t="shared" si="41"/>
        <v>9338</v>
      </c>
      <c r="G702" s="1">
        <v>11</v>
      </c>
      <c r="H702" s="1" t="str">
        <f t="shared" si="42"/>
        <v>High</v>
      </c>
      <c r="I702" s="1" t="str">
        <f t="shared" si="43"/>
        <v>Other</v>
      </c>
      <c r="J702" s="1">
        <f t="shared" si="44"/>
        <v>522594.33000000013</v>
      </c>
    </row>
    <row r="703" spans="1:10" ht="12.75">
      <c r="A703" s="1" t="s">
        <v>24</v>
      </c>
      <c r="B703" s="1" t="s">
        <v>54</v>
      </c>
      <c r="C703" s="1" t="s">
        <v>52</v>
      </c>
      <c r="D703" s="2">
        <v>44656</v>
      </c>
      <c r="E703" s="1" t="s">
        <v>608</v>
      </c>
      <c r="F703" s="5">
        <f t="shared" si="41"/>
        <v>7959</v>
      </c>
      <c r="G703" s="1">
        <v>30</v>
      </c>
      <c r="H703" s="1" t="str">
        <f t="shared" si="42"/>
        <v>High</v>
      </c>
      <c r="I703" s="1" t="str">
        <f t="shared" si="43"/>
        <v>Other</v>
      </c>
      <c r="J703" s="1">
        <f t="shared" si="44"/>
        <v>522594.33000000013</v>
      </c>
    </row>
    <row r="704" spans="1:10" ht="12.75">
      <c r="A704" s="1" t="s">
        <v>25</v>
      </c>
      <c r="B704" s="1" t="s">
        <v>42</v>
      </c>
      <c r="C704" s="1" t="s">
        <v>43</v>
      </c>
      <c r="D704" s="2">
        <v>44685</v>
      </c>
      <c r="E704" s="1" t="s">
        <v>452</v>
      </c>
      <c r="F704" s="5">
        <f t="shared" si="41"/>
        <v>9023</v>
      </c>
      <c r="G704" s="1">
        <v>51</v>
      </c>
      <c r="H704" s="1" t="str">
        <f t="shared" si="42"/>
        <v>High</v>
      </c>
      <c r="I704" s="1" t="str">
        <f t="shared" si="43"/>
        <v>Other</v>
      </c>
      <c r="J704" s="1">
        <f t="shared" si="44"/>
        <v>522594.33000000013</v>
      </c>
    </row>
    <row r="705" spans="1:10" ht="12.75">
      <c r="A705" s="1" t="s">
        <v>17</v>
      </c>
      <c r="B705" s="1" t="s">
        <v>59</v>
      </c>
      <c r="C705" s="1" t="s">
        <v>102</v>
      </c>
      <c r="D705" s="2">
        <v>44565</v>
      </c>
      <c r="E705" s="1" t="s">
        <v>647</v>
      </c>
      <c r="F705" s="5">
        <f t="shared" si="41"/>
        <v>14525</v>
      </c>
      <c r="G705" s="1">
        <v>92</v>
      </c>
      <c r="H705" s="1" t="str">
        <f t="shared" si="42"/>
        <v>High</v>
      </c>
      <c r="I705" s="1" t="str">
        <f t="shared" si="43"/>
        <v>Other</v>
      </c>
      <c r="J705" s="1">
        <f t="shared" si="44"/>
        <v>522594.33000000013</v>
      </c>
    </row>
    <row r="706" spans="1:10" ht="12.75">
      <c r="A706" s="1" t="s">
        <v>14</v>
      </c>
      <c r="B706" s="1" t="s">
        <v>5</v>
      </c>
      <c r="C706" s="1" t="s">
        <v>122</v>
      </c>
      <c r="D706" s="2">
        <v>44574</v>
      </c>
      <c r="E706" s="1" t="s">
        <v>648</v>
      </c>
      <c r="F706" s="5">
        <f t="shared" ref="F706:F769" si="45">VALUE(SUBSTITUTE(E706,"$",""))</f>
        <v>5810</v>
      </c>
      <c r="G706" s="1">
        <v>101</v>
      </c>
      <c r="H706" s="1" t="str">
        <f t="shared" ref="H706:H769" si="46">IF(F706&gt;800,"High",IF(F706&gt;500,"Medium","Low"))</f>
        <v>High</v>
      </c>
      <c r="I706" s="1" t="str">
        <f t="shared" ref="I706:I769" si="47">IF(AND(B706="Australia",A706="Mallorie Waber"),"Top Local","Other")</f>
        <v>Other</v>
      </c>
      <c r="J706" s="1">
        <f t="shared" ref="J706:J769" si="48">SUMIF(A706:A3986,"Mallorie Waber",F706:F3986)</f>
        <v>522594.33000000013</v>
      </c>
    </row>
    <row r="707" spans="1:10" ht="12.75">
      <c r="A707" s="1" t="s">
        <v>29</v>
      </c>
      <c r="B707" s="1" t="s">
        <v>54</v>
      </c>
      <c r="C707" s="1" t="s">
        <v>81</v>
      </c>
      <c r="D707" s="2">
        <v>44753</v>
      </c>
      <c r="E707" s="1" t="s">
        <v>558</v>
      </c>
      <c r="F707" s="5">
        <f t="shared" si="45"/>
        <v>6426</v>
      </c>
      <c r="G707" s="1">
        <v>98</v>
      </c>
      <c r="H707" s="1" t="str">
        <f t="shared" si="46"/>
        <v>High</v>
      </c>
      <c r="I707" s="1" t="str">
        <f t="shared" si="47"/>
        <v>Other</v>
      </c>
      <c r="J707" s="1">
        <f t="shared" si="48"/>
        <v>522594.33000000013</v>
      </c>
    </row>
    <row r="708" spans="1:10" ht="12.75">
      <c r="A708" s="1" t="s">
        <v>8</v>
      </c>
      <c r="B708" s="1" t="s">
        <v>5</v>
      </c>
      <c r="C708" s="1" t="s">
        <v>40</v>
      </c>
      <c r="D708" s="2">
        <v>44698</v>
      </c>
      <c r="E708" s="1" t="s">
        <v>296</v>
      </c>
      <c r="F708" s="5">
        <f t="shared" si="45"/>
        <v>4403</v>
      </c>
      <c r="G708" s="1">
        <v>159</v>
      </c>
      <c r="H708" s="1" t="str">
        <f t="shared" si="46"/>
        <v>High</v>
      </c>
      <c r="I708" s="1" t="str">
        <f t="shared" si="47"/>
        <v>Other</v>
      </c>
      <c r="J708" s="1">
        <f t="shared" si="48"/>
        <v>522594.33000000013</v>
      </c>
    </row>
    <row r="709" spans="1:10" ht="12.75">
      <c r="A709" s="1" t="s">
        <v>25</v>
      </c>
      <c r="B709" s="1" t="s">
        <v>54</v>
      </c>
      <c r="C709" s="1" t="s">
        <v>45</v>
      </c>
      <c r="D709" s="2">
        <v>44763</v>
      </c>
      <c r="E709" s="1" t="s">
        <v>649</v>
      </c>
      <c r="F709" s="5">
        <f t="shared" si="45"/>
        <v>1582</v>
      </c>
      <c r="G709" s="1">
        <v>62</v>
      </c>
      <c r="H709" s="1" t="str">
        <f t="shared" si="46"/>
        <v>High</v>
      </c>
      <c r="I709" s="1" t="str">
        <f t="shared" si="47"/>
        <v>Other</v>
      </c>
      <c r="J709" s="1">
        <f t="shared" si="48"/>
        <v>522594.33000000013</v>
      </c>
    </row>
    <row r="710" spans="1:10" ht="12.75">
      <c r="A710" s="1" t="s">
        <v>24</v>
      </c>
      <c r="B710" s="1" t="s">
        <v>62</v>
      </c>
      <c r="C710" s="1" t="s">
        <v>68</v>
      </c>
      <c r="D710" s="2">
        <v>44614</v>
      </c>
      <c r="E710" s="1" t="s">
        <v>650</v>
      </c>
      <c r="F710" s="5">
        <f t="shared" si="45"/>
        <v>791</v>
      </c>
      <c r="G710" s="1">
        <v>22</v>
      </c>
      <c r="H710" s="1" t="str">
        <f t="shared" si="46"/>
        <v>Medium</v>
      </c>
      <c r="I710" s="1" t="str">
        <f t="shared" si="47"/>
        <v>Other</v>
      </c>
      <c r="J710" s="1">
        <f t="shared" si="48"/>
        <v>522594.33000000013</v>
      </c>
    </row>
    <row r="711" spans="1:10" ht="12.75">
      <c r="A711" s="1" t="s">
        <v>15</v>
      </c>
      <c r="B711" s="1" t="s">
        <v>42</v>
      </c>
      <c r="C711" s="1" t="s">
        <v>51</v>
      </c>
      <c r="D711" s="2">
        <v>44704</v>
      </c>
      <c r="E711" s="1" t="s">
        <v>651</v>
      </c>
      <c r="F711" s="5">
        <f t="shared" si="45"/>
        <v>9100</v>
      </c>
      <c r="G711" s="1">
        <v>187</v>
      </c>
      <c r="H711" s="1" t="str">
        <f t="shared" si="46"/>
        <v>High</v>
      </c>
      <c r="I711" s="1" t="str">
        <f t="shared" si="47"/>
        <v>Other</v>
      </c>
      <c r="J711" s="1">
        <f t="shared" si="48"/>
        <v>522594.33000000013</v>
      </c>
    </row>
    <row r="712" spans="1:10" ht="12.75">
      <c r="A712" s="1" t="s">
        <v>19</v>
      </c>
      <c r="B712" s="1" t="s">
        <v>62</v>
      </c>
      <c r="C712" s="1" t="s">
        <v>65</v>
      </c>
      <c r="D712" s="2">
        <v>44754</v>
      </c>
      <c r="E712" s="1" t="s">
        <v>652</v>
      </c>
      <c r="F712" s="5">
        <f t="shared" si="45"/>
        <v>9884</v>
      </c>
      <c r="G712" s="1">
        <v>200</v>
      </c>
      <c r="H712" s="1" t="str">
        <f t="shared" si="46"/>
        <v>High</v>
      </c>
      <c r="I712" s="1" t="str">
        <f t="shared" si="47"/>
        <v>Other</v>
      </c>
      <c r="J712" s="1">
        <f t="shared" si="48"/>
        <v>522594.33000000013</v>
      </c>
    </row>
    <row r="713" spans="1:10" ht="12.75">
      <c r="A713" s="1" t="s">
        <v>15</v>
      </c>
      <c r="B713" s="1" t="s">
        <v>39</v>
      </c>
      <c r="C713" s="1" t="s">
        <v>60</v>
      </c>
      <c r="D713" s="2">
        <v>44727</v>
      </c>
      <c r="E713" s="1" t="s">
        <v>653</v>
      </c>
      <c r="F713" s="5">
        <f t="shared" si="45"/>
        <v>3780</v>
      </c>
      <c r="G713" s="1">
        <v>201</v>
      </c>
      <c r="H713" s="1" t="str">
        <f t="shared" si="46"/>
        <v>High</v>
      </c>
      <c r="I713" s="1" t="str">
        <f t="shared" si="47"/>
        <v>Other</v>
      </c>
      <c r="J713" s="1">
        <f t="shared" si="48"/>
        <v>522594.33000000013</v>
      </c>
    </row>
    <row r="714" spans="1:10" ht="12.75">
      <c r="A714" s="1" t="s">
        <v>16</v>
      </c>
      <c r="B714" s="1" t="s">
        <v>54</v>
      </c>
      <c r="C714" s="1" t="s">
        <v>55</v>
      </c>
      <c r="D714" s="2">
        <v>44735</v>
      </c>
      <c r="E714" s="1" t="s">
        <v>654</v>
      </c>
      <c r="F714" s="5">
        <f t="shared" si="45"/>
        <v>4557</v>
      </c>
      <c r="G714" s="1">
        <v>308</v>
      </c>
      <c r="H714" s="1" t="str">
        <f t="shared" si="46"/>
        <v>High</v>
      </c>
      <c r="I714" s="1" t="str">
        <f t="shared" si="47"/>
        <v>Other</v>
      </c>
      <c r="J714" s="1">
        <f t="shared" si="48"/>
        <v>522594.33000000013</v>
      </c>
    </row>
    <row r="715" spans="1:10" ht="12.75">
      <c r="A715" s="1" t="s">
        <v>24</v>
      </c>
      <c r="B715" s="1" t="s">
        <v>5</v>
      </c>
      <c r="C715" s="1" t="s">
        <v>63</v>
      </c>
      <c r="D715" s="2">
        <v>44645</v>
      </c>
      <c r="E715" s="1" t="s">
        <v>655</v>
      </c>
      <c r="F715" s="5">
        <f t="shared" si="45"/>
        <v>5796</v>
      </c>
      <c r="G715" s="1">
        <v>55</v>
      </c>
      <c r="H715" s="1" t="str">
        <f t="shared" si="46"/>
        <v>High</v>
      </c>
      <c r="I715" s="1" t="str">
        <f t="shared" si="47"/>
        <v>Other</v>
      </c>
      <c r="J715" s="1">
        <f t="shared" si="48"/>
        <v>522594.33000000013</v>
      </c>
    </row>
    <row r="716" spans="1:10" ht="12.75">
      <c r="A716" s="1" t="s">
        <v>15</v>
      </c>
      <c r="B716" s="1" t="s">
        <v>42</v>
      </c>
      <c r="C716" s="1" t="s">
        <v>126</v>
      </c>
      <c r="D716" s="2">
        <v>44746</v>
      </c>
      <c r="E716" s="1" t="s">
        <v>656</v>
      </c>
      <c r="F716" s="5">
        <f t="shared" si="45"/>
        <v>84</v>
      </c>
      <c r="G716" s="1">
        <v>153</v>
      </c>
      <c r="H716" s="1" t="str">
        <f t="shared" si="46"/>
        <v>Low</v>
      </c>
      <c r="I716" s="1" t="str">
        <f t="shared" si="47"/>
        <v>Other</v>
      </c>
      <c r="J716" s="1">
        <f t="shared" si="48"/>
        <v>522594.33000000013</v>
      </c>
    </row>
    <row r="717" spans="1:10" ht="12.75">
      <c r="A717" s="1" t="s">
        <v>27</v>
      </c>
      <c r="B717" s="1" t="s">
        <v>39</v>
      </c>
      <c r="C717" s="1" t="s">
        <v>84</v>
      </c>
      <c r="D717" s="2">
        <v>44693</v>
      </c>
      <c r="E717" s="1" t="s">
        <v>131</v>
      </c>
      <c r="F717" s="5">
        <f t="shared" si="45"/>
        <v>9037</v>
      </c>
      <c r="G717" s="1">
        <v>101</v>
      </c>
      <c r="H717" s="1" t="str">
        <f t="shared" si="46"/>
        <v>High</v>
      </c>
      <c r="I717" s="1" t="str">
        <f t="shared" si="47"/>
        <v>Other</v>
      </c>
      <c r="J717" s="1">
        <f t="shared" si="48"/>
        <v>522594.33000000013</v>
      </c>
    </row>
    <row r="718" spans="1:10" ht="12.75">
      <c r="A718" s="1" t="s">
        <v>25</v>
      </c>
      <c r="B718" s="1" t="s">
        <v>54</v>
      </c>
      <c r="C718" s="1" t="s">
        <v>100</v>
      </c>
      <c r="D718" s="2">
        <v>44655</v>
      </c>
      <c r="E718" s="1" t="s">
        <v>657</v>
      </c>
      <c r="F718" s="5">
        <f t="shared" si="45"/>
        <v>4746</v>
      </c>
      <c r="G718" s="1">
        <v>137</v>
      </c>
      <c r="H718" s="1" t="str">
        <f t="shared" si="46"/>
        <v>High</v>
      </c>
      <c r="I718" s="1" t="str">
        <f t="shared" si="47"/>
        <v>Other</v>
      </c>
      <c r="J718" s="1">
        <f t="shared" si="48"/>
        <v>522594.33000000013</v>
      </c>
    </row>
    <row r="719" spans="1:10" ht="12.75">
      <c r="A719" s="1" t="s">
        <v>9</v>
      </c>
      <c r="B719" s="1" t="s">
        <v>5</v>
      </c>
      <c r="C719" s="1" t="s">
        <v>60</v>
      </c>
      <c r="D719" s="2">
        <v>44666</v>
      </c>
      <c r="E719" s="1" t="s">
        <v>477</v>
      </c>
      <c r="F719" s="5">
        <f t="shared" si="45"/>
        <v>6713</v>
      </c>
      <c r="G719" s="1">
        <v>398</v>
      </c>
      <c r="H719" s="1" t="str">
        <f t="shared" si="46"/>
        <v>High</v>
      </c>
      <c r="I719" s="1" t="str">
        <f t="shared" si="47"/>
        <v>Other</v>
      </c>
      <c r="J719" s="1">
        <f t="shared" si="48"/>
        <v>522594.33000000013</v>
      </c>
    </row>
    <row r="720" spans="1:10" ht="12.75">
      <c r="A720" s="1" t="s">
        <v>26</v>
      </c>
      <c r="B720" s="1" t="s">
        <v>62</v>
      </c>
      <c r="C720" s="1" t="s">
        <v>63</v>
      </c>
      <c r="D720" s="2">
        <v>44628</v>
      </c>
      <c r="E720" s="1" t="s">
        <v>658</v>
      </c>
      <c r="F720" s="5">
        <f t="shared" si="45"/>
        <v>6237</v>
      </c>
      <c r="G720" s="1">
        <v>88</v>
      </c>
      <c r="H720" s="1" t="str">
        <f t="shared" si="46"/>
        <v>High</v>
      </c>
      <c r="I720" s="1" t="str">
        <f t="shared" si="47"/>
        <v>Other</v>
      </c>
      <c r="J720" s="1">
        <f t="shared" si="48"/>
        <v>522594.33000000013</v>
      </c>
    </row>
    <row r="721" spans="1:10" ht="12.75">
      <c r="A721" s="1" t="s">
        <v>18</v>
      </c>
      <c r="B721" s="1" t="s">
        <v>42</v>
      </c>
      <c r="C721" s="1" t="s">
        <v>84</v>
      </c>
      <c r="D721" s="2">
        <v>44578</v>
      </c>
      <c r="E721" s="1" t="s">
        <v>659</v>
      </c>
      <c r="F721" s="5">
        <f t="shared" si="45"/>
        <v>7483</v>
      </c>
      <c r="G721" s="1">
        <v>232</v>
      </c>
      <c r="H721" s="1" t="str">
        <f t="shared" si="46"/>
        <v>High</v>
      </c>
      <c r="I721" s="1" t="str">
        <f t="shared" si="47"/>
        <v>Other</v>
      </c>
      <c r="J721" s="1">
        <f t="shared" si="48"/>
        <v>522594.33000000013</v>
      </c>
    </row>
    <row r="722" spans="1:10" ht="12.75">
      <c r="A722" s="1" t="s">
        <v>29</v>
      </c>
      <c r="B722" s="1" t="s">
        <v>42</v>
      </c>
      <c r="C722" s="1" t="s">
        <v>40</v>
      </c>
      <c r="D722" s="2">
        <v>44795</v>
      </c>
      <c r="E722" s="1" t="s">
        <v>660</v>
      </c>
      <c r="F722" s="5">
        <f t="shared" si="45"/>
        <v>1309</v>
      </c>
      <c r="G722" s="1">
        <v>51</v>
      </c>
      <c r="H722" s="1" t="str">
        <f t="shared" si="46"/>
        <v>High</v>
      </c>
      <c r="I722" s="1" t="str">
        <f t="shared" si="47"/>
        <v>Other</v>
      </c>
      <c r="J722" s="1">
        <f t="shared" si="48"/>
        <v>522594.33000000013</v>
      </c>
    </row>
    <row r="723" spans="1:10" ht="12.75">
      <c r="A723" s="1" t="s">
        <v>27</v>
      </c>
      <c r="B723" s="1" t="s">
        <v>39</v>
      </c>
      <c r="C723" s="1" t="s">
        <v>51</v>
      </c>
      <c r="D723" s="2">
        <v>44767</v>
      </c>
      <c r="E723" s="1" t="s">
        <v>622</v>
      </c>
      <c r="F723" s="5">
        <f t="shared" si="45"/>
        <v>1155</v>
      </c>
      <c r="G723" s="1">
        <v>66</v>
      </c>
      <c r="H723" s="1" t="str">
        <f t="shared" si="46"/>
        <v>High</v>
      </c>
      <c r="I723" s="1" t="str">
        <f t="shared" si="47"/>
        <v>Other</v>
      </c>
      <c r="J723" s="1">
        <f t="shared" si="48"/>
        <v>522594.33000000013</v>
      </c>
    </row>
    <row r="724" spans="1:10" ht="12.75">
      <c r="A724" s="1" t="s">
        <v>14</v>
      </c>
      <c r="B724" s="1" t="s">
        <v>39</v>
      </c>
      <c r="C724" s="1" t="s">
        <v>55</v>
      </c>
      <c r="D724" s="2">
        <v>44726</v>
      </c>
      <c r="E724" s="1" t="s">
        <v>661</v>
      </c>
      <c r="F724" s="5">
        <f t="shared" si="45"/>
        <v>2989</v>
      </c>
      <c r="G724" s="1">
        <v>124</v>
      </c>
      <c r="H724" s="1" t="str">
        <f t="shared" si="46"/>
        <v>High</v>
      </c>
      <c r="I724" s="1" t="str">
        <f t="shared" si="47"/>
        <v>Other</v>
      </c>
      <c r="J724" s="1">
        <f t="shared" si="48"/>
        <v>522594.33000000013</v>
      </c>
    </row>
    <row r="725" spans="1:10" ht="12.75">
      <c r="A725" s="1" t="s">
        <v>17</v>
      </c>
      <c r="B725" s="1" t="s">
        <v>42</v>
      </c>
      <c r="C725" s="1" t="s">
        <v>102</v>
      </c>
      <c r="D725" s="2">
        <v>44656</v>
      </c>
      <c r="E725" s="1" t="s">
        <v>662</v>
      </c>
      <c r="F725" s="5">
        <f t="shared" si="45"/>
        <v>9625</v>
      </c>
      <c r="G725" s="1">
        <v>78</v>
      </c>
      <c r="H725" s="1" t="str">
        <f t="shared" si="46"/>
        <v>High</v>
      </c>
      <c r="I725" s="1" t="str">
        <f t="shared" si="47"/>
        <v>Other</v>
      </c>
      <c r="J725" s="1">
        <f t="shared" si="48"/>
        <v>522594.33000000013</v>
      </c>
    </row>
    <row r="726" spans="1:10" ht="12.75">
      <c r="A726" s="1" t="s">
        <v>9</v>
      </c>
      <c r="B726" s="1" t="s">
        <v>39</v>
      </c>
      <c r="C726" s="1" t="s">
        <v>100</v>
      </c>
      <c r="D726" s="2">
        <v>44799</v>
      </c>
      <c r="E726" s="1" t="s">
        <v>263</v>
      </c>
      <c r="F726" s="5">
        <f t="shared" si="45"/>
        <v>7357</v>
      </c>
      <c r="G726" s="1">
        <v>341</v>
      </c>
      <c r="H726" s="1" t="str">
        <f t="shared" si="46"/>
        <v>High</v>
      </c>
      <c r="I726" s="1" t="str">
        <f t="shared" si="47"/>
        <v>Other</v>
      </c>
      <c r="J726" s="1">
        <f t="shared" si="48"/>
        <v>522594.33000000013</v>
      </c>
    </row>
    <row r="727" spans="1:10" ht="12.75">
      <c r="A727" s="1" t="s">
        <v>29</v>
      </c>
      <c r="B727" s="1" t="s">
        <v>5</v>
      </c>
      <c r="C727" s="1" t="s">
        <v>55</v>
      </c>
      <c r="D727" s="2">
        <v>44776</v>
      </c>
      <c r="E727" s="1" t="s">
        <v>663</v>
      </c>
      <c r="F727" s="5">
        <f t="shared" si="45"/>
        <v>10031</v>
      </c>
      <c r="G727" s="1">
        <v>114</v>
      </c>
      <c r="H727" s="1" t="str">
        <f t="shared" si="46"/>
        <v>High</v>
      </c>
      <c r="I727" s="1" t="str">
        <f t="shared" si="47"/>
        <v>Other</v>
      </c>
      <c r="J727" s="1">
        <f t="shared" si="48"/>
        <v>522594.33000000013</v>
      </c>
    </row>
    <row r="728" spans="1:10" ht="12.75">
      <c r="A728" s="1" t="s">
        <v>20</v>
      </c>
      <c r="B728" s="1" t="s">
        <v>62</v>
      </c>
      <c r="C728" s="1" t="s">
        <v>84</v>
      </c>
      <c r="D728" s="2">
        <v>44753</v>
      </c>
      <c r="E728" s="1" t="s">
        <v>664</v>
      </c>
      <c r="F728" s="5">
        <f t="shared" si="45"/>
        <v>6587</v>
      </c>
      <c r="G728" s="1">
        <v>4</v>
      </c>
      <c r="H728" s="1" t="str">
        <f t="shared" si="46"/>
        <v>High</v>
      </c>
      <c r="I728" s="1" t="str">
        <f t="shared" si="47"/>
        <v>Other</v>
      </c>
      <c r="J728" s="1">
        <f t="shared" si="48"/>
        <v>522594.33000000013</v>
      </c>
    </row>
    <row r="729" spans="1:10" ht="12.75">
      <c r="A729" s="1" t="s">
        <v>29</v>
      </c>
      <c r="B729" s="1" t="s">
        <v>54</v>
      </c>
      <c r="C729" s="1" t="s">
        <v>63</v>
      </c>
      <c r="D729" s="2">
        <v>44631</v>
      </c>
      <c r="E729" s="1" t="s">
        <v>665</v>
      </c>
      <c r="F729" s="5">
        <f t="shared" si="45"/>
        <v>3311</v>
      </c>
      <c r="G729" s="1">
        <v>22</v>
      </c>
      <c r="H729" s="1" t="str">
        <f t="shared" si="46"/>
        <v>High</v>
      </c>
      <c r="I729" s="1" t="str">
        <f t="shared" si="47"/>
        <v>Other</v>
      </c>
      <c r="J729" s="1">
        <f t="shared" si="48"/>
        <v>522594.33000000013</v>
      </c>
    </row>
    <row r="730" spans="1:10" ht="12.75">
      <c r="A730" s="1" t="s">
        <v>7</v>
      </c>
      <c r="B730" s="1" t="s">
        <v>39</v>
      </c>
      <c r="C730" s="1" t="s">
        <v>45</v>
      </c>
      <c r="D730" s="2">
        <v>44571</v>
      </c>
      <c r="E730" s="1" t="s">
        <v>666</v>
      </c>
      <c r="F730" s="5">
        <f t="shared" si="45"/>
        <v>15330</v>
      </c>
      <c r="G730" s="1">
        <v>30</v>
      </c>
      <c r="H730" s="1" t="str">
        <f t="shared" si="46"/>
        <v>High</v>
      </c>
      <c r="I730" s="1" t="str">
        <f t="shared" si="47"/>
        <v>Other</v>
      </c>
      <c r="J730" s="1">
        <f t="shared" si="48"/>
        <v>522594.33000000013</v>
      </c>
    </row>
    <row r="731" spans="1:10" ht="12.75">
      <c r="A731" s="1" t="s">
        <v>26</v>
      </c>
      <c r="B731" s="1" t="s">
        <v>39</v>
      </c>
      <c r="C731" s="1" t="s">
        <v>122</v>
      </c>
      <c r="D731" s="2">
        <v>44655</v>
      </c>
      <c r="E731" s="1" t="s">
        <v>667</v>
      </c>
      <c r="F731" s="5">
        <f t="shared" si="45"/>
        <v>14028</v>
      </c>
      <c r="G731" s="1">
        <v>351</v>
      </c>
      <c r="H731" s="1" t="str">
        <f t="shared" si="46"/>
        <v>High</v>
      </c>
      <c r="I731" s="1" t="str">
        <f t="shared" si="47"/>
        <v>Other</v>
      </c>
      <c r="J731" s="1">
        <f t="shared" si="48"/>
        <v>522594.33000000013</v>
      </c>
    </row>
    <row r="732" spans="1:10" ht="12.75">
      <c r="A732" s="1" t="s">
        <v>18</v>
      </c>
      <c r="B732" s="1" t="s">
        <v>5</v>
      </c>
      <c r="C732" s="1" t="s">
        <v>55</v>
      </c>
      <c r="D732" s="2">
        <v>44578</v>
      </c>
      <c r="E732" s="1" t="s">
        <v>481</v>
      </c>
      <c r="F732" s="5">
        <f t="shared" si="45"/>
        <v>6678</v>
      </c>
      <c r="G732" s="1">
        <v>708</v>
      </c>
      <c r="H732" s="1" t="str">
        <f t="shared" si="46"/>
        <v>High</v>
      </c>
      <c r="I732" s="1" t="str">
        <f t="shared" si="47"/>
        <v>Other</v>
      </c>
      <c r="J732" s="1">
        <f t="shared" si="48"/>
        <v>522594.33000000013</v>
      </c>
    </row>
    <row r="733" spans="1:10" ht="12.75">
      <c r="A733" s="1" t="s">
        <v>14</v>
      </c>
      <c r="B733" s="1" t="s">
        <v>54</v>
      </c>
      <c r="C733" s="1" t="s">
        <v>68</v>
      </c>
      <c r="D733" s="2">
        <v>44750</v>
      </c>
      <c r="E733" s="1" t="s">
        <v>668</v>
      </c>
      <c r="F733" s="5">
        <f t="shared" si="45"/>
        <v>8624</v>
      </c>
      <c r="G733" s="1">
        <v>50</v>
      </c>
      <c r="H733" s="1" t="str">
        <f t="shared" si="46"/>
        <v>High</v>
      </c>
      <c r="I733" s="1" t="str">
        <f t="shared" si="47"/>
        <v>Other</v>
      </c>
      <c r="J733" s="1">
        <f t="shared" si="48"/>
        <v>522594.33000000013</v>
      </c>
    </row>
    <row r="734" spans="1:10" ht="12.75">
      <c r="A734" s="1" t="s">
        <v>15</v>
      </c>
      <c r="B734" s="1" t="s">
        <v>39</v>
      </c>
      <c r="C734" s="1" t="s">
        <v>68</v>
      </c>
      <c r="D734" s="2">
        <v>44663</v>
      </c>
      <c r="E734" s="1" t="s">
        <v>669</v>
      </c>
      <c r="F734" s="5">
        <f t="shared" si="45"/>
        <v>1197</v>
      </c>
      <c r="G734" s="1">
        <v>356</v>
      </c>
      <c r="H734" s="1" t="str">
        <f t="shared" si="46"/>
        <v>High</v>
      </c>
      <c r="I734" s="1" t="str">
        <f t="shared" si="47"/>
        <v>Other</v>
      </c>
      <c r="J734" s="1">
        <f t="shared" si="48"/>
        <v>522594.33000000013</v>
      </c>
    </row>
    <row r="735" spans="1:10" ht="12.75">
      <c r="A735" s="1" t="s">
        <v>19</v>
      </c>
      <c r="B735" s="1" t="s">
        <v>62</v>
      </c>
      <c r="C735" s="1" t="s">
        <v>81</v>
      </c>
      <c r="D735" s="2">
        <v>44797</v>
      </c>
      <c r="E735" s="1" t="s">
        <v>670</v>
      </c>
      <c r="F735" s="5">
        <f t="shared" si="45"/>
        <v>483</v>
      </c>
      <c r="G735" s="1">
        <v>185</v>
      </c>
      <c r="H735" s="1" t="str">
        <f t="shared" si="46"/>
        <v>Low</v>
      </c>
      <c r="I735" s="1" t="str">
        <f t="shared" si="47"/>
        <v>Other</v>
      </c>
      <c r="J735" s="1">
        <f t="shared" si="48"/>
        <v>522594.33000000013</v>
      </c>
    </row>
    <row r="736" spans="1:10" ht="12.75">
      <c r="A736" s="1" t="s">
        <v>17</v>
      </c>
      <c r="B736" s="1" t="s">
        <v>39</v>
      </c>
      <c r="C736" s="1" t="s">
        <v>102</v>
      </c>
      <c r="D736" s="2">
        <v>44719</v>
      </c>
      <c r="E736" s="1" t="s">
        <v>230</v>
      </c>
      <c r="F736" s="5">
        <f t="shared" si="45"/>
        <v>1687</v>
      </c>
      <c r="G736" s="1">
        <v>236</v>
      </c>
      <c r="H736" s="1" t="str">
        <f t="shared" si="46"/>
        <v>High</v>
      </c>
      <c r="I736" s="1" t="str">
        <f t="shared" si="47"/>
        <v>Other</v>
      </c>
      <c r="J736" s="1">
        <f t="shared" si="48"/>
        <v>522594.33000000013</v>
      </c>
    </row>
    <row r="737" spans="1:10" ht="12.75">
      <c r="A737" s="1" t="s">
        <v>23</v>
      </c>
      <c r="B737" s="1" t="s">
        <v>62</v>
      </c>
      <c r="C737" s="1" t="s">
        <v>91</v>
      </c>
      <c r="D737" s="2">
        <v>44770</v>
      </c>
      <c r="E737" s="1" t="s">
        <v>660</v>
      </c>
      <c r="F737" s="5">
        <f t="shared" si="45"/>
        <v>1309</v>
      </c>
      <c r="G737" s="1">
        <v>30</v>
      </c>
      <c r="H737" s="1" t="str">
        <f t="shared" si="46"/>
        <v>High</v>
      </c>
      <c r="I737" s="1" t="str">
        <f t="shared" si="47"/>
        <v>Other</v>
      </c>
      <c r="J737" s="1">
        <f t="shared" si="48"/>
        <v>522594.33000000013</v>
      </c>
    </row>
    <row r="738" spans="1:10" ht="12.75">
      <c r="A738" s="1" t="s">
        <v>13</v>
      </c>
      <c r="B738" s="1" t="s">
        <v>59</v>
      </c>
      <c r="C738" s="1" t="s">
        <v>51</v>
      </c>
      <c r="D738" s="2">
        <v>44613</v>
      </c>
      <c r="E738" s="1" t="s">
        <v>671</v>
      </c>
      <c r="F738" s="5">
        <f t="shared" si="45"/>
        <v>9534</v>
      </c>
      <c r="G738" s="1">
        <v>111</v>
      </c>
      <c r="H738" s="1" t="str">
        <f t="shared" si="46"/>
        <v>High</v>
      </c>
      <c r="I738" s="1" t="str">
        <f t="shared" si="47"/>
        <v>Other</v>
      </c>
      <c r="J738" s="1">
        <f t="shared" si="48"/>
        <v>522594.33000000013</v>
      </c>
    </row>
    <row r="739" spans="1:10" ht="12.75">
      <c r="A739" s="1" t="s">
        <v>6</v>
      </c>
      <c r="B739" s="1" t="s">
        <v>62</v>
      </c>
      <c r="C739" s="1" t="s">
        <v>40</v>
      </c>
      <c r="D739" s="2">
        <v>44659</v>
      </c>
      <c r="E739" s="1" t="s">
        <v>672</v>
      </c>
      <c r="F739" s="5">
        <f t="shared" si="45"/>
        <v>1694</v>
      </c>
      <c r="G739" s="1">
        <v>289</v>
      </c>
      <c r="H739" s="1" t="str">
        <f t="shared" si="46"/>
        <v>High</v>
      </c>
      <c r="I739" s="1" t="str">
        <f t="shared" si="47"/>
        <v>Other</v>
      </c>
      <c r="J739" s="1">
        <f t="shared" si="48"/>
        <v>522594.33000000013</v>
      </c>
    </row>
    <row r="740" spans="1:10" ht="12.75">
      <c r="A740" s="1" t="s">
        <v>7</v>
      </c>
      <c r="B740" s="1" t="s">
        <v>39</v>
      </c>
      <c r="C740" s="1" t="s">
        <v>86</v>
      </c>
      <c r="D740" s="2">
        <v>44740</v>
      </c>
      <c r="E740" s="1" t="s">
        <v>300</v>
      </c>
      <c r="F740" s="5">
        <f t="shared" si="45"/>
        <v>70</v>
      </c>
      <c r="G740" s="1">
        <v>103</v>
      </c>
      <c r="H740" s="1" t="str">
        <f t="shared" si="46"/>
        <v>Low</v>
      </c>
      <c r="I740" s="1" t="str">
        <f t="shared" si="47"/>
        <v>Other</v>
      </c>
      <c r="J740" s="1">
        <f t="shared" si="48"/>
        <v>522594.33000000013</v>
      </c>
    </row>
    <row r="741" spans="1:10" ht="12.75">
      <c r="A741" s="1" t="s">
        <v>10</v>
      </c>
      <c r="B741" s="1" t="s">
        <v>39</v>
      </c>
      <c r="C741" s="1" t="s">
        <v>122</v>
      </c>
      <c r="D741" s="2">
        <v>44644</v>
      </c>
      <c r="E741" s="1" t="s">
        <v>98</v>
      </c>
      <c r="F741" s="5">
        <f t="shared" si="45"/>
        <v>2443</v>
      </c>
      <c r="G741" s="1">
        <v>20</v>
      </c>
      <c r="H741" s="1" t="str">
        <f t="shared" si="46"/>
        <v>High</v>
      </c>
      <c r="I741" s="1" t="str">
        <f t="shared" si="47"/>
        <v>Other</v>
      </c>
      <c r="J741" s="1">
        <f t="shared" si="48"/>
        <v>522594.33000000013</v>
      </c>
    </row>
    <row r="742" spans="1:10" ht="12.75">
      <c r="A742" s="1" t="s">
        <v>16</v>
      </c>
      <c r="B742" s="1" t="s">
        <v>5</v>
      </c>
      <c r="C742" s="1" t="s">
        <v>126</v>
      </c>
      <c r="D742" s="2">
        <v>44771</v>
      </c>
      <c r="E742" s="1" t="s">
        <v>673</v>
      </c>
      <c r="F742" s="5">
        <f t="shared" si="45"/>
        <v>2933</v>
      </c>
      <c r="G742" s="1">
        <v>55</v>
      </c>
      <c r="H742" s="1" t="str">
        <f t="shared" si="46"/>
        <v>High</v>
      </c>
      <c r="I742" s="1" t="str">
        <f t="shared" si="47"/>
        <v>Other</v>
      </c>
      <c r="J742" s="1">
        <f t="shared" si="48"/>
        <v>522594.33000000013</v>
      </c>
    </row>
    <row r="743" spans="1:10" ht="12.75">
      <c r="A743" s="1" t="s">
        <v>6</v>
      </c>
      <c r="B743" s="1" t="s">
        <v>59</v>
      </c>
      <c r="C743" s="1" t="s">
        <v>63</v>
      </c>
      <c r="D743" s="2">
        <v>44706</v>
      </c>
      <c r="E743" s="1" t="s">
        <v>674</v>
      </c>
      <c r="F743" s="5">
        <f t="shared" si="45"/>
        <v>2044</v>
      </c>
      <c r="G743" s="1">
        <v>90</v>
      </c>
      <c r="H743" s="1" t="str">
        <f t="shared" si="46"/>
        <v>High</v>
      </c>
      <c r="I743" s="1" t="str">
        <f t="shared" si="47"/>
        <v>Other</v>
      </c>
      <c r="J743" s="1">
        <f t="shared" si="48"/>
        <v>522594.33000000013</v>
      </c>
    </row>
    <row r="744" spans="1:10" ht="12.75">
      <c r="A744" s="1" t="s">
        <v>20</v>
      </c>
      <c r="B744" s="1" t="s">
        <v>5</v>
      </c>
      <c r="C744" s="1" t="s">
        <v>100</v>
      </c>
      <c r="D744" s="2">
        <v>44650</v>
      </c>
      <c r="E744" s="1" t="s">
        <v>438</v>
      </c>
      <c r="F744" s="5">
        <f t="shared" si="45"/>
        <v>6524</v>
      </c>
      <c r="G744" s="1">
        <v>303</v>
      </c>
      <c r="H744" s="1" t="str">
        <f t="shared" si="46"/>
        <v>High</v>
      </c>
      <c r="I744" s="1" t="str">
        <f t="shared" si="47"/>
        <v>Other</v>
      </c>
      <c r="J744" s="1">
        <f t="shared" si="48"/>
        <v>522594.33000000013</v>
      </c>
    </row>
    <row r="745" spans="1:10" ht="12.75">
      <c r="A745" s="1" t="s">
        <v>6</v>
      </c>
      <c r="B745" s="1" t="s">
        <v>59</v>
      </c>
      <c r="C745" s="1" t="s">
        <v>68</v>
      </c>
      <c r="D745" s="2">
        <v>44760</v>
      </c>
      <c r="E745" s="1" t="s">
        <v>675</v>
      </c>
      <c r="F745" s="5">
        <f t="shared" si="45"/>
        <v>12656</v>
      </c>
      <c r="G745" s="1">
        <v>126</v>
      </c>
      <c r="H745" s="1" t="str">
        <f t="shared" si="46"/>
        <v>High</v>
      </c>
      <c r="I745" s="1" t="str">
        <f t="shared" si="47"/>
        <v>Other</v>
      </c>
      <c r="J745" s="1">
        <f t="shared" si="48"/>
        <v>522594.33000000013</v>
      </c>
    </row>
    <row r="746" spans="1:10" ht="12.75">
      <c r="A746" s="1" t="s">
        <v>28</v>
      </c>
      <c r="B746" s="1" t="s">
        <v>62</v>
      </c>
      <c r="C746" s="1" t="s">
        <v>60</v>
      </c>
      <c r="D746" s="2">
        <v>44691</v>
      </c>
      <c r="E746" s="1" t="s">
        <v>676</v>
      </c>
      <c r="F746" s="5">
        <f t="shared" si="45"/>
        <v>8722</v>
      </c>
      <c r="G746" s="1">
        <v>109</v>
      </c>
      <c r="H746" s="1" t="str">
        <f t="shared" si="46"/>
        <v>High</v>
      </c>
      <c r="I746" s="1" t="str">
        <f t="shared" si="47"/>
        <v>Other</v>
      </c>
      <c r="J746" s="1">
        <f t="shared" si="48"/>
        <v>522594.33000000013</v>
      </c>
    </row>
    <row r="747" spans="1:10" ht="12.75">
      <c r="A747" s="1" t="s">
        <v>2</v>
      </c>
      <c r="B747" s="1" t="s">
        <v>5</v>
      </c>
      <c r="C747" s="1" t="s">
        <v>102</v>
      </c>
      <c r="D747" s="2">
        <v>44638</v>
      </c>
      <c r="E747" s="1" t="s">
        <v>677</v>
      </c>
      <c r="F747" s="5">
        <f t="shared" si="45"/>
        <v>15750</v>
      </c>
      <c r="G747" s="1">
        <v>92</v>
      </c>
      <c r="H747" s="1" t="str">
        <f t="shared" si="46"/>
        <v>High</v>
      </c>
      <c r="I747" s="1" t="str">
        <f t="shared" si="47"/>
        <v>Top Local</v>
      </c>
      <c r="J747" s="1">
        <f t="shared" si="48"/>
        <v>522594.33000000013</v>
      </c>
    </row>
    <row r="748" spans="1:10" ht="12.75">
      <c r="A748" s="1" t="s">
        <v>17</v>
      </c>
      <c r="B748" s="1" t="s">
        <v>42</v>
      </c>
      <c r="C748" s="1" t="s">
        <v>126</v>
      </c>
      <c r="D748" s="2">
        <v>44727</v>
      </c>
      <c r="E748" s="1" t="s">
        <v>92</v>
      </c>
      <c r="F748" s="5">
        <f t="shared" si="45"/>
        <v>6839</v>
      </c>
      <c r="G748" s="1">
        <v>56</v>
      </c>
      <c r="H748" s="1" t="str">
        <f t="shared" si="46"/>
        <v>High</v>
      </c>
      <c r="I748" s="1" t="str">
        <f t="shared" si="47"/>
        <v>Other</v>
      </c>
      <c r="J748" s="1">
        <f t="shared" si="48"/>
        <v>506844.33000000007</v>
      </c>
    </row>
    <row r="749" spans="1:10" ht="12.75">
      <c r="A749" s="1" t="s">
        <v>10</v>
      </c>
      <c r="B749" s="1" t="s">
        <v>62</v>
      </c>
      <c r="C749" s="1" t="s">
        <v>55</v>
      </c>
      <c r="D749" s="2">
        <v>44693</v>
      </c>
      <c r="E749" s="1" t="s">
        <v>48</v>
      </c>
      <c r="F749" s="5">
        <f t="shared" si="45"/>
        <v>13685</v>
      </c>
      <c r="G749" s="1">
        <v>58</v>
      </c>
      <c r="H749" s="1" t="str">
        <f t="shared" si="46"/>
        <v>High</v>
      </c>
      <c r="I749" s="1" t="str">
        <f t="shared" si="47"/>
        <v>Other</v>
      </c>
      <c r="J749" s="1">
        <f t="shared" si="48"/>
        <v>506844.33000000007</v>
      </c>
    </row>
    <row r="750" spans="1:10" ht="12.75">
      <c r="A750" s="1" t="s">
        <v>12</v>
      </c>
      <c r="B750" s="1" t="s">
        <v>54</v>
      </c>
      <c r="C750" s="1" t="s">
        <v>122</v>
      </c>
      <c r="D750" s="2">
        <v>44735</v>
      </c>
      <c r="E750" s="1" t="s">
        <v>326</v>
      </c>
      <c r="F750" s="5">
        <f t="shared" si="45"/>
        <v>2912</v>
      </c>
      <c r="G750" s="1">
        <v>110</v>
      </c>
      <c r="H750" s="1" t="str">
        <f t="shared" si="46"/>
        <v>High</v>
      </c>
      <c r="I750" s="1" t="str">
        <f t="shared" si="47"/>
        <v>Other</v>
      </c>
      <c r="J750" s="1">
        <f t="shared" si="48"/>
        <v>506844.33000000007</v>
      </c>
    </row>
    <row r="751" spans="1:10" ht="12.75">
      <c r="A751" s="1" t="s">
        <v>28</v>
      </c>
      <c r="B751" s="1" t="s">
        <v>42</v>
      </c>
      <c r="C751" s="1" t="s">
        <v>76</v>
      </c>
      <c r="D751" s="2">
        <v>44672</v>
      </c>
      <c r="E751" s="1" t="s">
        <v>494</v>
      </c>
      <c r="F751" s="5">
        <f t="shared" si="45"/>
        <v>3339</v>
      </c>
      <c r="G751" s="1">
        <v>171</v>
      </c>
      <c r="H751" s="1" t="str">
        <f t="shared" si="46"/>
        <v>High</v>
      </c>
      <c r="I751" s="1" t="str">
        <f t="shared" si="47"/>
        <v>Other</v>
      </c>
      <c r="J751" s="1">
        <f t="shared" si="48"/>
        <v>506844.33000000007</v>
      </c>
    </row>
    <row r="752" spans="1:10" ht="12.75">
      <c r="A752" s="1" t="s">
        <v>20</v>
      </c>
      <c r="B752" s="1" t="s">
        <v>5</v>
      </c>
      <c r="C752" s="1" t="s">
        <v>91</v>
      </c>
      <c r="D752" s="2">
        <v>44790</v>
      </c>
      <c r="E752" s="1" t="s">
        <v>570</v>
      </c>
      <c r="F752" s="5">
        <f t="shared" si="45"/>
        <v>910</v>
      </c>
      <c r="G752" s="1">
        <v>117</v>
      </c>
      <c r="H752" s="1" t="str">
        <f t="shared" si="46"/>
        <v>High</v>
      </c>
      <c r="I752" s="1" t="str">
        <f t="shared" si="47"/>
        <v>Other</v>
      </c>
      <c r="J752" s="1">
        <f t="shared" si="48"/>
        <v>506844.33000000007</v>
      </c>
    </row>
    <row r="753" spans="1:10" ht="12.75">
      <c r="A753" s="1" t="s">
        <v>19</v>
      </c>
      <c r="B753" s="1" t="s">
        <v>54</v>
      </c>
      <c r="C753" s="1" t="s">
        <v>63</v>
      </c>
      <c r="D753" s="2">
        <v>44599</v>
      </c>
      <c r="E753" s="1" t="s">
        <v>678</v>
      </c>
      <c r="F753" s="5">
        <f t="shared" si="45"/>
        <v>19481</v>
      </c>
      <c r="G753" s="1">
        <v>51</v>
      </c>
      <c r="H753" s="1" t="str">
        <f t="shared" si="46"/>
        <v>High</v>
      </c>
      <c r="I753" s="1" t="str">
        <f t="shared" si="47"/>
        <v>Other</v>
      </c>
      <c r="J753" s="1">
        <f t="shared" si="48"/>
        <v>506844.33000000007</v>
      </c>
    </row>
    <row r="754" spans="1:10" ht="12.75">
      <c r="A754" s="1" t="s">
        <v>12</v>
      </c>
      <c r="B754" s="1" t="s">
        <v>62</v>
      </c>
      <c r="C754" s="1" t="s">
        <v>49</v>
      </c>
      <c r="D754" s="2">
        <v>44637</v>
      </c>
      <c r="E754" s="1" t="s">
        <v>679</v>
      </c>
      <c r="F754" s="5">
        <f t="shared" si="45"/>
        <v>8099</v>
      </c>
      <c r="G754" s="1">
        <v>118</v>
      </c>
      <c r="H754" s="1" t="str">
        <f t="shared" si="46"/>
        <v>High</v>
      </c>
      <c r="I754" s="1" t="str">
        <f t="shared" si="47"/>
        <v>Other</v>
      </c>
      <c r="J754" s="1">
        <f t="shared" si="48"/>
        <v>506844.33000000007</v>
      </c>
    </row>
    <row r="755" spans="1:10" ht="12.75">
      <c r="A755" s="1" t="s">
        <v>15</v>
      </c>
      <c r="B755" s="1" t="s">
        <v>42</v>
      </c>
      <c r="C755" s="1" t="s">
        <v>122</v>
      </c>
      <c r="D755" s="2">
        <v>44774</v>
      </c>
      <c r="E755" s="1" t="s">
        <v>680</v>
      </c>
      <c r="F755" s="5">
        <f t="shared" si="45"/>
        <v>13727</v>
      </c>
      <c r="G755" s="1">
        <v>79</v>
      </c>
      <c r="H755" s="1" t="str">
        <f t="shared" si="46"/>
        <v>High</v>
      </c>
      <c r="I755" s="1" t="str">
        <f t="shared" si="47"/>
        <v>Other</v>
      </c>
      <c r="J755" s="1">
        <f t="shared" si="48"/>
        <v>506844.33000000007</v>
      </c>
    </row>
    <row r="756" spans="1:10" ht="12.75">
      <c r="A756" s="1" t="s">
        <v>11</v>
      </c>
      <c r="B756" s="1" t="s">
        <v>5</v>
      </c>
      <c r="C756" s="1" t="s">
        <v>72</v>
      </c>
      <c r="D756" s="2">
        <v>44638</v>
      </c>
      <c r="E756" s="1" t="s">
        <v>681</v>
      </c>
      <c r="F756" s="5">
        <f t="shared" si="45"/>
        <v>8659</v>
      </c>
      <c r="G756" s="1">
        <v>29</v>
      </c>
      <c r="H756" s="1" t="str">
        <f t="shared" si="46"/>
        <v>High</v>
      </c>
      <c r="I756" s="1" t="str">
        <f t="shared" si="47"/>
        <v>Other</v>
      </c>
      <c r="J756" s="1">
        <f t="shared" si="48"/>
        <v>506844.33000000007</v>
      </c>
    </row>
    <row r="757" spans="1:10" ht="12.75">
      <c r="A757" s="1" t="s">
        <v>20</v>
      </c>
      <c r="B757" s="1" t="s">
        <v>62</v>
      </c>
      <c r="C757" s="1" t="s">
        <v>81</v>
      </c>
      <c r="D757" s="2">
        <v>44726</v>
      </c>
      <c r="E757" s="1" t="s">
        <v>485</v>
      </c>
      <c r="F757" s="5">
        <f t="shared" si="45"/>
        <v>5782</v>
      </c>
      <c r="G757" s="1">
        <v>103</v>
      </c>
      <c r="H757" s="1" t="str">
        <f t="shared" si="46"/>
        <v>High</v>
      </c>
      <c r="I757" s="1" t="str">
        <f t="shared" si="47"/>
        <v>Other</v>
      </c>
      <c r="J757" s="1">
        <f t="shared" si="48"/>
        <v>506844.33000000007</v>
      </c>
    </row>
    <row r="758" spans="1:10" ht="12.75">
      <c r="A758" s="1" t="s">
        <v>28</v>
      </c>
      <c r="B758" s="1" t="s">
        <v>39</v>
      </c>
      <c r="C758" s="1" t="s">
        <v>63</v>
      </c>
      <c r="D758" s="2">
        <v>44673</v>
      </c>
      <c r="E758" s="1" t="s">
        <v>682</v>
      </c>
      <c r="F758" s="5">
        <f t="shared" si="45"/>
        <v>8463</v>
      </c>
      <c r="G758" s="1">
        <v>155</v>
      </c>
      <c r="H758" s="1" t="str">
        <f t="shared" si="46"/>
        <v>High</v>
      </c>
      <c r="I758" s="1" t="str">
        <f t="shared" si="47"/>
        <v>Other</v>
      </c>
      <c r="J758" s="1">
        <f t="shared" si="48"/>
        <v>506844.33000000007</v>
      </c>
    </row>
    <row r="759" spans="1:10" ht="12.75">
      <c r="A759" s="1" t="s">
        <v>14</v>
      </c>
      <c r="B759" s="1" t="s">
        <v>54</v>
      </c>
      <c r="C759" s="1" t="s">
        <v>63</v>
      </c>
      <c r="D759" s="2">
        <v>44579</v>
      </c>
      <c r="E759" s="1" t="s">
        <v>683</v>
      </c>
      <c r="F759" s="5">
        <f t="shared" si="45"/>
        <v>4914</v>
      </c>
      <c r="G759" s="1">
        <v>31</v>
      </c>
      <c r="H759" s="1" t="str">
        <f t="shared" si="46"/>
        <v>High</v>
      </c>
      <c r="I759" s="1" t="str">
        <f t="shared" si="47"/>
        <v>Other</v>
      </c>
      <c r="J759" s="1">
        <f t="shared" si="48"/>
        <v>506844.33000000007</v>
      </c>
    </row>
    <row r="760" spans="1:10" ht="12.75">
      <c r="A760" s="1" t="s">
        <v>13</v>
      </c>
      <c r="B760" s="1" t="s">
        <v>5</v>
      </c>
      <c r="C760" s="1" t="s">
        <v>51</v>
      </c>
      <c r="D760" s="2">
        <v>44799</v>
      </c>
      <c r="E760" s="1" t="s">
        <v>684</v>
      </c>
      <c r="F760" s="5">
        <f t="shared" si="45"/>
        <v>3087</v>
      </c>
      <c r="G760" s="1">
        <v>128</v>
      </c>
      <c r="H760" s="1" t="str">
        <f t="shared" si="46"/>
        <v>High</v>
      </c>
      <c r="I760" s="1" t="str">
        <f t="shared" si="47"/>
        <v>Other</v>
      </c>
      <c r="J760" s="1">
        <f t="shared" si="48"/>
        <v>506844.33000000007</v>
      </c>
    </row>
    <row r="761" spans="1:10" ht="12.75">
      <c r="A761" s="1" t="s">
        <v>23</v>
      </c>
      <c r="B761" s="1" t="s">
        <v>54</v>
      </c>
      <c r="C761" s="1" t="s">
        <v>81</v>
      </c>
      <c r="D761" s="2">
        <v>44722</v>
      </c>
      <c r="E761" s="1" t="s">
        <v>685</v>
      </c>
      <c r="F761" s="5">
        <f t="shared" si="45"/>
        <v>9205</v>
      </c>
      <c r="G761" s="1">
        <v>419</v>
      </c>
      <c r="H761" s="1" t="str">
        <f t="shared" si="46"/>
        <v>High</v>
      </c>
      <c r="I761" s="1" t="str">
        <f t="shared" si="47"/>
        <v>Other</v>
      </c>
      <c r="J761" s="1">
        <f t="shared" si="48"/>
        <v>506844.33000000007</v>
      </c>
    </row>
    <row r="762" spans="1:10" ht="12.75">
      <c r="A762" s="1" t="s">
        <v>24</v>
      </c>
      <c r="B762" s="1" t="s">
        <v>62</v>
      </c>
      <c r="C762" s="1" t="s">
        <v>147</v>
      </c>
      <c r="D762" s="2">
        <v>44592</v>
      </c>
      <c r="E762" s="1" t="s">
        <v>509</v>
      </c>
      <c r="F762" s="5">
        <f t="shared" si="45"/>
        <v>2303</v>
      </c>
      <c r="G762" s="1">
        <v>7</v>
      </c>
      <c r="H762" s="1" t="str">
        <f t="shared" si="46"/>
        <v>High</v>
      </c>
      <c r="I762" s="1" t="str">
        <f t="shared" si="47"/>
        <v>Other</v>
      </c>
      <c r="J762" s="1">
        <f t="shared" si="48"/>
        <v>506844.33000000007</v>
      </c>
    </row>
    <row r="763" spans="1:10" ht="12.75">
      <c r="A763" s="1" t="s">
        <v>12</v>
      </c>
      <c r="B763" s="1" t="s">
        <v>54</v>
      </c>
      <c r="C763" s="1" t="s">
        <v>86</v>
      </c>
      <c r="D763" s="2">
        <v>44659</v>
      </c>
      <c r="E763" s="1" t="s">
        <v>686</v>
      </c>
      <c r="F763" s="5">
        <f t="shared" si="45"/>
        <v>1358</v>
      </c>
      <c r="G763" s="1">
        <v>106</v>
      </c>
      <c r="H763" s="1" t="str">
        <f t="shared" si="46"/>
        <v>High</v>
      </c>
      <c r="I763" s="1" t="str">
        <f t="shared" si="47"/>
        <v>Other</v>
      </c>
      <c r="J763" s="1">
        <f t="shared" si="48"/>
        <v>506844.33000000007</v>
      </c>
    </row>
    <row r="764" spans="1:10" ht="12.75">
      <c r="A764" s="1" t="s">
        <v>21</v>
      </c>
      <c r="B764" s="1" t="s">
        <v>5</v>
      </c>
      <c r="C764" s="1" t="s">
        <v>122</v>
      </c>
      <c r="D764" s="2">
        <v>44719</v>
      </c>
      <c r="E764" s="1" t="s">
        <v>197</v>
      </c>
      <c r="F764" s="5">
        <f t="shared" si="45"/>
        <v>3605</v>
      </c>
      <c r="G764" s="1">
        <v>68</v>
      </c>
      <c r="H764" s="1" t="str">
        <f t="shared" si="46"/>
        <v>High</v>
      </c>
      <c r="I764" s="1" t="str">
        <f t="shared" si="47"/>
        <v>Other</v>
      </c>
      <c r="J764" s="1">
        <f t="shared" si="48"/>
        <v>506844.33000000007</v>
      </c>
    </row>
    <row r="765" spans="1:10" ht="12.75">
      <c r="A765" s="1" t="s">
        <v>16</v>
      </c>
      <c r="B765" s="1" t="s">
        <v>5</v>
      </c>
      <c r="C765" s="1" t="s">
        <v>43</v>
      </c>
      <c r="D765" s="2">
        <v>44602</v>
      </c>
      <c r="E765" s="1" t="s">
        <v>687</v>
      </c>
      <c r="F765" s="5">
        <f t="shared" si="45"/>
        <v>8498</v>
      </c>
      <c r="G765" s="1">
        <v>44</v>
      </c>
      <c r="H765" s="1" t="str">
        <f t="shared" si="46"/>
        <v>High</v>
      </c>
      <c r="I765" s="1" t="str">
        <f t="shared" si="47"/>
        <v>Other</v>
      </c>
      <c r="J765" s="1">
        <f t="shared" si="48"/>
        <v>506844.33000000007</v>
      </c>
    </row>
    <row r="766" spans="1:10" ht="12.75">
      <c r="A766" s="1" t="s">
        <v>28</v>
      </c>
      <c r="B766" s="1" t="s">
        <v>5</v>
      </c>
      <c r="C766" s="1" t="s">
        <v>55</v>
      </c>
      <c r="D766" s="2">
        <v>44697</v>
      </c>
      <c r="E766" s="1" t="s">
        <v>688</v>
      </c>
      <c r="F766" s="5">
        <f t="shared" si="45"/>
        <v>700</v>
      </c>
      <c r="G766" s="1">
        <v>457</v>
      </c>
      <c r="H766" s="1" t="str">
        <f t="shared" si="46"/>
        <v>Medium</v>
      </c>
      <c r="I766" s="1" t="str">
        <f t="shared" si="47"/>
        <v>Other</v>
      </c>
      <c r="J766" s="1">
        <f t="shared" si="48"/>
        <v>506844.33000000007</v>
      </c>
    </row>
    <row r="767" spans="1:10" ht="12.75">
      <c r="A767" s="1" t="s">
        <v>23</v>
      </c>
      <c r="B767" s="1" t="s">
        <v>42</v>
      </c>
      <c r="C767" s="1" t="s">
        <v>122</v>
      </c>
      <c r="D767" s="2">
        <v>44638</v>
      </c>
      <c r="E767" s="1" t="s">
        <v>450</v>
      </c>
      <c r="F767" s="5">
        <f t="shared" si="45"/>
        <v>2191</v>
      </c>
      <c r="G767" s="1">
        <v>524</v>
      </c>
      <c r="H767" s="1" t="str">
        <f t="shared" si="46"/>
        <v>High</v>
      </c>
      <c r="I767" s="1" t="str">
        <f t="shared" si="47"/>
        <v>Other</v>
      </c>
      <c r="J767" s="1">
        <f t="shared" si="48"/>
        <v>506844.33000000007</v>
      </c>
    </row>
    <row r="768" spans="1:10" ht="12.75">
      <c r="A768" s="1" t="s">
        <v>10</v>
      </c>
      <c r="B768" s="1" t="s">
        <v>5</v>
      </c>
      <c r="C768" s="1" t="s">
        <v>55</v>
      </c>
      <c r="D768" s="2">
        <v>44755</v>
      </c>
      <c r="E768" s="1" t="s">
        <v>689</v>
      </c>
      <c r="F768" s="5">
        <f t="shared" si="45"/>
        <v>644</v>
      </c>
      <c r="G768" s="1">
        <v>137</v>
      </c>
      <c r="H768" s="1" t="str">
        <f t="shared" si="46"/>
        <v>Medium</v>
      </c>
      <c r="I768" s="1" t="str">
        <f t="shared" si="47"/>
        <v>Other</v>
      </c>
      <c r="J768" s="1">
        <f t="shared" si="48"/>
        <v>506844.33000000007</v>
      </c>
    </row>
    <row r="769" spans="1:10" ht="12.75">
      <c r="A769" s="1" t="s">
        <v>22</v>
      </c>
      <c r="B769" s="1" t="s">
        <v>59</v>
      </c>
      <c r="C769" s="1" t="s">
        <v>86</v>
      </c>
      <c r="D769" s="2">
        <v>44767</v>
      </c>
      <c r="E769" s="1" t="s">
        <v>587</v>
      </c>
      <c r="F769" s="5">
        <f t="shared" si="45"/>
        <v>4340</v>
      </c>
      <c r="G769" s="1">
        <v>86</v>
      </c>
      <c r="H769" s="1" t="str">
        <f t="shared" si="46"/>
        <v>High</v>
      </c>
      <c r="I769" s="1" t="str">
        <f t="shared" si="47"/>
        <v>Other</v>
      </c>
      <c r="J769" s="1">
        <f t="shared" si="48"/>
        <v>506844.33000000007</v>
      </c>
    </row>
    <row r="770" spans="1:10" ht="12.75">
      <c r="A770" s="1" t="s">
        <v>10</v>
      </c>
      <c r="B770" s="1" t="s">
        <v>62</v>
      </c>
      <c r="C770" s="1" t="s">
        <v>102</v>
      </c>
      <c r="D770" s="2">
        <v>44792</v>
      </c>
      <c r="E770" s="1" t="s">
        <v>214</v>
      </c>
      <c r="F770" s="5">
        <f t="shared" ref="F770:F833" si="49">VALUE(SUBSTITUTE(E770,"$",""))</f>
        <v>2282</v>
      </c>
      <c r="G770" s="1">
        <v>296</v>
      </c>
      <c r="H770" s="1" t="str">
        <f t="shared" ref="H770:H833" si="50">IF(F770&gt;800,"High",IF(F770&gt;500,"Medium","Low"))</f>
        <v>High</v>
      </c>
      <c r="I770" s="1" t="str">
        <f t="shared" ref="I770:I833" si="51">IF(AND(B770="Australia",A770="Mallorie Waber"),"Top Local","Other")</f>
        <v>Other</v>
      </c>
      <c r="J770" s="1">
        <f t="shared" ref="J770:J833" si="52">SUMIF(A770:A4050,"Mallorie Waber",F770:F4050)</f>
        <v>506844.33000000007</v>
      </c>
    </row>
    <row r="771" spans="1:10" ht="12.75">
      <c r="A771" s="1" t="s">
        <v>18</v>
      </c>
      <c r="B771" s="1" t="s">
        <v>62</v>
      </c>
      <c r="C771" s="1" t="s">
        <v>147</v>
      </c>
      <c r="D771" s="2">
        <v>44736</v>
      </c>
      <c r="E771" s="1" t="s">
        <v>331</v>
      </c>
      <c r="F771" s="5">
        <f t="shared" si="49"/>
        <v>7714</v>
      </c>
      <c r="G771" s="1">
        <v>597</v>
      </c>
      <c r="H771" s="1" t="str">
        <f t="shared" si="50"/>
        <v>High</v>
      </c>
      <c r="I771" s="1" t="str">
        <f t="shared" si="51"/>
        <v>Other</v>
      </c>
      <c r="J771" s="1">
        <f t="shared" si="52"/>
        <v>506844.33000000007</v>
      </c>
    </row>
    <row r="772" spans="1:10" ht="12.75">
      <c r="A772" s="1" t="s">
        <v>12</v>
      </c>
      <c r="B772" s="1" t="s">
        <v>62</v>
      </c>
      <c r="C772" s="1" t="s">
        <v>81</v>
      </c>
      <c r="D772" s="2">
        <v>44732</v>
      </c>
      <c r="E772" s="1" t="s">
        <v>690</v>
      </c>
      <c r="F772" s="5">
        <f t="shared" si="49"/>
        <v>826</v>
      </c>
      <c r="G772" s="1">
        <v>149</v>
      </c>
      <c r="H772" s="1" t="str">
        <f t="shared" si="50"/>
        <v>High</v>
      </c>
      <c r="I772" s="1" t="str">
        <f t="shared" si="51"/>
        <v>Other</v>
      </c>
      <c r="J772" s="1">
        <f t="shared" si="52"/>
        <v>506844.33000000007</v>
      </c>
    </row>
    <row r="773" spans="1:10" ht="12.75">
      <c r="A773" s="1" t="s">
        <v>25</v>
      </c>
      <c r="B773" s="1" t="s">
        <v>42</v>
      </c>
      <c r="C773" s="1" t="s">
        <v>51</v>
      </c>
      <c r="D773" s="2">
        <v>44775</v>
      </c>
      <c r="E773" s="1" t="s">
        <v>691</v>
      </c>
      <c r="F773" s="5">
        <f t="shared" si="49"/>
        <v>203</v>
      </c>
      <c r="G773" s="1">
        <v>207</v>
      </c>
      <c r="H773" s="1" t="str">
        <f t="shared" si="50"/>
        <v>Low</v>
      </c>
      <c r="I773" s="1" t="str">
        <f t="shared" si="51"/>
        <v>Other</v>
      </c>
      <c r="J773" s="1">
        <f t="shared" si="52"/>
        <v>506844.33000000007</v>
      </c>
    </row>
    <row r="774" spans="1:10" ht="12.75">
      <c r="A774" s="1" t="s">
        <v>9</v>
      </c>
      <c r="B774" s="1" t="s">
        <v>54</v>
      </c>
      <c r="C774" s="1" t="s">
        <v>147</v>
      </c>
      <c r="D774" s="2">
        <v>44614</v>
      </c>
      <c r="E774" s="1" t="s">
        <v>692</v>
      </c>
      <c r="F774" s="5">
        <f t="shared" si="49"/>
        <v>13356</v>
      </c>
      <c r="G774" s="1">
        <v>93</v>
      </c>
      <c r="H774" s="1" t="str">
        <f t="shared" si="50"/>
        <v>High</v>
      </c>
      <c r="I774" s="1" t="str">
        <f t="shared" si="51"/>
        <v>Other</v>
      </c>
      <c r="J774" s="1">
        <f t="shared" si="52"/>
        <v>506844.33000000007</v>
      </c>
    </row>
    <row r="775" spans="1:10" ht="12.75">
      <c r="A775" s="1" t="s">
        <v>2</v>
      </c>
      <c r="B775" s="1" t="s">
        <v>54</v>
      </c>
      <c r="C775" s="1" t="s">
        <v>60</v>
      </c>
      <c r="D775" s="2">
        <v>44593</v>
      </c>
      <c r="E775" s="1" t="s">
        <v>525</v>
      </c>
      <c r="F775" s="5">
        <f t="shared" si="49"/>
        <v>6510</v>
      </c>
      <c r="G775" s="1">
        <v>23</v>
      </c>
      <c r="H775" s="1" t="str">
        <f t="shared" si="50"/>
        <v>High</v>
      </c>
      <c r="I775" s="1" t="str">
        <f t="shared" si="51"/>
        <v>Other</v>
      </c>
      <c r="J775" s="1">
        <f t="shared" si="52"/>
        <v>506844.33000000007</v>
      </c>
    </row>
    <row r="776" spans="1:10" ht="12.75">
      <c r="A776" s="1" t="s">
        <v>15</v>
      </c>
      <c r="B776" s="1" t="s">
        <v>62</v>
      </c>
      <c r="C776" s="1" t="s">
        <v>147</v>
      </c>
      <c r="D776" s="2">
        <v>44606</v>
      </c>
      <c r="E776" s="1" t="s">
        <v>693</v>
      </c>
      <c r="F776" s="5">
        <f t="shared" si="49"/>
        <v>5894</v>
      </c>
      <c r="G776" s="1">
        <v>305</v>
      </c>
      <c r="H776" s="1" t="str">
        <f t="shared" si="50"/>
        <v>High</v>
      </c>
      <c r="I776" s="1" t="str">
        <f t="shared" si="51"/>
        <v>Other</v>
      </c>
      <c r="J776" s="1">
        <f t="shared" si="52"/>
        <v>500334.33</v>
      </c>
    </row>
    <row r="777" spans="1:10" ht="12.75">
      <c r="A777" s="1" t="s">
        <v>12</v>
      </c>
      <c r="B777" s="1" t="s">
        <v>5</v>
      </c>
      <c r="C777" s="1" t="s">
        <v>72</v>
      </c>
      <c r="D777" s="2">
        <v>44616</v>
      </c>
      <c r="E777" s="1" t="s">
        <v>285</v>
      </c>
      <c r="F777" s="5">
        <f t="shared" si="49"/>
        <v>7910</v>
      </c>
      <c r="G777" s="1">
        <v>125</v>
      </c>
      <c r="H777" s="1" t="str">
        <f t="shared" si="50"/>
        <v>High</v>
      </c>
      <c r="I777" s="1" t="str">
        <f t="shared" si="51"/>
        <v>Other</v>
      </c>
      <c r="J777" s="1">
        <f t="shared" si="52"/>
        <v>500334.33</v>
      </c>
    </row>
    <row r="778" spans="1:10" ht="12.75">
      <c r="A778" s="1" t="s">
        <v>6</v>
      </c>
      <c r="B778" s="1" t="s">
        <v>42</v>
      </c>
      <c r="C778" s="1" t="s">
        <v>60</v>
      </c>
      <c r="D778" s="2">
        <v>44638</v>
      </c>
      <c r="E778" s="1" t="s">
        <v>267</v>
      </c>
      <c r="F778" s="5">
        <f t="shared" si="49"/>
        <v>784</v>
      </c>
      <c r="G778" s="1">
        <v>129</v>
      </c>
      <c r="H778" s="1" t="str">
        <f t="shared" si="50"/>
        <v>Medium</v>
      </c>
      <c r="I778" s="1" t="str">
        <f t="shared" si="51"/>
        <v>Other</v>
      </c>
      <c r="J778" s="1">
        <f t="shared" si="52"/>
        <v>500334.33</v>
      </c>
    </row>
    <row r="779" spans="1:10" ht="12.75">
      <c r="A779" s="1" t="s">
        <v>13</v>
      </c>
      <c r="B779" s="1" t="s">
        <v>39</v>
      </c>
      <c r="C779" s="1" t="s">
        <v>63</v>
      </c>
      <c r="D779" s="2">
        <v>44803</v>
      </c>
      <c r="E779" s="1" t="s">
        <v>484</v>
      </c>
      <c r="F779" s="5">
        <f t="shared" si="49"/>
        <v>1750</v>
      </c>
      <c r="G779" s="1">
        <v>252</v>
      </c>
      <c r="H779" s="1" t="str">
        <f t="shared" si="50"/>
        <v>High</v>
      </c>
      <c r="I779" s="1" t="str">
        <f t="shared" si="51"/>
        <v>Other</v>
      </c>
      <c r="J779" s="1">
        <f t="shared" si="52"/>
        <v>500334.33</v>
      </c>
    </row>
    <row r="780" spans="1:10" ht="12.75">
      <c r="A780" s="1" t="s">
        <v>20</v>
      </c>
      <c r="B780" s="1" t="s">
        <v>59</v>
      </c>
      <c r="C780" s="1" t="s">
        <v>45</v>
      </c>
      <c r="D780" s="2">
        <v>44690</v>
      </c>
      <c r="E780" s="1" t="s">
        <v>143</v>
      </c>
      <c r="F780" s="5">
        <f t="shared" si="49"/>
        <v>280</v>
      </c>
      <c r="G780" s="1">
        <v>75</v>
      </c>
      <c r="H780" s="1" t="str">
        <f t="shared" si="50"/>
        <v>Low</v>
      </c>
      <c r="I780" s="1" t="str">
        <f t="shared" si="51"/>
        <v>Other</v>
      </c>
      <c r="J780" s="1">
        <f t="shared" si="52"/>
        <v>500334.33</v>
      </c>
    </row>
    <row r="781" spans="1:10" ht="12.75">
      <c r="A781" s="1" t="s">
        <v>29</v>
      </c>
      <c r="B781" s="1" t="s">
        <v>59</v>
      </c>
      <c r="C781" s="1" t="s">
        <v>49</v>
      </c>
      <c r="D781" s="2">
        <v>44579</v>
      </c>
      <c r="E781" s="1" t="s">
        <v>599</v>
      </c>
      <c r="F781" s="5">
        <f t="shared" si="49"/>
        <v>504</v>
      </c>
      <c r="G781" s="1">
        <v>87</v>
      </c>
      <c r="H781" s="1" t="str">
        <f t="shared" si="50"/>
        <v>Medium</v>
      </c>
      <c r="I781" s="1" t="str">
        <f t="shared" si="51"/>
        <v>Other</v>
      </c>
      <c r="J781" s="1">
        <f t="shared" si="52"/>
        <v>500334.33</v>
      </c>
    </row>
    <row r="782" spans="1:10" ht="12.75">
      <c r="A782" s="1" t="s">
        <v>24</v>
      </c>
      <c r="B782" s="1" t="s">
        <v>42</v>
      </c>
      <c r="C782" s="1" t="s">
        <v>84</v>
      </c>
      <c r="D782" s="2">
        <v>44746</v>
      </c>
      <c r="E782" s="1" t="s">
        <v>152</v>
      </c>
      <c r="F782" s="5">
        <f t="shared" si="49"/>
        <v>7154</v>
      </c>
      <c r="G782" s="1">
        <v>342</v>
      </c>
      <c r="H782" s="1" t="str">
        <f t="shared" si="50"/>
        <v>High</v>
      </c>
      <c r="I782" s="1" t="str">
        <f t="shared" si="51"/>
        <v>Other</v>
      </c>
      <c r="J782" s="1">
        <f t="shared" si="52"/>
        <v>500334.33</v>
      </c>
    </row>
    <row r="783" spans="1:10" ht="12.75">
      <c r="A783" s="1" t="s">
        <v>22</v>
      </c>
      <c r="B783" s="1" t="s">
        <v>54</v>
      </c>
      <c r="C783" s="1" t="s">
        <v>76</v>
      </c>
      <c r="D783" s="2">
        <v>44715</v>
      </c>
      <c r="E783" s="1" t="s">
        <v>694</v>
      </c>
      <c r="F783" s="5">
        <f t="shared" si="49"/>
        <v>1617</v>
      </c>
      <c r="G783" s="1">
        <v>13</v>
      </c>
      <c r="H783" s="1" t="str">
        <f t="shared" si="50"/>
        <v>High</v>
      </c>
      <c r="I783" s="1" t="str">
        <f t="shared" si="51"/>
        <v>Other</v>
      </c>
      <c r="J783" s="1">
        <f t="shared" si="52"/>
        <v>500334.33</v>
      </c>
    </row>
    <row r="784" spans="1:10" ht="12.75">
      <c r="A784" s="1" t="s">
        <v>28</v>
      </c>
      <c r="B784" s="1" t="s">
        <v>54</v>
      </c>
      <c r="C784" s="1" t="s">
        <v>45</v>
      </c>
      <c r="D784" s="2">
        <v>44615</v>
      </c>
      <c r="E784" s="1" t="s">
        <v>695</v>
      </c>
      <c r="F784" s="5">
        <f t="shared" si="49"/>
        <v>10822</v>
      </c>
      <c r="G784" s="1">
        <v>30</v>
      </c>
      <c r="H784" s="1" t="str">
        <f t="shared" si="50"/>
        <v>High</v>
      </c>
      <c r="I784" s="1" t="str">
        <f t="shared" si="51"/>
        <v>Other</v>
      </c>
      <c r="J784" s="1">
        <f t="shared" si="52"/>
        <v>500334.33</v>
      </c>
    </row>
    <row r="785" spans="1:10" ht="12.75">
      <c r="A785" s="1" t="s">
        <v>21</v>
      </c>
      <c r="B785" s="1" t="s">
        <v>54</v>
      </c>
      <c r="C785" s="1" t="s">
        <v>51</v>
      </c>
      <c r="D785" s="2">
        <v>44690</v>
      </c>
      <c r="E785" s="1" t="s">
        <v>696</v>
      </c>
      <c r="F785" s="5">
        <f t="shared" si="49"/>
        <v>10724</v>
      </c>
      <c r="G785" s="1">
        <v>203</v>
      </c>
      <c r="H785" s="1" t="str">
        <f t="shared" si="50"/>
        <v>High</v>
      </c>
      <c r="I785" s="1" t="str">
        <f t="shared" si="51"/>
        <v>Other</v>
      </c>
      <c r="J785" s="1">
        <f t="shared" si="52"/>
        <v>500334.33</v>
      </c>
    </row>
    <row r="786" spans="1:10" ht="12.75">
      <c r="A786" s="1" t="s">
        <v>12</v>
      </c>
      <c r="B786" s="1" t="s">
        <v>42</v>
      </c>
      <c r="C786" s="1" t="s">
        <v>147</v>
      </c>
      <c r="D786" s="2">
        <v>44718</v>
      </c>
      <c r="E786" s="1" t="s">
        <v>335</v>
      </c>
      <c r="F786" s="5">
        <f t="shared" si="49"/>
        <v>3640</v>
      </c>
      <c r="G786" s="1">
        <v>106</v>
      </c>
      <c r="H786" s="1" t="str">
        <f t="shared" si="50"/>
        <v>High</v>
      </c>
      <c r="I786" s="1" t="str">
        <f t="shared" si="51"/>
        <v>Other</v>
      </c>
      <c r="J786" s="1">
        <f t="shared" si="52"/>
        <v>500334.33</v>
      </c>
    </row>
    <row r="787" spans="1:10" ht="12.75">
      <c r="A787" s="1" t="s">
        <v>12</v>
      </c>
      <c r="B787" s="1" t="s">
        <v>42</v>
      </c>
      <c r="C787" s="1" t="s">
        <v>65</v>
      </c>
      <c r="D787" s="2">
        <v>44746</v>
      </c>
      <c r="E787" s="1" t="s">
        <v>586</v>
      </c>
      <c r="F787" s="5">
        <f t="shared" si="49"/>
        <v>7532</v>
      </c>
      <c r="G787" s="1">
        <v>234</v>
      </c>
      <c r="H787" s="1" t="str">
        <f t="shared" si="50"/>
        <v>High</v>
      </c>
      <c r="I787" s="1" t="str">
        <f t="shared" si="51"/>
        <v>Other</v>
      </c>
      <c r="J787" s="1">
        <f t="shared" si="52"/>
        <v>500334.33</v>
      </c>
    </row>
    <row r="788" spans="1:10" ht="12.75">
      <c r="A788" s="1" t="s">
        <v>7</v>
      </c>
      <c r="B788" s="1" t="s">
        <v>54</v>
      </c>
      <c r="C788" s="1" t="s">
        <v>65</v>
      </c>
      <c r="D788" s="2">
        <v>44718</v>
      </c>
      <c r="E788" s="1" t="s">
        <v>649</v>
      </c>
      <c r="F788" s="5">
        <f t="shared" si="49"/>
        <v>1582</v>
      </c>
      <c r="G788" s="1">
        <v>100</v>
      </c>
      <c r="H788" s="1" t="str">
        <f t="shared" si="50"/>
        <v>High</v>
      </c>
      <c r="I788" s="1" t="str">
        <f t="shared" si="51"/>
        <v>Other</v>
      </c>
      <c r="J788" s="1">
        <f t="shared" si="52"/>
        <v>500334.33</v>
      </c>
    </row>
    <row r="789" spans="1:10" ht="12.75">
      <c r="A789" s="1" t="s">
        <v>21</v>
      </c>
      <c r="B789" s="1" t="s">
        <v>5</v>
      </c>
      <c r="C789" s="1" t="s">
        <v>91</v>
      </c>
      <c r="D789" s="2">
        <v>44694</v>
      </c>
      <c r="E789" s="1" t="s">
        <v>164</v>
      </c>
      <c r="F789" s="5">
        <f t="shared" si="49"/>
        <v>1456</v>
      </c>
      <c r="G789" s="1">
        <v>91</v>
      </c>
      <c r="H789" s="1" t="str">
        <f t="shared" si="50"/>
        <v>High</v>
      </c>
      <c r="I789" s="1" t="str">
        <f t="shared" si="51"/>
        <v>Other</v>
      </c>
      <c r="J789" s="1">
        <f t="shared" si="52"/>
        <v>500334.33</v>
      </c>
    </row>
    <row r="790" spans="1:10" ht="12.75">
      <c r="A790" s="1" t="s">
        <v>29</v>
      </c>
      <c r="B790" s="1" t="s">
        <v>54</v>
      </c>
      <c r="C790" s="1" t="s">
        <v>68</v>
      </c>
      <c r="D790" s="2">
        <v>44592</v>
      </c>
      <c r="E790" s="1" t="s">
        <v>697</v>
      </c>
      <c r="F790" s="5">
        <f t="shared" si="49"/>
        <v>2016</v>
      </c>
      <c r="G790" s="1">
        <v>277</v>
      </c>
      <c r="H790" s="1" t="str">
        <f t="shared" si="50"/>
        <v>High</v>
      </c>
      <c r="I790" s="1" t="str">
        <f t="shared" si="51"/>
        <v>Other</v>
      </c>
      <c r="J790" s="1">
        <f t="shared" si="52"/>
        <v>500334.33</v>
      </c>
    </row>
    <row r="791" spans="1:10" ht="12.75">
      <c r="A791" s="1" t="s">
        <v>17</v>
      </c>
      <c r="B791" s="1" t="s">
        <v>54</v>
      </c>
      <c r="C791" s="1" t="s">
        <v>126</v>
      </c>
      <c r="D791" s="2">
        <v>44742</v>
      </c>
      <c r="E791" s="1" t="s">
        <v>698</v>
      </c>
      <c r="F791" s="5">
        <f t="shared" si="49"/>
        <v>7588</v>
      </c>
      <c r="G791" s="1">
        <v>42</v>
      </c>
      <c r="H791" s="1" t="str">
        <f t="shared" si="50"/>
        <v>High</v>
      </c>
      <c r="I791" s="1" t="str">
        <f t="shared" si="51"/>
        <v>Other</v>
      </c>
      <c r="J791" s="1">
        <f t="shared" si="52"/>
        <v>500334.33</v>
      </c>
    </row>
    <row r="792" spans="1:10" ht="12.75">
      <c r="A792" s="1" t="s">
        <v>16</v>
      </c>
      <c r="B792" s="1" t="s">
        <v>62</v>
      </c>
      <c r="C792" s="1" t="s">
        <v>86</v>
      </c>
      <c r="D792" s="2">
        <v>44798</v>
      </c>
      <c r="E792" s="1" t="s">
        <v>453</v>
      </c>
      <c r="F792" s="5">
        <f t="shared" si="49"/>
        <v>3402</v>
      </c>
      <c r="G792" s="1">
        <v>249</v>
      </c>
      <c r="H792" s="1" t="str">
        <f t="shared" si="50"/>
        <v>High</v>
      </c>
      <c r="I792" s="1" t="str">
        <f t="shared" si="51"/>
        <v>Other</v>
      </c>
      <c r="J792" s="1">
        <f t="shared" si="52"/>
        <v>500334.33</v>
      </c>
    </row>
    <row r="793" spans="1:10" ht="12.75">
      <c r="A793" s="1" t="s">
        <v>20</v>
      </c>
      <c r="B793" s="1" t="s">
        <v>54</v>
      </c>
      <c r="C793" s="1" t="s">
        <v>49</v>
      </c>
      <c r="D793" s="2">
        <v>44571</v>
      </c>
      <c r="E793" s="1" t="s">
        <v>688</v>
      </c>
      <c r="F793" s="5">
        <f t="shared" si="49"/>
        <v>700</v>
      </c>
      <c r="G793" s="1">
        <v>97</v>
      </c>
      <c r="H793" s="1" t="str">
        <f t="shared" si="50"/>
        <v>Medium</v>
      </c>
      <c r="I793" s="1" t="str">
        <f t="shared" si="51"/>
        <v>Other</v>
      </c>
      <c r="J793" s="1">
        <f t="shared" si="52"/>
        <v>500334.33</v>
      </c>
    </row>
    <row r="794" spans="1:10" ht="12.75">
      <c r="A794" s="1" t="s">
        <v>7</v>
      </c>
      <c r="B794" s="1" t="s">
        <v>59</v>
      </c>
      <c r="C794" s="1" t="s">
        <v>86</v>
      </c>
      <c r="D794" s="2">
        <v>44795</v>
      </c>
      <c r="E794" s="1" t="s">
        <v>699</v>
      </c>
      <c r="F794" s="5">
        <f t="shared" si="49"/>
        <v>1904</v>
      </c>
      <c r="G794" s="1">
        <v>8</v>
      </c>
      <c r="H794" s="1" t="str">
        <f t="shared" si="50"/>
        <v>High</v>
      </c>
      <c r="I794" s="1" t="str">
        <f t="shared" si="51"/>
        <v>Other</v>
      </c>
      <c r="J794" s="1">
        <f t="shared" si="52"/>
        <v>500334.33</v>
      </c>
    </row>
    <row r="795" spans="1:10" ht="12.75">
      <c r="A795" s="1" t="s">
        <v>26</v>
      </c>
      <c r="B795" s="1" t="s">
        <v>54</v>
      </c>
      <c r="C795" s="1" t="s">
        <v>43</v>
      </c>
      <c r="D795" s="2">
        <v>44665</v>
      </c>
      <c r="E795" s="1" t="s">
        <v>700</v>
      </c>
      <c r="F795" s="5">
        <f t="shared" si="49"/>
        <v>4844</v>
      </c>
      <c r="G795" s="1">
        <v>275</v>
      </c>
      <c r="H795" s="1" t="str">
        <f t="shared" si="50"/>
        <v>High</v>
      </c>
      <c r="I795" s="1" t="str">
        <f t="shared" si="51"/>
        <v>Other</v>
      </c>
      <c r="J795" s="1">
        <f t="shared" si="52"/>
        <v>500334.33</v>
      </c>
    </row>
    <row r="796" spans="1:10" ht="12.75">
      <c r="A796" s="1" t="s">
        <v>22</v>
      </c>
      <c r="B796" s="1" t="s">
        <v>39</v>
      </c>
      <c r="C796" s="1" t="s">
        <v>49</v>
      </c>
      <c r="D796" s="2">
        <v>44712</v>
      </c>
      <c r="E796" s="1" t="s">
        <v>662</v>
      </c>
      <c r="F796" s="5">
        <f t="shared" si="49"/>
        <v>9625</v>
      </c>
      <c r="G796" s="1">
        <v>313</v>
      </c>
      <c r="H796" s="1" t="str">
        <f t="shared" si="50"/>
        <v>High</v>
      </c>
      <c r="I796" s="1" t="str">
        <f t="shared" si="51"/>
        <v>Other</v>
      </c>
      <c r="J796" s="1">
        <f t="shared" si="52"/>
        <v>500334.33</v>
      </c>
    </row>
    <row r="797" spans="1:10" ht="12.75">
      <c r="A797" s="1" t="s">
        <v>22</v>
      </c>
      <c r="B797" s="1" t="s">
        <v>39</v>
      </c>
      <c r="C797" s="1" t="s">
        <v>100</v>
      </c>
      <c r="D797" s="2">
        <v>44659</v>
      </c>
      <c r="E797" s="1" t="s">
        <v>701</v>
      </c>
      <c r="F797" s="5">
        <f t="shared" si="49"/>
        <v>4599</v>
      </c>
      <c r="G797" s="1">
        <v>323</v>
      </c>
      <c r="H797" s="1" t="str">
        <f t="shared" si="50"/>
        <v>High</v>
      </c>
      <c r="I797" s="1" t="str">
        <f t="shared" si="51"/>
        <v>Other</v>
      </c>
      <c r="J797" s="1">
        <f t="shared" si="52"/>
        <v>500334.33</v>
      </c>
    </row>
    <row r="798" spans="1:10" ht="12.75">
      <c r="A798" s="1" t="s">
        <v>26</v>
      </c>
      <c r="B798" s="1" t="s">
        <v>59</v>
      </c>
      <c r="C798" s="1" t="s">
        <v>65</v>
      </c>
      <c r="D798" s="2">
        <v>44613</v>
      </c>
      <c r="E798" s="1" t="s">
        <v>79</v>
      </c>
      <c r="F798" s="5">
        <f t="shared" si="49"/>
        <v>3003</v>
      </c>
      <c r="G798" s="1">
        <v>155</v>
      </c>
      <c r="H798" s="1" t="str">
        <f t="shared" si="50"/>
        <v>High</v>
      </c>
      <c r="I798" s="1" t="str">
        <f t="shared" si="51"/>
        <v>Other</v>
      </c>
      <c r="J798" s="1">
        <f t="shared" si="52"/>
        <v>500334.33</v>
      </c>
    </row>
    <row r="799" spans="1:10" ht="12.75">
      <c r="A799" s="1" t="s">
        <v>27</v>
      </c>
      <c r="B799" s="1" t="s">
        <v>5</v>
      </c>
      <c r="C799" s="1" t="s">
        <v>86</v>
      </c>
      <c r="D799" s="2">
        <v>44650</v>
      </c>
      <c r="E799" s="1" t="s">
        <v>702</v>
      </c>
      <c r="F799" s="5">
        <f t="shared" si="49"/>
        <v>9744</v>
      </c>
      <c r="G799" s="1">
        <v>377</v>
      </c>
      <c r="H799" s="1" t="str">
        <f t="shared" si="50"/>
        <v>High</v>
      </c>
      <c r="I799" s="1" t="str">
        <f t="shared" si="51"/>
        <v>Other</v>
      </c>
      <c r="J799" s="1">
        <f t="shared" si="52"/>
        <v>500334.33</v>
      </c>
    </row>
    <row r="800" spans="1:10" ht="12.75">
      <c r="A800" s="1" t="s">
        <v>2</v>
      </c>
      <c r="B800" s="1" t="s">
        <v>42</v>
      </c>
      <c r="C800" s="1" t="s">
        <v>100</v>
      </c>
      <c r="D800" s="2">
        <v>44622</v>
      </c>
      <c r="E800" s="1" t="s">
        <v>703</v>
      </c>
      <c r="F800" s="5">
        <f t="shared" si="49"/>
        <v>1400</v>
      </c>
      <c r="G800" s="1">
        <v>2</v>
      </c>
      <c r="H800" s="1" t="str">
        <f t="shared" si="50"/>
        <v>High</v>
      </c>
      <c r="I800" s="1" t="str">
        <f t="shared" si="51"/>
        <v>Other</v>
      </c>
      <c r="J800" s="1">
        <f t="shared" si="52"/>
        <v>500334.33</v>
      </c>
    </row>
    <row r="801" spans="1:10" ht="12.75">
      <c r="A801" s="1" t="s">
        <v>11</v>
      </c>
      <c r="B801" s="1" t="s">
        <v>59</v>
      </c>
      <c r="C801" s="1" t="s">
        <v>60</v>
      </c>
      <c r="D801" s="2">
        <v>44770</v>
      </c>
      <c r="E801" s="1" t="s">
        <v>704</v>
      </c>
      <c r="F801" s="5">
        <f t="shared" si="49"/>
        <v>364</v>
      </c>
      <c r="G801" s="1">
        <v>170</v>
      </c>
      <c r="H801" s="1" t="str">
        <f t="shared" si="50"/>
        <v>Low</v>
      </c>
      <c r="I801" s="1" t="str">
        <f t="shared" si="51"/>
        <v>Other</v>
      </c>
      <c r="J801" s="1">
        <f t="shared" si="52"/>
        <v>498934.33</v>
      </c>
    </row>
    <row r="802" spans="1:10" ht="12.75">
      <c r="A802" s="1" t="s">
        <v>8</v>
      </c>
      <c r="B802" s="1" t="s">
        <v>54</v>
      </c>
      <c r="C802" s="1" t="s">
        <v>147</v>
      </c>
      <c r="D802" s="2">
        <v>44644</v>
      </c>
      <c r="E802" s="1" t="s">
        <v>705</v>
      </c>
      <c r="F802" s="5">
        <f t="shared" si="49"/>
        <v>7231</v>
      </c>
      <c r="G802" s="1">
        <v>38</v>
      </c>
      <c r="H802" s="1" t="str">
        <f t="shared" si="50"/>
        <v>High</v>
      </c>
      <c r="I802" s="1" t="str">
        <f t="shared" si="51"/>
        <v>Other</v>
      </c>
      <c r="J802" s="1">
        <f t="shared" si="52"/>
        <v>498934.33</v>
      </c>
    </row>
    <row r="803" spans="1:10" ht="12.75">
      <c r="A803" s="1" t="s">
        <v>24</v>
      </c>
      <c r="B803" s="1" t="s">
        <v>5</v>
      </c>
      <c r="C803" s="1" t="s">
        <v>52</v>
      </c>
      <c r="D803" s="2">
        <v>44784</v>
      </c>
      <c r="E803" s="1" t="s">
        <v>144</v>
      </c>
      <c r="F803" s="5">
        <f t="shared" si="49"/>
        <v>63</v>
      </c>
      <c r="G803" s="1">
        <v>105</v>
      </c>
      <c r="H803" s="1" t="str">
        <f t="shared" si="50"/>
        <v>Low</v>
      </c>
      <c r="I803" s="1" t="str">
        <f t="shared" si="51"/>
        <v>Other</v>
      </c>
      <c r="J803" s="1">
        <f t="shared" si="52"/>
        <v>498934.33</v>
      </c>
    </row>
    <row r="804" spans="1:10" ht="12.75">
      <c r="A804" s="1" t="s">
        <v>13</v>
      </c>
      <c r="B804" s="1" t="s">
        <v>39</v>
      </c>
      <c r="C804" s="1" t="s">
        <v>91</v>
      </c>
      <c r="D804" s="2">
        <v>44698</v>
      </c>
      <c r="E804" s="1" t="s">
        <v>706</v>
      </c>
      <c r="F804" s="5">
        <f t="shared" si="49"/>
        <v>8309</v>
      </c>
      <c r="G804" s="1">
        <v>166</v>
      </c>
      <c r="H804" s="1" t="str">
        <f t="shared" si="50"/>
        <v>High</v>
      </c>
      <c r="I804" s="1" t="str">
        <f t="shared" si="51"/>
        <v>Other</v>
      </c>
      <c r="J804" s="1">
        <f t="shared" si="52"/>
        <v>498934.33</v>
      </c>
    </row>
    <row r="805" spans="1:10" ht="12.75">
      <c r="A805" s="1" t="s">
        <v>8</v>
      </c>
      <c r="B805" s="1" t="s">
        <v>62</v>
      </c>
      <c r="C805" s="1" t="s">
        <v>102</v>
      </c>
      <c r="D805" s="2">
        <v>44699</v>
      </c>
      <c r="E805" s="1" t="s">
        <v>707</v>
      </c>
      <c r="F805" s="5">
        <f t="shared" si="49"/>
        <v>3164</v>
      </c>
      <c r="G805" s="1">
        <v>164</v>
      </c>
      <c r="H805" s="1" t="str">
        <f t="shared" si="50"/>
        <v>High</v>
      </c>
      <c r="I805" s="1" t="str">
        <f t="shared" si="51"/>
        <v>Other</v>
      </c>
      <c r="J805" s="1">
        <f t="shared" si="52"/>
        <v>498934.33</v>
      </c>
    </row>
    <row r="806" spans="1:10" ht="12.75">
      <c r="A806" s="1" t="s">
        <v>26</v>
      </c>
      <c r="B806" s="1" t="s">
        <v>39</v>
      </c>
      <c r="C806" s="1" t="s">
        <v>45</v>
      </c>
      <c r="D806" s="2">
        <v>44790</v>
      </c>
      <c r="E806" s="1" t="s">
        <v>365</v>
      </c>
      <c r="F806" s="5">
        <f t="shared" si="49"/>
        <v>5691</v>
      </c>
      <c r="G806" s="1">
        <v>171</v>
      </c>
      <c r="H806" s="1" t="str">
        <f t="shared" si="50"/>
        <v>High</v>
      </c>
      <c r="I806" s="1" t="str">
        <f t="shared" si="51"/>
        <v>Other</v>
      </c>
      <c r="J806" s="1">
        <f t="shared" si="52"/>
        <v>498934.33</v>
      </c>
    </row>
    <row r="807" spans="1:10" ht="12.75">
      <c r="A807" s="1" t="s">
        <v>17</v>
      </c>
      <c r="B807" s="1" t="s">
        <v>54</v>
      </c>
      <c r="C807" s="1" t="s">
        <v>63</v>
      </c>
      <c r="D807" s="2">
        <v>44655</v>
      </c>
      <c r="E807" s="1" t="s">
        <v>708</v>
      </c>
      <c r="F807" s="5">
        <f t="shared" si="49"/>
        <v>490</v>
      </c>
      <c r="G807" s="1">
        <v>49</v>
      </c>
      <c r="H807" s="1" t="str">
        <f t="shared" si="50"/>
        <v>Low</v>
      </c>
      <c r="I807" s="1" t="str">
        <f t="shared" si="51"/>
        <v>Other</v>
      </c>
      <c r="J807" s="1">
        <f t="shared" si="52"/>
        <v>498934.33</v>
      </c>
    </row>
    <row r="808" spans="1:10" ht="12.75">
      <c r="A808" s="1" t="s">
        <v>7</v>
      </c>
      <c r="B808" s="1" t="s">
        <v>42</v>
      </c>
      <c r="C808" s="1" t="s">
        <v>43</v>
      </c>
      <c r="D808" s="2">
        <v>44782</v>
      </c>
      <c r="E808" s="1" t="s">
        <v>709</v>
      </c>
      <c r="F808" s="5">
        <f t="shared" si="49"/>
        <v>18032</v>
      </c>
      <c r="G808" s="1">
        <v>205</v>
      </c>
      <c r="H808" s="1" t="str">
        <f t="shared" si="50"/>
        <v>High</v>
      </c>
      <c r="I808" s="1" t="str">
        <f t="shared" si="51"/>
        <v>Other</v>
      </c>
      <c r="J808" s="1">
        <f t="shared" si="52"/>
        <v>498934.33</v>
      </c>
    </row>
    <row r="809" spans="1:10" ht="12.75">
      <c r="A809" s="1" t="s">
        <v>7</v>
      </c>
      <c r="B809" s="1" t="s">
        <v>54</v>
      </c>
      <c r="C809" s="1" t="s">
        <v>68</v>
      </c>
      <c r="D809" s="2">
        <v>44578</v>
      </c>
      <c r="E809" s="1" t="s">
        <v>397</v>
      </c>
      <c r="F809" s="5">
        <f t="shared" si="49"/>
        <v>637</v>
      </c>
      <c r="G809" s="1">
        <v>313</v>
      </c>
      <c r="H809" s="1" t="str">
        <f t="shared" si="50"/>
        <v>Medium</v>
      </c>
      <c r="I809" s="1" t="str">
        <f t="shared" si="51"/>
        <v>Other</v>
      </c>
      <c r="J809" s="1">
        <f t="shared" si="52"/>
        <v>498934.33</v>
      </c>
    </row>
    <row r="810" spans="1:10" ht="12.75">
      <c r="A810" s="1" t="s">
        <v>27</v>
      </c>
      <c r="B810" s="1" t="s">
        <v>62</v>
      </c>
      <c r="C810" s="1" t="s">
        <v>84</v>
      </c>
      <c r="D810" s="2">
        <v>44606</v>
      </c>
      <c r="E810" s="1" t="s">
        <v>70</v>
      </c>
      <c r="F810" s="5">
        <f t="shared" si="49"/>
        <v>4067</v>
      </c>
      <c r="G810" s="1">
        <v>29</v>
      </c>
      <c r="H810" s="1" t="str">
        <f t="shared" si="50"/>
        <v>High</v>
      </c>
      <c r="I810" s="1" t="str">
        <f t="shared" si="51"/>
        <v>Other</v>
      </c>
      <c r="J810" s="1">
        <f t="shared" si="52"/>
        <v>498934.33</v>
      </c>
    </row>
    <row r="811" spans="1:10" ht="12.75">
      <c r="A811" s="1" t="s">
        <v>20</v>
      </c>
      <c r="B811" s="1" t="s">
        <v>54</v>
      </c>
      <c r="C811" s="1" t="s">
        <v>60</v>
      </c>
      <c r="D811" s="2">
        <v>44697</v>
      </c>
      <c r="E811" s="1" t="s">
        <v>466</v>
      </c>
      <c r="F811" s="5">
        <f t="shared" si="49"/>
        <v>8204</v>
      </c>
      <c r="G811" s="1">
        <v>307</v>
      </c>
      <c r="H811" s="1" t="str">
        <f t="shared" si="50"/>
        <v>High</v>
      </c>
      <c r="I811" s="1" t="str">
        <f t="shared" si="51"/>
        <v>Other</v>
      </c>
      <c r="J811" s="1">
        <f t="shared" si="52"/>
        <v>498934.33</v>
      </c>
    </row>
    <row r="812" spans="1:10" ht="12.75">
      <c r="A812" s="1" t="s">
        <v>17</v>
      </c>
      <c r="B812" s="1" t="s">
        <v>62</v>
      </c>
      <c r="C812" s="1" t="s">
        <v>49</v>
      </c>
      <c r="D812" s="2">
        <v>44636</v>
      </c>
      <c r="E812" s="1" t="s">
        <v>368</v>
      </c>
      <c r="F812" s="5">
        <f t="shared" si="49"/>
        <v>9870</v>
      </c>
      <c r="G812" s="1">
        <v>121</v>
      </c>
      <c r="H812" s="1" t="str">
        <f t="shared" si="50"/>
        <v>High</v>
      </c>
      <c r="I812" s="1" t="str">
        <f t="shared" si="51"/>
        <v>Other</v>
      </c>
      <c r="J812" s="1">
        <f t="shared" si="52"/>
        <v>498934.33</v>
      </c>
    </row>
    <row r="813" spans="1:10" ht="12.75">
      <c r="A813" s="1" t="s">
        <v>13</v>
      </c>
      <c r="B813" s="1" t="s">
        <v>62</v>
      </c>
      <c r="C813" s="1" t="s">
        <v>147</v>
      </c>
      <c r="D813" s="2">
        <v>44592</v>
      </c>
      <c r="E813" s="1" t="s">
        <v>710</v>
      </c>
      <c r="F813" s="5">
        <f t="shared" si="49"/>
        <v>5131</v>
      </c>
      <c r="G813" s="1">
        <v>285</v>
      </c>
      <c r="H813" s="1" t="str">
        <f t="shared" si="50"/>
        <v>High</v>
      </c>
      <c r="I813" s="1" t="str">
        <f t="shared" si="51"/>
        <v>Other</v>
      </c>
      <c r="J813" s="1">
        <f t="shared" si="52"/>
        <v>498934.33</v>
      </c>
    </row>
    <row r="814" spans="1:10" ht="12.75">
      <c r="A814" s="1" t="s">
        <v>16</v>
      </c>
      <c r="B814" s="1" t="s">
        <v>62</v>
      </c>
      <c r="C814" s="1" t="s">
        <v>68</v>
      </c>
      <c r="D814" s="2">
        <v>44630</v>
      </c>
      <c r="E814" s="1" t="s">
        <v>711</v>
      </c>
      <c r="F814" s="5">
        <f t="shared" si="49"/>
        <v>1141</v>
      </c>
      <c r="G814" s="1">
        <v>205</v>
      </c>
      <c r="H814" s="1" t="str">
        <f t="shared" si="50"/>
        <v>High</v>
      </c>
      <c r="I814" s="1" t="str">
        <f t="shared" si="51"/>
        <v>Other</v>
      </c>
      <c r="J814" s="1">
        <f t="shared" si="52"/>
        <v>498934.33</v>
      </c>
    </row>
    <row r="815" spans="1:10" ht="12.75">
      <c r="A815" s="1" t="s">
        <v>22</v>
      </c>
      <c r="B815" s="1" t="s">
        <v>39</v>
      </c>
      <c r="C815" s="1" t="s">
        <v>68</v>
      </c>
      <c r="D815" s="2">
        <v>44742</v>
      </c>
      <c r="E815" s="1" t="s">
        <v>712</v>
      </c>
      <c r="F815" s="5">
        <f t="shared" si="49"/>
        <v>7980</v>
      </c>
      <c r="G815" s="1">
        <v>157</v>
      </c>
      <c r="H815" s="1" t="str">
        <f t="shared" si="50"/>
        <v>High</v>
      </c>
      <c r="I815" s="1" t="str">
        <f t="shared" si="51"/>
        <v>Other</v>
      </c>
      <c r="J815" s="1">
        <f t="shared" si="52"/>
        <v>498934.33</v>
      </c>
    </row>
    <row r="816" spans="1:10" ht="12.75">
      <c r="A816" s="1" t="s">
        <v>10</v>
      </c>
      <c r="B816" s="1" t="s">
        <v>54</v>
      </c>
      <c r="C816" s="1" t="s">
        <v>63</v>
      </c>
      <c r="D816" s="2">
        <v>44621</v>
      </c>
      <c r="E816" s="1" t="s">
        <v>713</v>
      </c>
      <c r="F816" s="5">
        <f t="shared" si="49"/>
        <v>5229</v>
      </c>
      <c r="G816" s="1">
        <v>182</v>
      </c>
      <c r="H816" s="1" t="str">
        <f t="shared" si="50"/>
        <v>High</v>
      </c>
      <c r="I816" s="1" t="str">
        <f t="shared" si="51"/>
        <v>Other</v>
      </c>
      <c r="J816" s="1">
        <f t="shared" si="52"/>
        <v>498934.33</v>
      </c>
    </row>
    <row r="817" spans="1:10" ht="12.75">
      <c r="A817" s="1" t="s">
        <v>2</v>
      </c>
      <c r="B817" s="1" t="s">
        <v>39</v>
      </c>
      <c r="C817" s="1" t="s">
        <v>65</v>
      </c>
      <c r="D817" s="2">
        <v>44708</v>
      </c>
      <c r="E817" s="1" t="s">
        <v>714</v>
      </c>
      <c r="F817" s="5">
        <f t="shared" si="49"/>
        <v>3423</v>
      </c>
      <c r="G817" s="1">
        <v>100</v>
      </c>
      <c r="H817" s="1" t="str">
        <f t="shared" si="50"/>
        <v>High</v>
      </c>
      <c r="I817" s="1" t="str">
        <f t="shared" si="51"/>
        <v>Other</v>
      </c>
      <c r="J817" s="1">
        <f t="shared" si="52"/>
        <v>498934.33</v>
      </c>
    </row>
    <row r="818" spans="1:10" ht="12.75">
      <c r="A818" s="1" t="s">
        <v>22</v>
      </c>
      <c r="B818" s="1" t="s">
        <v>39</v>
      </c>
      <c r="C818" s="1" t="s">
        <v>72</v>
      </c>
      <c r="D818" s="2">
        <v>44753</v>
      </c>
      <c r="E818" s="1" t="s">
        <v>253</v>
      </c>
      <c r="F818" s="5">
        <f t="shared" si="49"/>
        <v>6468</v>
      </c>
      <c r="G818" s="1">
        <v>223</v>
      </c>
      <c r="H818" s="1" t="str">
        <f t="shared" si="50"/>
        <v>High</v>
      </c>
      <c r="I818" s="1" t="str">
        <f t="shared" si="51"/>
        <v>Other</v>
      </c>
      <c r="J818" s="1">
        <f t="shared" si="52"/>
        <v>495511.33</v>
      </c>
    </row>
    <row r="819" spans="1:10" ht="12.75">
      <c r="A819" s="1" t="s">
        <v>18</v>
      </c>
      <c r="B819" s="1" t="s">
        <v>54</v>
      </c>
      <c r="C819" s="1" t="s">
        <v>40</v>
      </c>
      <c r="D819" s="2">
        <v>44622</v>
      </c>
      <c r="E819" s="1" t="s">
        <v>715</v>
      </c>
      <c r="F819" s="5">
        <f t="shared" si="49"/>
        <v>4326</v>
      </c>
      <c r="G819" s="1">
        <v>61</v>
      </c>
      <c r="H819" s="1" t="str">
        <f t="shared" si="50"/>
        <v>High</v>
      </c>
      <c r="I819" s="1" t="str">
        <f t="shared" si="51"/>
        <v>Other</v>
      </c>
      <c r="J819" s="1">
        <f t="shared" si="52"/>
        <v>495511.33</v>
      </c>
    </row>
    <row r="820" spans="1:10" ht="12.75">
      <c r="A820" s="1" t="s">
        <v>11</v>
      </c>
      <c r="B820" s="1" t="s">
        <v>59</v>
      </c>
      <c r="C820" s="1" t="s">
        <v>100</v>
      </c>
      <c r="D820" s="2">
        <v>44624</v>
      </c>
      <c r="E820" s="1" t="s">
        <v>152</v>
      </c>
      <c r="F820" s="5">
        <f t="shared" si="49"/>
        <v>7154</v>
      </c>
      <c r="G820" s="1">
        <v>133</v>
      </c>
      <c r="H820" s="1" t="str">
        <f t="shared" si="50"/>
        <v>High</v>
      </c>
      <c r="I820" s="1" t="str">
        <f t="shared" si="51"/>
        <v>Other</v>
      </c>
      <c r="J820" s="1">
        <f t="shared" si="52"/>
        <v>495511.33</v>
      </c>
    </row>
    <row r="821" spans="1:10" ht="12.75">
      <c r="A821" s="1" t="s">
        <v>12</v>
      </c>
      <c r="B821" s="1" t="s">
        <v>39</v>
      </c>
      <c r="C821" s="1" t="s">
        <v>43</v>
      </c>
      <c r="D821" s="2">
        <v>44735</v>
      </c>
      <c r="E821" s="1" t="s">
        <v>716</v>
      </c>
      <c r="F821" s="5">
        <f t="shared" si="49"/>
        <v>3997</v>
      </c>
      <c r="G821" s="1">
        <v>228</v>
      </c>
      <c r="H821" s="1" t="str">
        <f t="shared" si="50"/>
        <v>High</v>
      </c>
      <c r="I821" s="1" t="str">
        <f t="shared" si="51"/>
        <v>Other</v>
      </c>
      <c r="J821" s="1">
        <f t="shared" si="52"/>
        <v>495511.33</v>
      </c>
    </row>
    <row r="822" spans="1:10" ht="12.75">
      <c r="A822" s="1" t="s">
        <v>12</v>
      </c>
      <c r="B822" s="1" t="s">
        <v>59</v>
      </c>
      <c r="C822" s="1" t="s">
        <v>91</v>
      </c>
      <c r="D822" s="2">
        <v>44588</v>
      </c>
      <c r="E822" s="1" t="s">
        <v>717</v>
      </c>
      <c r="F822" s="5">
        <f t="shared" si="49"/>
        <v>5180</v>
      </c>
      <c r="G822" s="1">
        <v>233</v>
      </c>
      <c r="H822" s="1" t="str">
        <f t="shared" si="50"/>
        <v>High</v>
      </c>
      <c r="I822" s="1" t="str">
        <f t="shared" si="51"/>
        <v>Other</v>
      </c>
      <c r="J822" s="1">
        <f t="shared" si="52"/>
        <v>495511.33</v>
      </c>
    </row>
    <row r="823" spans="1:10" ht="12.75">
      <c r="A823" s="1" t="s">
        <v>14</v>
      </c>
      <c r="B823" s="1" t="s">
        <v>62</v>
      </c>
      <c r="C823" s="1" t="s">
        <v>60</v>
      </c>
      <c r="D823" s="2">
        <v>44575</v>
      </c>
      <c r="E823" s="1" t="s">
        <v>563</v>
      </c>
      <c r="F823" s="5">
        <f t="shared" si="49"/>
        <v>2723</v>
      </c>
      <c r="G823" s="1">
        <v>425</v>
      </c>
      <c r="H823" s="1" t="str">
        <f t="shared" si="50"/>
        <v>High</v>
      </c>
      <c r="I823" s="1" t="str">
        <f t="shared" si="51"/>
        <v>Other</v>
      </c>
      <c r="J823" s="1">
        <f t="shared" si="52"/>
        <v>495511.33</v>
      </c>
    </row>
    <row r="824" spans="1:10" ht="12.75">
      <c r="A824" s="1" t="s">
        <v>6</v>
      </c>
      <c r="B824" s="1" t="s">
        <v>42</v>
      </c>
      <c r="C824" s="1" t="s">
        <v>81</v>
      </c>
      <c r="D824" s="2">
        <v>44771</v>
      </c>
      <c r="E824" s="1" t="s">
        <v>718</v>
      </c>
      <c r="F824" s="5">
        <f t="shared" si="49"/>
        <v>952</v>
      </c>
      <c r="G824" s="1">
        <v>24</v>
      </c>
      <c r="H824" s="1" t="str">
        <f t="shared" si="50"/>
        <v>High</v>
      </c>
      <c r="I824" s="1" t="str">
        <f t="shared" si="51"/>
        <v>Other</v>
      </c>
      <c r="J824" s="1">
        <f t="shared" si="52"/>
        <v>495511.33</v>
      </c>
    </row>
    <row r="825" spans="1:10" ht="12.75">
      <c r="A825" s="1" t="s">
        <v>7</v>
      </c>
      <c r="B825" s="1" t="s">
        <v>62</v>
      </c>
      <c r="C825" s="1" t="s">
        <v>49</v>
      </c>
      <c r="D825" s="2">
        <v>44694</v>
      </c>
      <c r="E825" s="1" t="s">
        <v>365</v>
      </c>
      <c r="F825" s="5">
        <f t="shared" si="49"/>
        <v>5691</v>
      </c>
      <c r="G825" s="1">
        <v>495</v>
      </c>
      <c r="H825" s="1" t="str">
        <f t="shared" si="50"/>
        <v>High</v>
      </c>
      <c r="I825" s="1" t="str">
        <f t="shared" si="51"/>
        <v>Other</v>
      </c>
      <c r="J825" s="1">
        <f t="shared" si="52"/>
        <v>495511.33</v>
      </c>
    </row>
    <row r="826" spans="1:10" ht="12.75">
      <c r="A826" s="1" t="s">
        <v>16</v>
      </c>
      <c r="B826" s="1" t="s">
        <v>62</v>
      </c>
      <c r="C826" s="1" t="s">
        <v>122</v>
      </c>
      <c r="D826" s="2">
        <v>44595</v>
      </c>
      <c r="E826" s="1" t="s">
        <v>719</v>
      </c>
      <c r="F826" s="5">
        <f t="shared" si="49"/>
        <v>10969</v>
      </c>
      <c r="G826" s="1">
        <v>170</v>
      </c>
      <c r="H826" s="1" t="str">
        <f t="shared" si="50"/>
        <v>High</v>
      </c>
      <c r="I826" s="1" t="str">
        <f t="shared" si="51"/>
        <v>Other</v>
      </c>
      <c r="J826" s="1">
        <f t="shared" si="52"/>
        <v>495511.33</v>
      </c>
    </row>
    <row r="827" spans="1:10" ht="12.75">
      <c r="A827" s="1" t="s">
        <v>7</v>
      </c>
      <c r="B827" s="1" t="s">
        <v>42</v>
      </c>
      <c r="C827" s="1" t="s">
        <v>49</v>
      </c>
      <c r="D827" s="2">
        <v>44708</v>
      </c>
      <c r="E827" s="1" t="s">
        <v>720</v>
      </c>
      <c r="F827" s="5">
        <f t="shared" si="49"/>
        <v>5964</v>
      </c>
      <c r="G827" s="1">
        <v>26</v>
      </c>
      <c r="H827" s="1" t="str">
        <f t="shared" si="50"/>
        <v>High</v>
      </c>
      <c r="I827" s="1" t="str">
        <f t="shared" si="51"/>
        <v>Other</v>
      </c>
      <c r="J827" s="1">
        <f t="shared" si="52"/>
        <v>495511.33</v>
      </c>
    </row>
    <row r="828" spans="1:10" ht="12.75">
      <c r="A828" s="1" t="s">
        <v>15</v>
      </c>
      <c r="B828" s="1" t="s">
        <v>5</v>
      </c>
      <c r="C828" s="1" t="s">
        <v>65</v>
      </c>
      <c r="D828" s="2">
        <v>44610</v>
      </c>
      <c r="E828" s="1" t="s">
        <v>400</v>
      </c>
      <c r="F828" s="5">
        <f t="shared" si="49"/>
        <v>2821</v>
      </c>
      <c r="G828" s="1">
        <v>24</v>
      </c>
      <c r="H828" s="1" t="str">
        <f t="shared" si="50"/>
        <v>High</v>
      </c>
      <c r="I828" s="1" t="str">
        <f t="shared" si="51"/>
        <v>Other</v>
      </c>
      <c r="J828" s="1">
        <f t="shared" si="52"/>
        <v>495511.33</v>
      </c>
    </row>
    <row r="829" spans="1:10" ht="12.75">
      <c r="A829" s="1" t="s">
        <v>7</v>
      </c>
      <c r="B829" s="1" t="s">
        <v>42</v>
      </c>
      <c r="C829" s="1" t="s">
        <v>76</v>
      </c>
      <c r="D829" s="2">
        <v>44589</v>
      </c>
      <c r="E829" s="1" t="s">
        <v>721</v>
      </c>
      <c r="F829" s="5">
        <f t="shared" si="49"/>
        <v>1302</v>
      </c>
      <c r="G829" s="1">
        <v>33</v>
      </c>
      <c r="H829" s="1" t="str">
        <f t="shared" si="50"/>
        <v>High</v>
      </c>
      <c r="I829" s="1" t="str">
        <f t="shared" si="51"/>
        <v>Other</v>
      </c>
      <c r="J829" s="1">
        <f t="shared" si="52"/>
        <v>495511.33</v>
      </c>
    </row>
    <row r="830" spans="1:10" ht="12.75">
      <c r="A830" s="1" t="s">
        <v>10</v>
      </c>
      <c r="B830" s="1" t="s">
        <v>39</v>
      </c>
      <c r="C830" s="1" t="s">
        <v>63</v>
      </c>
      <c r="D830" s="2">
        <v>44741</v>
      </c>
      <c r="E830" s="1" t="s">
        <v>612</v>
      </c>
      <c r="F830" s="5">
        <f t="shared" si="49"/>
        <v>5474</v>
      </c>
      <c r="G830" s="1">
        <v>109</v>
      </c>
      <c r="H830" s="1" t="str">
        <f t="shared" si="50"/>
        <v>High</v>
      </c>
      <c r="I830" s="1" t="str">
        <f t="shared" si="51"/>
        <v>Other</v>
      </c>
      <c r="J830" s="1">
        <f t="shared" si="52"/>
        <v>495511.33</v>
      </c>
    </row>
    <row r="831" spans="1:10" ht="12.75">
      <c r="A831" s="1" t="s">
        <v>29</v>
      </c>
      <c r="B831" s="1" t="s">
        <v>42</v>
      </c>
      <c r="C831" s="1" t="s">
        <v>126</v>
      </c>
      <c r="D831" s="2">
        <v>44574</v>
      </c>
      <c r="E831" s="1" t="s">
        <v>722</v>
      </c>
      <c r="F831" s="5">
        <f t="shared" si="49"/>
        <v>4179</v>
      </c>
      <c r="G831" s="1">
        <v>276</v>
      </c>
      <c r="H831" s="1" t="str">
        <f t="shared" si="50"/>
        <v>High</v>
      </c>
      <c r="I831" s="1" t="str">
        <f t="shared" si="51"/>
        <v>Other</v>
      </c>
      <c r="J831" s="1">
        <f t="shared" si="52"/>
        <v>495511.33</v>
      </c>
    </row>
    <row r="832" spans="1:10" ht="12.75">
      <c r="A832" s="1" t="s">
        <v>11</v>
      </c>
      <c r="B832" s="1" t="s">
        <v>39</v>
      </c>
      <c r="C832" s="1" t="s">
        <v>52</v>
      </c>
      <c r="D832" s="2">
        <v>44739</v>
      </c>
      <c r="E832" s="1" t="s">
        <v>723</v>
      </c>
      <c r="F832" s="5">
        <f t="shared" si="49"/>
        <v>1946</v>
      </c>
      <c r="G832" s="1">
        <v>164</v>
      </c>
      <c r="H832" s="1" t="str">
        <f t="shared" si="50"/>
        <v>High</v>
      </c>
      <c r="I832" s="1" t="str">
        <f t="shared" si="51"/>
        <v>Other</v>
      </c>
      <c r="J832" s="1">
        <f t="shared" si="52"/>
        <v>495511.33</v>
      </c>
    </row>
    <row r="833" spans="1:10" ht="12.75">
      <c r="A833" s="1" t="s">
        <v>16</v>
      </c>
      <c r="B833" s="1" t="s">
        <v>62</v>
      </c>
      <c r="C833" s="1" t="s">
        <v>84</v>
      </c>
      <c r="D833" s="2">
        <v>44649</v>
      </c>
      <c r="E833" s="1" t="s">
        <v>724</v>
      </c>
      <c r="F833" s="5">
        <f t="shared" si="49"/>
        <v>4291</v>
      </c>
      <c r="G833" s="1">
        <v>1</v>
      </c>
      <c r="H833" s="1" t="str">
        <f t="shared" si="50"/>
        <v>High</v>
      </c>
      <c r="I833" s="1" t="str">
        <f t="shared" si="51"/>
        <v>Other</v>
      </c>
      <c r="J833" s="1">
        <f t="shared" si="52"/>
        <v>495511.33</v>
      </c>
    </row>
    <row r="834" spans="1:10" ht="12.75">
      <c r="A834" s="1" t="s">
        <v>23</v>
      </c>
      <c r="B834" s="1" t="s">
        <v>42</v>
      </c>
      <c r="C834" s="1" t="s">
        <v>68</v>
      </c>
      <c r="D834" s="2">
        <v>44715</v>
      </c>
      <c r="E834" s="1" t="s">
        <v>725</v>
      </c>
      <c r="F834" s="5">
        <f t="shared" ref="F834:F897" si="53">VALUE(SUBSTITUTE(E834,"$",""))</f>
        <v>7196</v>
      </c>
      <c r="G834" s="1">
        <v>160</v>
      </c>
      <c r="H834" s="1" t="str">
        <f t="shared" ref="H834:H897" si="54">IF(F834&gt;800,"High",IF(F834&gt;500,"Medium","Low"))</f>
        <v>High</v>
      </c>
      <c r="I834" s="1" t="str">
        <f t="shared" ref="I834:I897" si="55">IF(AND(B834="Australia",A834="Mallorie Waber"),"Top Local","Other")</f>
        <v>Other</v>
      </c>
      <c r="J834" s="1">
        <f t="shared" ref="J834:J897" si="56">SUMIF(A834:A4114,"Mallorie Waber",F834:F4114)</f>
        <v>495511.33</v>
      </c>
    </row>
    <row r="835" spans="1:10" ht="12.75">
      <c r="A835" s="1" t="s">
        <v>2</v>
      </c>
      <c r="B835" s="1" t="s">
        <v>62</v>
      </c>
      <c r="C835" s="1" t="s">
        <v>49</v>
      </c>
      <c r="D835" s="2">
        <v>44641</v>
      </c>
      <c r="E835" s="1" t="s">
        <v>172</v>
      </c>
      <c r="F835" s="5">
        <f t="shared" si="53"/>
        <v>1939</v>
      </c>
      <c r="G835" s="1">
        <v>98</v>
      </c>
      <c r="H835" s="1" t="str">
        <f t="shared" si="54"/>
        <v>High</v>
      </c>
      <c r="I835" s="1" t="str">
        <f t="shared" si="55"/>
        <v>Other</v>
      </c>
      <c r="J835" s="1">
        <f t="shared" si="56"/>
        <v>495511.33</v>
      </c>
    </row>
    <row r="836" spans="1:10" ht="12.75">
      <c r="A836" s="1" t="s">
        <v>2</v>
      </c>
      <c r="B836" s="1" t="s">
        <v>42</v>
      </c>
      <c r="C836" s="1" t="s">
        <v>63</v>
      </c>
      <c r="D836" s="2">
        <v>44663</v>
      </c>
      <c r="E836" s="1" t="s">
        <v>726</v>
      </c>
      <c r="F836" s="5">
        <f t="shared" si="53"/>
        <v>10437</v>
      </c>
      <c r="G836" s="1">
        <v>46</v>
      </c>
      <c r="H836" s="1" t="str">
        <f t="shared" si="54"/>
        <v>High</v>
      </c>
      <c r="I836" s="1" t="str">
        <f t="shared" si="55"/>
        <v>Other</v>
      </c>
      <c r="J836" s="1">
        <f t="shared" si="56"/>
        <v>493572.33</v>
      </c>
    </row>
    <row r="837" spans="1:10" ht="12.75">
      <c r="A837" s="1" t="s">
        <v>19</v>
      </c>
      <c r="B837" s="1" t="s">
        <v>5</v>
      </c>
      <c r="C837" s="1" t="s">
        <v>100</v>
      </c>
      <c r="D837" s="2">
        <v>44580</v>
      </c>
      <c r="E837" s="1" t="s">
        <v>348</v>
      </c>
      <c r="F837" s="5">
        <f t="shared" si="53"/>
        <v>6916</v>
      </c>
      <c r="G837" s="1">
        <v>259</v>
      </c>
      <c r="H837" s="1" t="str">
        <f t="shared" si="54"/>
        <v>High</v>
      </c>
      <c r="I837" s="1" t="str">
        <f t="shared" si="55"/>
        <v>Other</v>
      </c>
      <c r="J837" s="1">
        <f t="shared" si="56"/>
        <v>483135.33</v>
      </c>
    </row>
    <row r="838" spans="1:10" ht="12.75">
      <c r="A838" s="1" t="s">
        <v>18</v>
      </c>
      <c r="B838" s="1" t="s">
        <v>39</v>
      </c>
      <c r="C838" s="1" t="s">
        <v>55</v>
      </c>
      <c r="D838" s="2">
        <v>44657</v>
      </c>
      <c r="E838" s="1" t="s">
        <v>727</v>
      </c>
      <c r="F838" s="5">
        <f t="shared" si="53"/>
        <v>3647</v>
      </c>
      <c r="G838" s="1">
        <v>310</v>
      </c>
      <c r="H838" s="1" t="str">
        <f t="shared" si="54"/>
        <v>High</v>
      </c>
      <c r="I838" s="1" t="str">
        <f t="shared" si="55"/>
        <v>Other</v>
      </c>
      <c r="J838" s="1">
        <f t="shared" si="56"/>
        <v>483135.33</v>
      </c>
    </row>
    <row r="839" spans="1:10" ht="12.75">
      <c r="A839" s="1" t="s">
        <v>8</v>
      </c>
      <c r="B839" s="1" t="s">
        <v>5</v>
      </c>
      <c r="C839" s="1" t="s">
        <v>55</v>
      </c>
      <c r="D839" s="2">
        <v>44775</v>
      </c>
      <c r="E839" s="1" t="s">
        <v>728</v>
      </c>
      <c r="F839" s="5">
        <f t="shared" si="53"/>
        <v>8995</v>
      </c>
      <c r="G839" s="1">
        <v>78</v>
      </c>
      <c r="H839" s="1" t="str">
        <f t="shared" si="54"/>
        <v>High</v>
      </c>
      <c r="I839" s="1" t="str">
        <f t="shared" si="55"/>
        <v>Other</v>
      </c>
      <c r="J839" s="1">
        <f t="shared" si="56"/>
        <v>483135.33</v>
      </c>
    </row>
    <row r="840" spans="1:10" ht="12.75">
      <c r="A840" s="1" t="s">
        <v>20</v>
      </c>
      <c r="B840" s="1" t="s">
        <v>5</v>
      </c>
      <c r="C840" s="1" t="s">
        <v>63</v>
      </c>
      <c r="D840" s="2">
        <v>44663</v>
      </c>
      <c r="E840" s="1" t="s">
        <v>729</v>
      </c>
      <c r="F840" s="5">
        <f t="shared" si="53"/>
        <v>7252</v>
      </c>
      <c r="G840" s="1">
        <v>136</v>
      </c>
      <c r="H840" s="1" t="str">
        <f t="shared" si="54"/>
        <v>High</v>
      </c>
      <c r="I840" s="1" t="str">
        <f t="shared" si="55"/>
        <v>Other</v>
      </c>
      <c r="J840" s="1">
        <f t="shared" si="56"/>
        <v>483135.33</v>
      </c>
    </row>
    <row r="841" spans="1:10" ht="12.75">
      <c r="A841" s="1" t="s">
        <v>22</v>
      </c>
      <c r="B841" s="1" t="s">
        <v>42</v>
      </c>
      <c r="C841" s="1" t="s">
        <v>65</v>
      </c>
      <c r="D841" s="2">
        <v>44763</v>
      </c>
      <c r="E841" s="1" t="s">
        <v>730</v>
      </c>
      <c r="F841" s="5">
        <f t="shared" si="53"/>
        <v>16380</v>
      </c>
      <c r="G841" s="1">
        <v>130</v>
      </c>
      <c r="H841" s="1" t="str">
        <f t="shared" si="54"/>
        <v>High</v>
      </c>
      <c r="I841" s="1" t="str">
        <f t="shared" si="55"/>
        <v>Other</v>
      </c>
      <c r="J841" s="1">
        <f t="shared" si="56"/>
        <v>483135.33</v>
      </c>
    </row>
    <row r="842" spans="1:10" ht="12.75">
      <c r="A842" s="1" t="s">
        <v>10</v>
      </c>
      <c r="B842" s="1" t="s">
        <v>54</v>
      </c>
      <c r="C842" s="1" t="s">
        <v>122</v>
      </c>
      <c r="D842" s="2">
        <v>44642</v>
      </c>
      <c r="E842" s="1" t="s">
        <v>262</v>
      </c>
      <c r="F842" s="5">
        <f t="shared" si="53"/>
        <v>9660</v>
      </c>
      <c r="G842" s="1">
        <v>24</v>
      </c>
      <c r="H842" s="1" t="str">
        <f t="shared" si="54"/>
        <v>High</v>
      </c>
      <c r="I842" s="1" t="str">
        <f t="shared" si="55"/>
        <v>Other</v>
      </c>
      <c r="J842" s="1">
        <f t="shared" si="56"/>
        <v>483135.33</v>
      </c>
    </row>
    <row r="843" spans="1:10" ht="12.75">
      <c r="A843" s="1" t="s">
        <v>13</v>
      </c>
      <c r="B843" s="1" t="s">
        <v>42</v>
      </c>
      <c r="C843" s="1" t="s">
        <v>45</v>
      </c>
      <c r="D843" s="2">
        <v>44690</v>
      </c>
      <c r="E843" s="1" t="s">
        <v>731</v>
      </c>
      <c r="F843" s="5">
        <f t="shared" si="53"/>
        <v>4522</v>
      </c>
      <c r="G843" s="1">
        <v>5</v>
      </c>
      <c r="H843" s="1" t="str">
        <f t="shared" si="54"/>
        <v>High</v>
      </c>
      <c r="I843" s="1" t="str">
        <f t="shared" si="55"/>
        <v>Other</v>
      </c>
      <c r="J843" s="1">
        <f t="shared" si="56"/>
        <v>483135.33</v>
      </c>
    </row>
    <row r="844" spans="1:10" ht="12.75">
      <c r="A844" s="1" t="s">
        <v>27</v>
      </c>
      <c r="B844" s="1" t="s">
        <v>5</v>
      </c>
      <c r="C844" s="1" t="s">
        <v>122</v>
      </c>
      <c r="D844" s="2">
        <v>44782</v>
      </c>
      <c r="E844" s="1" t="s">
        <v>732</v>
      </c>
      <c r="F844" s="5">
        <f t="shared" si="53"/>
        <v>329</v>
      </c>
      <c r="G844" s="1">
        <v>109</v>
      </c>
      <c r="H844" s="1" t="str">
        <f t="shared" si="54"/>
        <v>Low</v>
      </c>
      <c r="I844" s="1" t="str">
        <f t="shared" si="55"/>
        <v>Other</v>
      </c>
      <c r="J844" s="1">
        <f t="shared" si="56"/>
        <v>483135.33</v>
      </c>
    </row>
    <row r="845" spans="1:10" ht="12.75">
      <c r="A845" s="1" t="s">
        <v>9</v>
      </c>
      <c r="B845" s="1" t="s">
        <v>62</v>
      </c>
      <c r="C845" s="1" t="s">
        <v>102</v>
      </c>
      <c r="D845" s="2">
        <v>44762</v>
      </c>
      <c r="E845" s="1" t="s">
        <v>733</v>
      </c>
      <c r="F845" s="5">
        <f t="shared" si="53"/>
        <v>3458</v>
      </c>
      <c r="G845" s="1">
        <v>294</v>
      </c>
      <c r="H845" s="1" t="str">
        <f t="shared" si="54"/>
        <v>High</v>
      </c>
      <c r="I845" s="1" t="str">
        <f t="shared" si="55"/>
        <v>Other</v>
      </c>
      <c r="J845" s="1">
        <f t="shared" si="56"/>
        <v>483135.33</v>
      </c>
    </row>
    <row r="846" spans="1:10" ht="12.75">
      <c r="A846" s="1" t="s">
        <v>7</v>
      </c>
      <c r="B846" s="1" t="s">
        <v>42</v>
      </c>
      <c r="C846" s="1" t="s">
        <v>147</v>
      </c>
      <c r="D846" s="2">
        <v>44665</v>
      </c>
      <c r="E846" s="1" t="s">
        <v>734</v>
      </c>
      <c r="F846" s="5">
        <f t="shared" si="53"/>
        <v>4641</v>
      </c>
      <c r="G846" s="1">
        <v>413</v>
      </c>
      <c r="H846" s="1" t="str">
        <f t="shared" si="54"/>
        <v>High</v>
      </c>
      <c r="I846" s="1" t="str">
        <f t="shared" si="55"/>
        <v>Other</v>
      </c>
      <c r="J846" s="1">
        <f t="shared" si="56"/>
        <v>483135.33</v>
      </c>
    </row>
    <row r="847" spans="1:10" ht="12.75">
      <c r="A847" s="1" t="s">
        <v>11</v>
      </c>
      <c r="B847" s="1" t="s">
        <v>62</v>
      </c>
      <c r="C847" s="1" t="s">
        <v>84</v>
      </c>
      <c r="D847" s="2">
        <v>44586</v>
      </c>
      <c r="E847" s="1" t="s">
        <v>735</v>
      </c>
      <c r="F847" s="5">
        <f t="shared" si="53"/>
        <v>4627</v>
      </c>
      <c r="G847" s="1">
        <v>136</v>
      </c>
      <c r="H847" s="1" t="str">
        <f t="shared" si="54"/>
        <v>High</v>
      </c>
      <c r="I847" s="1" t="str">
        <f t="shared" si="55"/>
        <v>Other</v>
      </c>
      <c r="J847" s="1">
        <f t="shared" si="56"/>
        <v>483135.33</v>
      </c>
    </row>
    <row r="848" spans="1:10" ht="12.75">
      <c r="A848" s="1" t="s">
        <v>27</v>
      </c>
      <c r="B848" s="1" t="s">
        <v>5</v>
      </c>
      <c r="C848" s="1" t="s">
        <v>91</v>
      </c>
      <c r="D848" s="2">
        <v>44676</v>
      </c>
      <c r="E848" s="1" t="s">
        <v>297</v>
      </c>
      <c r="F848" s="5">
        <f t="shared" si="53"/>
        <v>3192</v>
      </c>
      <c r="G848" s="1">
        <v>175</v>
      </c>
      <c r="H848" s="1" t="str">
        <f t="shared" si="54"/>
        <v>High</v>
      </c>
      <c r="I848" s="1" t="str">
        <f t="shared" si="55"/>
        <v>Other</v>
      </c>
      <c r="J848" s="1">
        <f t="shared" si="56"/>
        <v>483135.33</v>
      </c>
    </row>
    <row r="849" spans="1:10" ht="12.75">
      <c r="A849" s="1" t="s">
        <v>21</v>
      </c>
      <c r="B849" s="1" t="s">
        <v>62</v>
      </c>
      <c r="C849" s="1" t="s">
        <v>52</v>
      </c>
      <c r="D849" s="2">
        <v>44578</v>
      </c>
      <c r="E849" s="1" t="s">
        <v>276</v>
      </c>
      <c r="F849" s="5">
        <f t="shared" si="53"/>
        <v>252</v>
      </c>
      <c r="G849" s="1">
        <v>237</v>
      </c>
      <c r="H849" s="1" t="str">
        <f t="shared" si="54"/>
        <v>Low</v>
      </c>
      <c r="I849" s="1" t="str">
        <f t="shared" si="55"/>
        <v>Other</v>
      </c>
      <c r="J849" s="1">
        <f t="shared" si="56"/>
        <v>483135.33</v>
      </c>
    </row>
    <row r="850" spans="1:10" ht="12.75">
      <c r="A850" s="1" t="s">
        <v>18</v>
      </c>
      <c r="B850" s="1" t="s">
        <v>59</v>
      </c>
      <c r="C850" s="1" t="s">
        <v>63</v>
      </c>
      <c r="D850" s="2">
        <v>44788</v>
      </c>
      <c r="E850" s="1" t="s">
        <v>736</v>
      </c>
      <c r="F850" s="5">
        <f t="shared" si="53"/>
        <v>868</v>
      </c>
      <c r="G850" s="1">
        <v>125</v>
      </c>
      <c r="H850" s="1" t="str">
        <f t="shared" si="54"/>
        <v>High</v>
      </c>
      <c r="I850" s="1" t="str">
        <f t="shared" si="55"/>
        <v>Other</v>
      </c>
      <c r="J850" s="1">
        <f t="shared" si="56"/>
        <v>483135.33</v>
      </c>
    </row>
    <row r="851" spans="1:10" ht="12.75">
      <c r="A851" s="1" t="s">
        <v>18</v>
      </c>
      <c r="B851" s="1" t="s">
        <v>62</v>
      </c>
      <c r="C851" s="1" t="s">
        <v>81</v>
      </c>
      <c r="D851" s="2">
        <v>44714</v>
      </c>
      <c r="E851" s="1" t="s">
        <v>737</v>
      </c>
      <c r="F851" s="5">
        <f t="shared" si="53"/>
        <v>210</v>
      </c>
      <c r="G851" s="1">
        <v>16</v>
      </c>
      <c r="H851" s="1" t="str">
        <f t="shared" si="54"/>
        <v>Low</v>
      </c>
      <c r="I851" s="1" t="str">
        <f t="shared" si="55"/>
        <v>Other</v>
      </c>
      <c r="J851" s="1">
        <f t="shared" si="56"/>
        <v>483135.33</v>
      </c>
    </row>
    <row r="852" spans="1:10" ht="12.75">
      <c r="A852" s="1" t="s">
        <v>23</v>
      </c>
      <c r="B852" s="1" t="s">
        <v>59</v>
      </c>
      <c r="C852" s="1" t="s">
        <v>43</v>
      </c>
      <c r="D852" s="2">
        <v>44742</v>
      </c>
      <c r="E852" s="1" t="s">
        <v>738</v>
      </c>
      <c r="F852" s="5">
        <f t="shared" si="53"/>
        <v>7007</v>
      </c>
      <c r="G852" s="1">
        <v>135</v>
      </c>
      <c r="H852" s="1" t="str">
        <f t="shared" si="54"/>
        <v>High</v>
      </c>
      <c r="I852" s="1" t="str">
        <f t="shared" si="55"/>
        <v>Other</v>
      </c>
      <c r="J852" s="1">
        <f t="shared" si="56"/>
        <v>483135.33</v>
      </c>
    </row>
    <row r="853" spans="1:10" ht="12.75">
      <c r="A853" s="1" t="s">
        <v>21</v>
      </c>
      <c r="B853" s="1" t="s">
        <v>54</v>
      </c>
      <c r="C853" s="1" t="s">
        <v>100</v>
      </c>
      <c r="D853" s="2">
        <v>44602</v>
      </c>
      <c r="E853" s="1" t="s">
        <v>739</v>
      </c>
      <c r="F853" s="5">
        <f t="shared" si="53"/>
        <v>5845</v>
      </c>
      <c r="G853" s="1">
        <v>91</v>
      </c>
      <c r="H853" s="1" t="str">
        <f t="shared" si="54"/>
        <v>High</v>
      </c>
      <c r="I853" s="1" t="str">
        <f t="shared" si="55"/>
        <v>Other</v>
      </c>
      <c r="J853" s="1">
        <f t="shared" si="56"/>
        <v>483135.33</v>
      </c>
    </row>
    <row r="854" spans="1:10" ht="12.75">
      <c r="A854" s="1" t="s">
        <v>14</v>
      </c>
      <c r="B854" s="1" t="s">
        <v>62</v>
      </c>
      <c r="C854" s="1" t="s">
        <v>126</v>
      </c>
      <c r="D854" s="2">
        <v>44615</v>
      </c>
      <c r="E854" s="1" t="s">
        <v>269</v>
      </c>
      <c r="F854" s="5">
        <f t="shared" si="53"/>
        <v>1372</v>
      </c>
      <c r="G854" s="1">
        <v>614</v>
      </c>
      <c r="H854" s="1" t="str">
        <f t="shared" si="54"/>
        <v>High</v>
      </c>
      <c r="I854" s="1" t="str">
        <f t="shared" si="55"/>
        <v>Other</v>
      </c>
      <c r="J854" s="1">
        <f t="shared" si="56"/>
        <v>483135.33</v>
      </c>
    </row>
    <row r="855" spans="1:10" ht="12.75">
      <c r="A855" s="1" t="s">
        <v>6</v>
      </c>
      <c r="B855" s="1" t="s">
        <v>42</v>
      </c>
      <c r="C855" s="1" t="s">
        <v>68</v>
      </c>
      <c r="D855" s="2">
        <v>44588</v>
      </c>
      <c r="E855" s="1" t="s">
        <v>740</v>
      </c>
      <c r="F855" s="5">
        <f t="shared" si="53"/>
        <v>8428</v>
      </c>
      <c r="G855" s="1">
        <v>216</v>
      </c>
      <c r="H855" s="1" t="str">
        <f t="shared" si="54"/>
        <v>High</v>
      </c>
      <c r="I855" s="1" t="str">
        <f t="shared" si="55"/>
        <v>Other</v>
      </c>
      <c r="J855" s="1">
        <f t="shared" si="56"/>
        <v>483135.33</v>
      </c>
    </row>
    <row r="856" spans="1:10" ht="12.75">
      <c r="A856" s="1" t="s">
        <v>25</v>
      </c>
      <c r="B856" s="1" t="s">
        <v>39</v>
      </c>
      <c r="C856" s="1" t="s">
        <v>40</v>
      </c>
      <c r="D856" s="2">
        <v>44707</v>
      </c>
      <c r="E856" s="1" t="s">
        <v>741</v>
      </c>
      <c r="F856" s="5">
        <f t="shared" si="53"/>
        <v>4977</v>
      </c>
      <c r="G856" s="1">
        <v>317</v>
      </c>
      <c r="H856" s="1" t="str">
        <f t="shared" si="54"/>
        <v>High</v>
      </c>
      <c r="I856" s="1" t="str">
        <f t="shared" si="55"/>
        <v>Other</v>
      </c>
      <c r="J856" s="1">
        <f t="shared" si="56"/>
        <v>483135.33</v>
      </c>
    </row>
    <row r="857" spans="1:10" ht="12.75">
      <c r="A857" s="1" t="s">
        <v>7</v>
      </c>
      <c r="B857" s="1" t="s">
        <v>59</v>
      </c>
      <c r="C857" s="1" t="s">
        <v>147</v>
      </c>
      <c r="D857" s="2">
        <v>44665</v>
      </c>
      <c r="E857" s="1" t="s">
        <v>672</v>
      </c>
      <c r="F857" s="5">
        <f t="shared" si="53"/>
        <v>1694</v>
      </c>
      <c r="G857" s="1">
        <v>21</v>
      </c>
      <c r="H857" s="1" t="str">
        <f t="shared" si="54"/>
        <v>High</v>
      </c>
      <c r="I857" s="1" t="str">
        <f t="shared" si="55"/>
        <v>Other</v>
      </c>
      <c r="J857" s="1">
        <f t="shared" si="56"/>
        <v>483135.33</v>
      </c>
    </row>
    <row r="858" spans="1:10" ht="12.75">
      <c r="A858" s="1" t="s">
        <v>9</v>
      </c>
      <c r="B858" s="1" t="s">
        <v>5</v>
      </c>
      <c r="C858" s="1" t="s">
        <v>51</v>
      </c>
      <c r="D858" s="2">
        <v>44774</v>
      </c>
      <c r="E858" s="1" t="s">
        <v>715</v>
      </c>
      <c r="F858" s="5">
        <f t="shared" si="53"/>
        <v>4326</v>
      </c>
      <c r="G858" s="1">
        <v>154</v>
      </c>
      <c r="H858" s="1" t="str">
        <f t="shared" si="54"/>
        <v>High</v>
      </c>
      <c r="I858" s="1" t="str">
        <f t="shared" si="55"/>
        <v>Other</v>
      </c>
      <c r="J858" s="1">
        <f t="shared" si="56"/>
        <v>483135.33</v>
      </c>
    </row>
    <row r="859" spans="1:10" ht="12.75">
      <c r="A859" s="1" t="s">
        <v>2</v>
      </c>
      <c r="B859" s="1" t="s">
        <v>5</v>
      </c>
      <c r="C859" s="1" t="s">
        <v>63</v>
      </c>
      <c r="D859" s="2">
        <v>44795</v>
      </c>
      <c r="E859" s="1" t="s">
        <v>742</v>
      </c>
      <c r="F859" s="5">
        <f t="shared" si="53"/>
        <v>9527</v>
      </c>
      <c r="G859" s="1">
        <v>222</v>
      </c>
      <c r="H859" s="1" t="str">
        <f t="shared" si="54"/>
        <v>High</v>
      </c>
      <c r="I859" s="1" t="str">
        <f t="shared" si="55"/>
        <v>Top Local</v>
      </c>
      <c r="J859" s="1">
        <f t="shared" si="56"/>
        <v>483135.33</v>
      </c>
    </row>
    <row r="860" spans="1:10" ht="12.75">
      <c r="A860" s="1" t="s">
        <v>14</v>
      </c>
      <c r="B860" s="1" t="s">
        <v>42</v>
      </c>
      <c r="C860" s="1" t="s">
        <v>51</v>
      </c>
      <c r="D860" s="2">
        <v>44764</v>
      </c>
      <c r="E860" s="1" t="s">
        <v>743</v>
      </c>
      <c r="F860" s="5">
        <f t="shared" si="53"/>
        <v>10766</v>
      </c>
      <c r="G860" s="1">
        <v>157</v>
      </c>
      <c r="H860" s="1" t="str">
        <f t="shared" si="54"/>
        <v>High</v>
      </c>
      <c r="I860" s="1" t="str">
        <f t="shared" si="55"/>
        <v>Other</v>
      </c>
      <c r="J860" s="1">
        <f t="shared" si="56"/>
        <v>473608.33</v>
      </c>
    </row>
    <row r="861" spans="1:10" ht="12.75">
      <c r="A861" s="1" t="s">
        <v>13</v>
      </c>
      <c r="B861" s="1" t="s">
        <v>59</v>
      </c>
      <c r="C861" s="1" t="s">
        <v>81</v>
      </c>
      <c r="D861" s="2">
        <v>44679</v>
      </c>
      <c r="E861" s="1" t="s">
        <v>391</v>
      </c>
      <c r="F861" s="5">
        <f t="shared" si="53"/>
        <v>1288</v>
      </c>
      <c r="G861" s="1">
        <v>27</v>
      </c>
      <c r="H861" s="1" t="str">
        <f t="shared" si="54"/>
        <v>High</v>
      </c>
      <c r="I861" s="1" t="str">
        <f t="shared" si="55"/>
        <v>Other</v>
      </c>
      <c r="J861" s="1">
        <f t="shared" si="56"/>
        <v>473608.33</v>
      </c>
    </row>
    <row r="862" spans="1:10" ht="12.75">
      <c r="A862" s="1" t="s">
        <v>12</v>
      </c>
      <c r="B862" s="1" t="s">
        <v>5</v>
      </c>
      <c r="C862" s="1" t="s">
        <v>91</v>
      </c>
      <c r="D862" s="2">
        <v>44711</v>
      </c>
      <c r="E862" s="1" t="s">
        <v>744</v>
      </c>
      <c r="F862" s="5">
        <f t="shared" si="53"/>
        <v>4879</v>
      </c>
      <c r="G862" s="1">
        <v>350</v>
      </c>
      <c r="H862" s="1" t="str">
        <f t="shared" si="54"/>
        <v>High</v>
      </c>
      <c r="I862" s="1" t="str">
        <f t="shared" si="55"/>
        <v>Other</v>
      </c>
      <c r="J862" s="1">
        <f t="shared" si="56"/>
        <v>473608.33</v>
      </c>
    </row>
    <row r="863" spans="1:10" ht="12.75">
      <c r="A863" s="1" t="s">
        <v>17</v>
      </c>
      <c r="B863" s="1" t="s">
        <v>59</v>
      </c>
      <c r="C863" s="1" t="s">
        <v>72</v>
      </c>
      <c r="D863" s="2">
        <v>44763</v>
      </c>
      <c r="E863" s="1" t="s">
        <v>745</v>
      </c>
      <c r="F863" s="5">
        <f t="shared" si="53"/>
        <v>2408</v>
      </c>
      <c r="G863" s="1">
        <v>157</v>
      </c>
      <c r="H863" s="1" t="str">
        <f t="shared" si="54"/>
        <v>High</v>
      </c>
      <c r="I863" s="1" t="str">
        <f t="shared" si="55"/>
        <v>Other</v>
      </c>
      <c r="J863" s="1">
        <f t="shared" si="56"/>
        <v>473608.33</v>
      </c>
    </row>
    <row r="864" spans="1:10" ht="12.75">
      <c r="A864" s="1" t="s">
        <v>15</v>
      </c>
      <c r="B864" s="1" t="s">
        <v>39</v>
      </c>
      <c r="C864" s="1" t="s">
        <v>126</v>
      </c>
      <c r="D864" s="2">
        <v>44775</v>
      </c>
      <c r="E864" s="1" t="s">
        <v>487</v>
      </c>
      <c r="F864" s="5">
        <f t="shared" si="53"/>
        <v>3094</v>
      </c>
      <c r="G864" s="1">
        <v>468</v>
      </c>
      <c r="H864" s="1" t="str">
        <f t="shared" si="54"/>
        <v>High</v>
      </c>
      <c r="I864" s="1" t="str">
        <f t="shared" si="55"/>
        <v>Other</v>
      </c>
      <c r="J864" s="1">
        <f t="shared" si="56"/>
        <v>473608.33</v>
      </c>
    </row>
    <row r="865" spans="1:10" ht="12.75">
      <c r="A865" s="1" t="s">
        <v>7</v>
      </c>
      <c r="B865" s="1" t="s">
        <v>54</v>
      </c>
      <c r="C865" s="1" t="s">
        <v>147</v>
      </c>
      <c r="D865" s="2">
        <v>44727</v>
      </c>
      <c r="E865" s="1" t="s">
        <v>705</v>
      </c>
      <c r="F865" s="5">
        <f t="shared" si="53"/>
        <v>7231</v>
      </c>
      <c r="G865" s="1">
        <v>130</v>
      </c>
      <c r="H865" s="1" t="str">
        <f t="shared" si="54"/>
        <v>High</v>
      </c>
      <c r="I865" s="1" t="str">
        <f t="shared" si="55"/>
        <v>Other</v>
      </c>
      <c r="J865" s="1">
        <f t="shared" si="56"/>
        <v>473608.33</v>
      </c>
    </row>
    <row r="866" spans="1:10" ht="12.75">
      <c r="A866" s="1" t="s">
        <v>22</v>
      </c>
      <c r="B866" s="1" t="s">
        <v>42</v>
      </c>
      <c r="C866" s="1" t="s">
        <v>43</v>
      </c>
      <c r="D866" s="2">
        <v>44747</v>
      </c>
      <c r="E866" s="1" t="s">
        <v>746</v>
      </c>
      <c r="F866" s="5">
        <f t="shared" si="53"/>
        <v>8981</v>
      </c>
      <c r="G866" s="1">
        <v>130</v>
      </c>
      <c r="H866" s="1" t="str">
        <f t="shared" si="54"/>
        <v>High</v>
      </c>
      <c r="I866" s="1" t="str">
        <f t="shared" si="55"/>
        <v>Other</v>
      </c>
      <c r="J866" s="1">
        <f t="shared" si="56"/>
        <v>473608.33</v>
      </c>
    </row>
    <row r="867" spans="1:10" ht="12.75">
      <c r="A867" s="1" t="s">
        <v>8</v>
      </c>
      <c r="B867" s="1" t="s">
        <v>54</v>
      </c>
      <c r="C867" s="1" t="s">
        <v>49</v>
      </c>
      <c r="D867" s="2">
        <v>44663</v>
      </c>
      <c r="E867" s="1" t="s">
        <v>552</v>
      </c>
      <c r="F867" s="5">
        <f t="shared" si="53"/>
        <v>7</v>
      </c>
      <c r="G867" s="1">
        <v>518</v>
      </c>
      <c r="H867" s="1" t="str">
        <f t="shared" si="54"/>
        <v>Low</v>
      </c>
      <c r="I867" s="1" t="str">
        <f t="shared" si="55"/>
        <v>Other</v>
      </c>
      <c r="J867" s="1">
        <f t="shared" si="56"/>
        <v>473608.33</v>
      </c>
    </row>
    <row r="868" spans="1:10" ht="12.75">
      <c r="A868" s="1" t="s">
        <v>20</v>
      </c>
      <c r="B868" s="1" t="s">
        <v>5</v>
      </c>
      <c r="C868" s="1" t="s">
        <v>147</v>
      </c>
      <c r="D868" s="2">
        <v>44791</v>
      </c>
      <c r="E868" s="1" t="s">
        <v>269</v>
      </c>
      <c r="F868" s="5">
        <f t="shared" si="53"/>
        <v>1372</v>
      </c>
      <c r="G868" s="1">
        <v>105</v>
      </c>
      <c r="H868" s="1" t="str">
        <f t="shared" si="54"/>
        <v>High</v>
      </c>
      <c r="I868" s="1" t="str">
        <f t="shared" si="55"/>
        <v>Other</v>
      </c>
      <c r="J868" s="1">
        <f t="shared" si="56"/>
        <v>473608.33</v>
      </c>
    </row>
    <row r="869" spans="1:10" ht="12.75">
      <c r="A869" s="1" t="s">
        <v>15</v>
      </c>
      <c r="B869" s="1" t="s">
        <v>39</v>
      </c>
      <c r="C869" s="1" t="s">
        <v>55</v>
      </c>
      <c r="D869" s="2">
        <v>44573</v>
      </c>
      <c r="E869" s="1" t="s">
        <v>747</v>
      </c>
      <c r="F869" s="5">
        <f t="shared" si="53"/>
        <v>5250</v>
      </c>
      <c r="G869" s="1">
        <v>293</v>
      </c>
      <c r="H869" s="1" t="str">
        <f t="shared" si="54"/>
        <v>High</v>
      </c>
      <c r="I869" s="1" t="str">
        <f t="shared" si="55"/>
        <v>Other</v>
      </c>
      <c r="J869" s="1">
        <f t="shared" si="56"/>
        <v>473608.33</v>
      </c>
    </row>
    <row r="870" spans="1:10" ht="12.75">
      <c r="A870" s="1" t="s">
        <v>23</v>
      </c>
      <c r="B870" s="1" t="s">
        <v>62</v>
      </c>
      <c r="C870" s="1" t="s">
        <v>84</v>
      </c>
      <c r="D870" s="2">
        <v>44784</v>
      </c>
      <c r="E870" s="1" t="s">
        <v>748</v>
      </c>
      <c r="F870" s="5">
        <f t="shared" si="53"/>
        <v>7560</v>
      </c>
      <c r="G870" s="1">
        <v>15</v>
      </c>
      <c r="H870" s="1" t="str">
        <f t="shared" si="54"/>
        <v>High</v>
      </c>
      <c r="I870" s="1" t="str">
        <f t="shared" si="55"/>
        <v>Other</v>
      </c>
      <c r="J870" s="1">
        <f t="shared" si="56"/>
        <v>473608.33</v>
      </c>
    </row>
    <row r="871" spans="1:10" ht="12.75">
      <c r="A871" s="1" t="s">
        <v>11</v>
      </c>
      <c r="B871" s="1" t="s">
        <v>5</v>
      </c>
      <c r="C871" s="1" t="s">
        <v>76</v>
      </c>
      <c r="D871" s="2">
        <v>44574</v>
      </c>
      <c r="E871" s="1" t="s">
        <v>573</v>
      </c>
      <c r="F871" s="5">
        <f t="shared" si="53"/>
        <v>5012</v>
      </c>
      <c r="G871" s="1">
        <v>384</v>
      </c>
      <c r="H871" s="1" t="str">
        <f t="shared" si="54"/>
        <v>High</v>
      </c>
      <c r="I871" s="1" t="str">
        <f t="shared" si="55"/>
        <v>Other</v>
      </c>
      <c r="J871" s="1">
        <f t="shared" si="56"/>
        <v>473608.33</v>
      </c>
    </row>
    <row r="872" spans="1:10" ht="12.75">
      <c r="A872" s="1" t="s">
        <v>13</v>
      </c>
      <c r="B872" s="1" t="s">
        <v>39</v>
      </c>
      <c r="C872" s="1" t="s">
        <v>122</v>
      </c>
      <c r="D872" s="2">
        <v>44680</v>
      </c>
      <c r="E872" s="1" t="s">
        <v>749</v>
      </c>
      <c r="F872" s="5">
        <f t="shared" si="53"/>
        <v>3038</v>
      </c>
      <c r="G872" s="1">
        <v>135</v>
      </c>
      <c r="H872" s="1" t="str">
        <f t="shared" si="54"/>
        <v>High</v>
      </c>
      <c r="I872" s="1" t="str">
        <f t="shared" si="55"/>
        <v>Other</v>
      </c>
      <c r="J872" s="1">
        <f t="shared" si="56"/>
        <v>473608.33</v>
      </c>
    </row>
    <row r="873" spans="1:10" ht="12.75">
      <c r="A873" s="1" t="s">
        <v>19</v>
      </c>
      <c r="B873" s="1" t="s">
        <v>54</v>
      </c>
      <c r="C873" s="1" t="s">
        <v>52</v>
      </c>
      <c r="D873" s="2">
        <v>44749</v>
      </c>
      <c r="E873" s="1" t="s">
        <v>750</v>
      </c>
      <c r="F873" s="5">
        <f t="shared" si="53"/>
        <v>1099</v>
      </c>
      <c r="G873" s="1">
        <v>92</v>
      </c>
      <c r="H873" s="1" t="str">
        <f t="shared" si="54"/>
        <v>High</v>
      </c>
      <c r="I873" s="1" t="str">
        <f t="shared" si="55"/>
        <v>Other</v>
      </c>
      <c r="J873" s="1">
        <f t="shared" si="56"/>
        <v>473608.33</v>
      </c>
    </row>
    <row r="874" spans="1:10" ht="12.75">
      <c r="A874" s="1" t="s">
        <v>9</v>
      </c>
      <c r="B874" s="1" t="s">
        <v>54</v>
      </c>
      <c r="C874" s="1" t="s">
        <v>40</v>
      </c>
      <c r="D874" s="2">
        <v>44631</v>
      </c>
      <c r="E874" s="1" t="s">
        <v>751</v>
      </c>
      <c r="F874" s="5">
        <f t="shared" si="53"/>
        <v>7413</v>
      </c>
      <c r="G874" s="1">
        <v>4</v>
      </c>
      <c r="H874" s="1" t="str">
        <f t="shared" si="54"/>
        <v>High</v>
      </c>
      <c r="I874" s="1" t="str">
        <f t="shared" si="55"/>
        <v>Other</v>
      </c>
      <c r="J874" s="1">
        <f t="shared" si="56"/>
        <v>473608.33</v>
      </c>
    </row>
    <row r="875" spans="1:10" ht="12.75">
      <c r="A875" s="1" t="s">
        <v>9</v>
      </c>
      <c r="B875" s="1" t="s">
        <v>39</v>
      </c>
      <c r="C875" s="1" t="s">
        <v>147</v>
      </c>
      <c r="D875" s="2">
        <v>44608</v>
      </c>
      <c r="E875" s="1" t="s">
        <v>752</v>
      </c>
      <c r="F875" s="5">
        <f t="shared" si="53"/>
        <v>5397</v>
      </c>
      <c r="G875" s="1">
        <v>239</v>
      </c>
      <c r="H875" s="1" t="str">
        <f t="shared" si="54"/>
        <v>High</v>
      </c>
      <c r="I875" s="1" t="str">
        <f t="shared" si="55"/>
        <v>Other</v>
      </c>
      <c r="J875" s="1">
        <f t="shared" si="56"/>
        <v>473608.33</v>
      </c>
    </row>
    <row r="876" spans="1:10" ht="12.75">
      <c r="A876" s="1" t="s">
        <v>16</v>
      </c>
      <c r="B876" s="1" t="s">
        <v>5</v>
      </c>
      <c r="C876" s="1" t="s">
        <v>68</v>
      </c>
      <c r="D876" s="2">
        <v>44568</v>
      </c>
      <c r="E876" s="1" t="s">
        <v>509</v>
      </c>
      <c r="F876" s="5">
        <f t="shared" si="53"/>
        <v>2303</v>
      </c>
      <c r="G876" s="1">
        <v>33</v>
      </c>
      <c r="H876" s="1" t="str">
        <f t="shared" si="54"/>
        <v>High</v>
      </c>
      <c r="I876" s="1" t="str">
        <f t="shared" si="55"/>
        <v>Other</v>
      </c>
      <c r="J876" s="1">
        <f t="shared" si="56"/>
        <v>473608.33</v>
      </c>
    </row>
    <row r="877" spans="1:10" ht="12.75">
      <c r="A877" s="1" t="s">
        <v>28</v>
      </c>
      <c r="B877" s="1" t="s">
        <v>54</v>
      </c>
      <c r="C877" s="1" t="s">
        <v>65</v>
      </c>
      <c r="D877" s="2">
        <v>44573</v>
      </c>
      <c r="E877" s="1" t="s">
        <v>711</v>
      </c>
      <c r="F877" s="5">
        <f t="shared" si="53"/>
        <v>1141</v>
      </c>
      <c r="G877" s="1">
        <v>518</v>
      </c>
      <c r="H877" s="1" t="str">
        <f t="shared" si="54"/>
        <v>High</v>
      </c>
      <c r="I877" s="1" t="str">
        <f t="shared" si="55"/>
        <v>Other</v>
      </c>
      <c r="J877" s="1">
        <f t="shared" si="56"/>
        <v>473608.33</v>
      </c>
    </row>
    <row r="878" spans="1:10" ht="12.75">
      <c r="A878" s="1" t="s">
        <v>28</v>
      </c>
      <c r="B878" s="1" t="s">
        <v>42</v>
      </c>
      <c r="C878" s="1" t="s">
        <v>63</v>
      </c>
      <c r="D878" s="2">
        <v>44721</v>
      </c>
      <c r="E878" s="1" t="s">
        <v>753</v>
      </c>
      <c r="F878" s="5">
        <f t="shared" si="53"/>
        <v>10325</v>
      </c>
      <c r="G878" s="1">
        <v>147</v>
      </c>
      <c r="H878" s="1" t="str">
        <f t="shared" si="54"/>
        <v>High</v>
      </c>
      <c r="I878" s="1" t="str">
        <f t="shared" si="55"/>
        <v>Other</v>
      </c>
      <c r="J878" s="1">
        <f t="shared" si="56"/>
        <v>473608.33</v>
      </c>
    </row>
    <row r="879" spans="1:10" ht="12.75">
      <c r="A879" s="1" t="s">
        <v>27</v>
      </c>
      <c r="B879" s="1" t="s">
        <v>42</v>
      </c>
      <c r="C879" s="1" t="s">
        <v>63</v>
      </c>
      <c r="D879" s="2">
        <v>44697</v>
      </c>
      <c r="E879" s="1" t="s">
        <v>754</v>
      </c>
      <c r="F879" s="5">
        <f t="shared" si="53"/>
        <v>2149</v>
      </c>
      <c r="G879" s="1">
        <v>84</v>
      </c>
      <c r="H879" s="1" t="str">
        <f t="shared" si="54"/>
        <v>High</v>
      </c>
      <c r="I879" s="1" t="str">
        <f t="shared" si="55"/>
        <v>Other</v>
      </c>
      <c r="J879" s="1">
        <f t="shared" si="56"/>
        <v>473608.33</v>
      </c>
    </row>
    <row r="880" spans="1:10" ht="12.75">
      <c r="A880" s="1" t="s">
        <v>20</v>
      </c>
      <c r="B880" s="1" t="s">
        <v>39</v>
      </c>
      <c r="C880" s="1" t="s">
        <v>43</v>
      </c>
      <c r="D880" s="2">
        <v>44735</v>
      </c>
      <c r="E880" s="1" t="s">
        <v>755</v>
      </c>
      <c r="F880" s="5">
        <f t="shared" si="53"/>
        <v>12362</v>
      </c>
      <c r="G880" s="1">
        <v>94</v>
      </c>
      <c r="H880" s="1" t="str">
        <f t="shared" si="54"/>
        <v>High</v>
      </c>
      <c r="I880" s="1" t="str">
        <f t="shared" si="55"/>
        <v>Other</v>
      </c>
      <c r="J880" s="1">
        <f t="shared" si="56"/>
        <v>473608.33</v>
      </c>
    </row>
    <row r="881" spans="1:10" ht="12.75">
      <c r="A881" s="1" t="s">
        <v>26</v>
      </c>
      <c r="B881" s="1" t="s">
        <v>39</v>
      </c>
      <c r="C881" s="1" t="s">
        <v>100</v>
      </c>
      <c r="D881" s="2">
        <v>44589</v>
      </c>
      <c r="E881" s="1" t="s">
        <v>756</v>
      </c>
      <c r="F881" s="5">
        <f t="shared" si="53"/>
        <v>12635</v>
      </c>
      <c r="G881" s="1">
        <v>194</v>
      </c>
      <c r="H881" s="1" t="str">
        <f t="shared" si="54"/>
        <v>High</v>
      </c>
      <c r="I881" s="1" t="str">
        <f t="shared" si="55"/>
        <v>Other</v>
      </c>
      <c r="J881" s="1">
        <f t="shared" si="56"/>
        <v>473608.33</v>
      </c>
    </row>
    <row r="882" spans="1:10" ht="12.75">
      <c r="A882" s="1" t="s">
        <v>21</v>
      </c>
      <c r="B882" s="1" t="s">
        <v>39</v>
      </c>
      <c r="C882" s="1" t="s">
        <v>40</v>
      </c>
      <c r="D882" s="2">
        <v>44756</v>
      </c>
      <c r="E882" s="1" t="s">
        <v>98</v>
      </c>
      <c r="F882" s="5">
        <f t="shared" si="53"/>
        <v>2443</v>
      </c>
      <c r="G882" s="1">
        <v>216</v>
      </c>
      <c r="H882" s="1" t="str">
        <f t="shared" si="54"/>
        <v>High</v>
      </c>
      <c r="I882" s="1" t="str">
        <f t="shared" si="55"/>
        <v>Other</v>
      </c>
      <c r="J882" s="1">
        <f t="shared" si="56"/>
        <v>473608.33</v>
      </c>
    </row>
    <row r="883" spans="1:10" ht="12.75">
      <c r="A883" s="1" t="s">
        <v>16</v>
      </c>
      <c r="B883" s="1" t="s">
        <v>62</v>
      </c>
      <c r="C883" s="1" t="s">
        <v>65</v>
      </c>
      <c r="D883" s="2">
        <v>44669</v>
      </c>
      <c r="E883" s="1" t="s">
        <v>658</v>
      </c>
      <c r="F883" s="5">
        <f t="shared" si="53"/>
        <v>6237</v>
      </c>
      <c r="G883" s="1">
        <v>247</v>
      </c>
      <c r="H883" s="1" t="str">
        <f t="shared" si="54"/>
        <v>High</v>
      </c>
      <c r="I883" s="1" t="str">
        <f t="shared" si="55"/>
        <v>Other</v>
      </c>
      <c r="J883" s="1">
        <f t="shared" si="56"/>
        <v>473608.33</v>
      </c>
    </row>
    <row r="884" spans="1:10" ht="12.75">
      <c r="A884" s="1" t="s">
        <v>22</v>
      </c>
      <c r="B884" s="1" t="s">
        <v>59</v>
      </c>
      <c r="C884" s="1" t="s">
        <v>72</v>
      </c>
      <c r="D884" s="2">
        <v>44726</v>
      </c>
      <c r="E884" s="1" t="s">
        <v>428</v>
      </c>
      <c r="F884" s="5">
        <f t="shared" si="53"/>
        <v>1736</v>
      </c>
      <c r="G884" s="1">
        <v>79</v>
      </c>
      <c r="H884" s="1" t="str">
        <f t="shared" si="54"/>
        <v>High</v>
      </c>
      <c r="I884" s="1" t="str">
        <f t="shared" si="55"/>
        <v>Other</v>
      </c>
      <c r="J884" s="1">
        <f t="shared" si="56"/>
        <v>473608.33</v>
      </c>
    </row>
    <row r="885" spans="1:10" ht="12.75">
      <c r="A885" s="1" t="s">
        <v>22</v>
      </c>
      <c r="B885" s="1" t="s">
        <v>39</v>
      </c>
      <c r="C885" s="1" t="s">
        <v>60</v>
      </c>
      <c r="D885" s="2">
        <v>44666</v>
      </c>
      <c r="E885" s="1" t="s">
        <v>757</v>
      </c>
      <c r="F885" s="5">
        <f t="shared" si="53"/>
        <v>7315</v>
      </c>
      <c r="G885" s="1">
        <v>237</v>
      </c>
      <c r="H885" s="1" t="str">
        <f t="shared" si="54"/>
        <v>High</v>
      </c>
      <c r="I885" s="1" t="str">
        <f t="shared" si="55"/>
        <v>Other</v>
      </c>
      <c r="J885" s="1">
        <f t="shared" si="56"/>
        <v>473608.33</v>
      </c>
    </row>
    <row r="886" spans="1:10" ht="12.75">
      <c r="A886" s="1" t="s">
        <v>24</v>
      </c>
      <c r="B886" s="1" t="s">
        <v>62</v>
      </c>
      <c r="C886" s="1" t="s">
        <v>45</v>
      </c>
      <c r="D886" s="2">
        <v>44700</v>
      </c>
      <c r="E886" s="1" t="s">
        <v>435</v>
      </c>
      <c r="F886" s="5">
        <f t="shared" si="53"/>
        <v>4935</v>
      </c>
      <c r="G886" s="1">
        <v>63</v>
      </c>
      <c r="H886" s="1" t="str">
        <f t="shared" si="54"/>
        <v>High</v>
      </c>
      <c r="I886" s="1" t="str">
        <f t="shared" si="55"/>
        <v>Other</v>
      </c>
      <c r="J886" s="1">
        <f t="shared" si="56"/>
        <v>473608.33</v>
      </c>
    </row>
    <row r="887" spans="1:10" ht="12.75">
      <c r="A887" s="1" t="s">
        <v>20</v>
      </c>
      <c r="B887" s="1" t="s">
        <v>42</v>
      </c>
      <c r="C887" s="1" t="s">
        <v>84</v>
      </c>
      <c r="D887" s="2">
        <v>44664</v>
      </c>
      <c r="E887" s="1" t="s">
        <v>758</v>
      </c>
      <c r="F887" s="5">
        <f t="shared" si="53"/>
        <v>1393</v>
      </c>
      <c r="G887" s="1">
        <v>172</v>
      </c>
      <c r="H887" s="1" t="str">
        <f t="shared" si="54"/>
        <v>High</v>
      </c>
      <c r="I887" s="1" t="str">
        <f t="shared" si="55"/>
        <v>Other</v>
      </c>
      <c r="J887" s="1">
        <f t="shared" si="56"/>
        <v>473608.33</v>
      </c>
    </row>
    <row r="888" spans="1:10" ht="12.75">
      <c r="A888" s="1" t="s">
        <v>13</v>
      </c>
      <c r="B888" s="1" t="s">
        <v>62</v>
      </c>
      <c r="C888" s="1" t="s">
        <v>102</v>
      </c>
      <c r="D888" s="2">
        <v>44788</v>
      </c>
      <c r="E888" s="1" t="s">
        <v>541</v>
      </c>
      <c r="F888" s="5">
        <f t="shared" si="53"/>
        <v>3381</v>
      </c>
      <c r="G888" s="1">
        <v>408</v>
      </c>
      <c r="H888" s="1" t="str">
        <f t="shared" si="54"/>
        <v>High</v>
      </c>
      <c r="I888" s="1" t="str">
        <f t="shared" si="55"/>
        <v>Other</v>
      </c>
      <c r="J888" s="1">
        <f t="shared" si="56"/>
        <v>473608.33</v>
      </c>
    </row>
    <row r="889" spans="1:10" ht="12.75">
      <c r="A889" s="1" t="s">
        <v>29</v>
      </c>
      <c r="B889" s="1" t="s">
        <v>42</v>
      </c>
      <c r="C889" s="1" t="s">
        <v>102</v>
      </c>
      <c r="D889" s="2">
        <v>44795</v>
      </c>
      <c r="E889" s="1" t="s">
        <v>673</v>
      </c>
      <c r="F889" s="5">
        <f t="shared" si="53"/>
        <v>2933</v>
      </c>
      <c r="G889" s="1">
        <v>233</v>
      </c>
      <c r="H889" s="1" t="str">
        <f t="shared" si="54"/>
        <v>High</v>
      </c>
      <c r="I889" s="1" t="str">
        <f t="shared" si="55"/>
        <v>Other</v>
      </c>
      <c r="J889" s="1">
        <f t="shared" si="56"/>
        <v>473608.33</v>
      </c>
    </row>
    <row r="890" spans="1:10" ht="12.75">
      <c r="A890" s="1" t="s">
        <v>29</v>
      </c>
      <c r="B890" s="1" t="s">
        <v>54</v>
      </c>
      <c r="C890" s="1" t="s">
        <v>122</v>
      </c>
      <c r="D890" s="2">
        <v>44673</v>
      </c>
      <c r="E890" s="1" t="s">
        <v>498</v>
      </c>
      <c r="F890" s="5">
        <f t="shared" si="53"/>
        <v>3836</v>
      </c>
      <c r="G890" s="1">
        <v>59</v>
      </c>
      <c r="H890" s="1" t="str">
        <f t="shared" si="54"/>
        <v>High</v>
      </c>
      <c r="I890" s="1" t="str">
        <f t="shared" si="55"/>
        <v>Other</v>
      </c>
      <c r="J890" s="1">
        <f t="shared" si="56"/>
        <v>473608.33</v>
      </c>
    </row>
    <row r="891" spans="1:10" ht="12.75">
      <c r="A891" s="1" t="s">
        <v>8</v>
      </c>
      <c r="B891" s="1" t="s">
        <v>39</v>
      </c>
      <c r="C891" s="1" t="s">
        <v>102</v>
      </c>
      <c r="D891" s="2">
        <v>44776</v>
      </c>
      <c r="E891" s="1" t="s">
        <v>759</v>
      </c>
      <c r="F891" s="5">
        <f t="shared" si="53"/>
        <v>8022</v>
      </c>
      <c r="G891" s="1">
        <v>123</v>
      </c>
      <c r="H891" s="1" t="str">
        <f t="shared" si="54"/>
        <v>High</v>
      </c>
      <c r="I891" s="1" t="str">
        <f t="shared" si="55"/>
        <v>Other</v>
      </c>
      <c r="J891" s="1">
        <f t="shared" si="56"/>
        <v>473608.33</v>
      </c>
    </row>
    <row r="892" spans="1:10" ht="12.75">
      <c r="A892" s="1" t="s">
        <v>6</v>
      </c>
      <c r="B892" s="1" t="s">
        <v>54</v>
      </c>
      <c r="C892" s="1" t="s">
        <v>68</v>
      </c>
      <c r="D892" s="2">
        <v>44565</v>
      </c>
      <c r="E892" s="1" t="s">
        <v>760</v>
      </c>
      <c r="F892" s="5">
        <f t="shared" si="53"/>
        <v>371</v>
      </c>
      <c r="G892" s="1">
        <v>229</v>
      </c>
      <c r="H892" s="1" t="str">
        <f t="shared" si="54"/>
        <v>Low</v>
      </c>
      <c r="I892" s="1" t="str">
        <f t="shared" si="55"/>
        <v>Other</v>
      </c>
      <c r="J892" s="1">
        <f t="shared" si="56"/>
        <v>473608.33</v>
      </c>
    </row>
    <row r="893" spans="1:10" ht="12.75">
      <c r="A893" s="1" t="s">
        <v>12</v>
      </c>
      <c r="B893" s="1" t="s">
        <v>62</v>
      </c>
      <c r="C893" s="1" t="s">
        <v>52</v>
      </c>
      <c r="D893" s="2">
        <v>44574</v>
      </c>
      <c r="E893" s="1" t="s">
        <v>761</v>
      </c>
      <c r="F893" s="5">
        <f t="shared" si="53"/>
        <v>16702</v>
      </c>
      <c r="G893" s="1">
        <v>198</v>
      </c>
      <c r="H893" s="1" t="str">
        <f t="shared" si="54"/>
        <v>High</v>
      </c>
      <c r="I893" s="1" t="str">
        <f t="shared" si="55"/>
        <v>Other</v>
      </c>
      <c r="J893" s="1">
        <f t="shared" si="56"/>
        <v>473608.33</v>
      </c>
    </row>
    <row r="894" spans="1:10" ht="12.75">
      <c r="A894" s="1" t="s">
        <v>10</v>
      </c>
      <c r="B894" s="1" t="s">
        <v>5</v>
      </c>
      <c r="C894" s="1" t="s">
        <v>122</v>
      </c>
      <c r="D894" s="2">
        <v>44692</v>
      </c>
      <c r="E894" s="1" t="s">
        <v>762</v>
      </c>
      <c r="F894" s="5">
        <f t="shared" si="53"/>
        <v>13258</v>
      </c>
      <c r="G894" s="1">
        <v>32</v>
      </c>
      <c r="H894" s="1" t="str">
        <f t="shared" si="54"/>
        <v>High</v>
      </c>
      <c r="I894" s="1" t="str">
        <f t="shared" si="55"/>
        <v>Other</v>
      </c>
      <c r="J894" s="1">
        <f t="shared" si="56"/>
        <v>473608.33</v>
      </c>
    </row>
    <row r="895" spans="1:10" ht="12.75">
      <c r="A895" s="1" t="s">
        <v>13</v>
      </c>
      <c r="B895" s="1" t="s">
        <v>54</v>
      </c>
      <c r="C895" s="1" t="s">
        <v>45</v>
      </c>
      <c r="D895" s="2">
        <v>44608</v>
      </c>
      <c r="E895" s="1" t="s">
        <v>334</v>
      </c>
      <c r="F895" s="5">
        <f t="shared" si="53"/>
        <v>2058</v>
      </c>
      <c r="G895" s="1">
        <v>236</v>
      </c>
      <c r="H895" s="1" t="str">
        <f t="shared" si="54"/>
        <v>High</v>
      </c>
      <c r="I895" s="1" t="str">
        <f t="shared" si="55"/>
        <v>Other</v>
      </c>
      <c r="J895" s="1">
        <f t="shared" si="56"/>
        <v>473608.33</v>
      </c>
    </row>
    <row r="896" spans="1:10" ht="12.75">
      <c r="A896" s="1" t="s">
        <v>8</v>
      </c>
      <c r="B896" s="1" t="s">
        <v>39</v>
      </c>
      <c r="C896" s="1" t="s">
        <v>126</v>
      </c>
      <c r="D896" s="2">
        <v>44701</v>
      </c>
      <c r="E896" s="1" t="s">
        <v>763</v>
      </c>
      <c r="F896" s="5">
        <f t="shared" si="53"/>
        <v>10192</v>
      </c>
      <c r="G896" s="1">
        <v>67</v>
      </c>
      <c r="H896" s="1" t="str">
        <f t="shared" si="54"/>
        <v>High</v>
      </c>
      <c r="I896" s="1" t="str">
        <f t="shared" si="55"/>
        <v>Other</v>
      </c>
      <c r="J896" s="1">
        <f t="shared" si="56"/>
        <v>473608.33</v>
      </c>
    </row>
    <row r="897" spans="1:10" ht="12.75">
      <c r="A897" s="1" t="s">
        <v>11</v>
      </c>
      <c r="B897" s="1" t="s">
        <v>39</v>
      </c>
      <c r="C897" s="1" t="s">
        <v>65</v>
      </c>
      <c r="D897" s="2">
        <v>44595</v>
      </c>
      <c r="E897" s="1" t="s">
        <v>764</v>
      </c>
      <c r="F897" s="5">
        <f t="shared" si="53"/>
        <v>7140</v>
      </c>
      <c r="G897" s="1">
        <v>438</v>
      </c>
      <c r="H897" s="1" t="str">
        <f t="shared" si="54"/>
        <v>High</v>
      </c>
      <c r="I897" s="1" t="str">
        <f t="shared" si="55"/>
        <v>Other</v>
      </c>
      <c r="J897" s="1">
        <f t="shared" si="56"/>
        <v>473608.33</v>
      </c>
    </row>
    <row r="898" spans="1:10" ht="12.75">
      <c r="A898" s="1" t="s">
        <v>28</v>
      </c>
      <c r="B898" s="1" t="s">
        <v>42</v>
      </c>
      <c r="C898" s="1" t="s">
        <v>86</v>
      </c>
      <c r="D898" s="2">
        <v>44687</v>
      </c>
      <c r="E898" s="1" t="s">
        <v>765</v>
      </c>
      <c r="F898" s="5">
        <f t="shared" ref="F898:F961" si="57">VALUE(SUBSTITUTE(E898,"$",""))</f>
        <v>9835</v>
      </c>
      <c r="G898" s="1">
        <v>167</v>
      </c>
      <c r="H898" s="1" t="str">
        <f t="shared" ref="H898:H961" si="58">IF(F898&gt;800,"High",IF(F898&gt;500,"Medium","Low"))</f>
        <v>High</v>
      </c>
      <c r="I898" s="1" t="str">
        <f t="shared" ref="I898:I961" si="59">IF(AND(B898="Australia",A898="Mallorie Waber"),"Top Local","Other")</f>
        <v>Other</v>
      </c>
      <c r="J898" s="1">
        <f t="shared" ref="J898:J961" si="60">SUMIF(A898:A4178,"Mallorie Waber",F898:F4178)</f>
        <v>473608.33</v>
      </c>
    </row>
    <row r="899" spans="1:10" ht="12.75">
      <c r="A899" s="1" t="s">
        <v>23</v>
      </c>
      <c r="B899" s="1" t="s">
        <v>39</v>
      </c>
      <c r="C899" s="1" t="s">
        <v>102</v>
      </c>
      <c r="D899" s="2">
        <v>44742</v>
      </c>
      <c r="E899" s="1" t="s">
        <v>411</v>
      </c>
      <c r="F899" s="5">
        <f t="shared" si="57"/>
        <v>5775</v>
      </c>
      <c r="G899" s="1">
        <v>135</v>
      </c>
      <c r="H899" s="1" t="str">
        <f t="shared" si="58"/>
        <v>High</v>
      </c>
      <c r="I899" s="1" t="str">
        <f t="shared" si="59"/>
        <v>Other</v>
      </c>
      <c r="J899" s="1">
        <f t="shared" si="60"/>
        <v>473608.33</v>
      </c>
    </row>
    <row r="900" spans="1:10" ht="12.75">
      <c r="A900" s="1" t="s">
        <v>23</v>
      </c>
      <c r="B900" s="1" t="s">
        <v>39</v>
      </c>
      <c r="C900" s="1" t="s">
        <v>49</v>
      </c>
      <c r="D900" s="2">
        <v>44642</v>
      </c>
      <c r="E900" s="1" t="s">
        <v>766</v>
      </c>
      <c r="F900" s="5">
        <f t="shared" si="57"/>
        <v>749</v>
      </c>
      <c r="G900" s="1">
        <v>148</v>
      </c>
      <c r="H900" s="1" t="str">
        <f t="shared" si="58"/>
        <v>Medium</v>
      </c>
      <c r="I900" s="1" t="str">
        <f t="shared" si="59"/>
        <v>Other</v>
      </c>
      <c r="J900" s="1">
        <f t="shared" si="60"/>
        <v>473608.33</v>
      </c>
    </row>
    <row r="901" spans="1:10" ht="12.75">
      <c r="A901" s="1" t="s">
        <v>25</v>
      </c>
      <c r="B901" s="1" t="s">
        <v>62</v>
      </c>
      <c r="C901" s="1" t="s">
        <v>60</v>
      </c>
      <c r="D901" s="2">
        <v>44609</v>
      </c>
      <c r="E901" s="1" t="s">
        <v>767</v>
      </c>
      <c r="F901" s="5">
        <f t="shared" si="57"/>
        <v>7770</v>
      </c>
      <c r="G901" s="1">
        <v>54</v>
      </c>
      <c r="H901" s="1" t="str">
        <f t="shared" si="58"/>
        <v>High</v>
      </c>
      <c r="I901" s="1" t="str">
        <f t="shared" si="59"/>
        <v>Other</v>
      </c>
      <c r="J901" s="1">
        <f t="shared" si="60"/>
        <v>473608.33</v>
      </c>
    </row>
    <row r="902" spans="1:10" ht="12.75">
      <c r="A902" s="1" t="s">
        <v>11</v>
      </c>
      <c r="B902" s="1" t="s">
        <v>39</v>
      </c>
      <c r="C902" s="1" t="s">
        <v>43</v>
      </c>
      <c r="D902" s="2">
        <v>44749</v>
      </c>
      <c r="E902" s="1" t="s">
        <v>372</v>
      </c>
      <c r="F902" s="5">
        <f t="shared" si="57"/>
        <v>5502</v>
      </c>
      <c r="G902" s="1">
        <v>64</v>
      </c>
      <c r="H902" s="1" t="str">
        <f t="shared" si="58"/>
        <v>High</v>
      </c>
      <c r="I902" s="1" t="str">
        <f t="shared" si="59"/>
        <v>Other</v>
      </c>
      <c r="J902" s="1">
        <f t="shared" si="60"/>
        <v>473608.33</v>
      </c>
    </row>
    <row r="903" spans="1:10" ht="12.75">
      <c r="A903" s="1" t="s">
        <v>22</v>
      </c>
      <c r="B903" s="1" t="s">
        <v>39</v>
      </c>
      <c r="C903" s="1" t="s">
        <v>147</v>
      </c>
      <c r="D903" s="2">
        <v>44636</v>
      </c>
      <c r="E903" s="1" t="s">
        <v>636</v>
      </c>
      <c r="F903" s="5">
        <f t="shared" si="57"/>
        <v>6223</v>
      </c>
      <c r="G903" s="1">
        <v>181</v>
      </c>
      <c r="H903" s="1" t="str">
        <f t="shared" si="58"/>
        <v>High</v>
      </c>
      <c r="I903" s="1" t="str">
        <f t="shared" si="59"/>
        <v>Other</v>
      </c>
      <c r="J903" s="1">
        <f t="shared" si="60"/>
        <v>473608.33</v>
      </c>
    </row>
    <row r="904" spans="1:10" ht="12.75">
      <c r="A904" s="1" t="s">
        <v>12</v>
      </c>
      <c r="B904" s="1" t="s">
        <v>39</v>
      </c>
      <c r="C904" s="1" t="s">
        <v>51</v>
      </c>
      <c r="D904" s="2">
        <v>44785</v>
      </c>
      <c r="E904" s="1" t="s">
        <v>768</v>
      </c>
      <c r="F904" s="5">
        <f t="shared" si="57"/>
        <v>3507</v>
      </c>
      <c r="G904" s="1">
        <v>114</v>
      </c>
      <c r="H904" s="1" t="str">
        <f t="shared" si="58"/>
        <v>High</v>
      </c>
      <c r="I904" s="1" t="str">
        <f t="shared" si="59"/>
        <v>Other</v>
      </c>
      <c r="J904" s="1">
        <f t="shared" si="60"/>
        <v>473608.33</v>
      </c>
    </row>
    <row r="905" spans="1:10" ht="12.75">
      <c r="A905" s="1" t="s">
        <v>20</v>
      </c>
      <c r="B905" s="1" t="s">
        <v>54</v>
      </c>
      <c r="C905" s="1" t="s">
        <v>52</v>
      </c>
      <c r="D905" s="2">
        <v>44582</v>
      </c>
      <c r="E905" s="1" t="s">
        <v>769</v>
      </c>
      <c r="F905" s="5">
        <f t="shared" si="57"/>
        <v>5600</v>
      </c>
      <c r="G905" s="1">
        <v>181</v>
      </c>
      <c r="H905" s="1" t="str">
        <f t="shared" si="58"/>
        <v>High</v>
      </c>
      <c r="I905" s="1" t="str">
        <f t="shared" si="59"/>
        <v>Other</v>
      </c>
      <c r="J905" s="1">
        <f t="shared" si="60"/>
        <v>473608.33</v>
      </c>
    </row>
    <row r="906" spans="1:10" ht="12.75">
      <c r="A906" s="1" t="s">
        <v>22</v>
      </c>
      <c r="B906" s="1" t="s">
        <v>5</v>
      </c>
      <c r="C906" s="1" t="s">
        <v>55</v>
      </c>
      <c r="D906" s="2">
        <v>44687</v>
      </c>
      <c r="E906" s="1" t="s">
        <v>770</v>
      </c>
      <c r="F906" s="5">
        <f t="shared" si="57"/>
        <v>721</v>
      </c>
      <c r="G906" s="1">
        <v>151</v>
      </c>
      <c r="H906" s="1" t="str">
        <f t="shared" si="58"/>
        <v>Medium</v>
      </c>
      <c r="I906" s="1" t="str">
        <f t="shared" si="59"/>
        <v>Other</v>
      </c>
      <c r="J906" s="1">
        <f t="shared" si="60"/>
        <v>473608.33</v>
      </c>
    </row>
    <row r="907" spans="1:10" ht="12.75">
      <c r="A907" s="1" t="s">
        <v>22</v>
      </c>
      <c r="B907" s="1" t="s">
        <v>62</v>
      </c>
      <c r="C907" s="1" t="s">
        <v>55</v>
      </c>
      <c r="D907" s="2">
        <v>44736</v>
      </c>
      <c r="E907" s="1" t="s">
        <v>771</v>
      </c>
      <c r="F907" s="5">
        <f t="shared" si="57"/>
        <v>6615</v>
      </c>
      <c r="G907" s="1">
        <v>137</v>
      </c>
      <c r="H907" s="1" t="str">
        <f t="shared" si="58"/>
        <v>High</v>
      </c>
      <c r="I907" s="1" t="str">
        <f t="shared" si="59"/>
        <v>Other</v>
      </c>
      <c r="J907" s="1">
        <f t="shared" si="60"/>
        <v>473608.33</v>
      </c>
    </row>
    <row r="908" spans="1:10" ht="12.75">
      <c r="A908" s="1" t="s">
        <v>16</v>
      </c>
      <c r="B908" s="1" t="s">
        <v>59</v>
      </c>
      <c r="C908" s="1" t="s">
        <v>84</v>
      </c>
      <c r="D908" s="2">
        <v>44686</v>
      </c>
      <c r="E908" s="1" t="s">
        <v>772</v>
      </c>
      <c r="F908" s="5">
        <f t="shared" si="57"/>
        <v>7420</v>
      </c>
      <c r="G908" s="1">
        <v>163</v>
      </c>
      <c r="H908" s="1" t="str">
        <f t="shared" si="58"/>
        <v>High</v>
      </c>
      <c r="I908" s="1" t="str">
        <f t="shared" si="59"/>
        <v>Other</v>
      </c>
      <c r="J908" s="1">
        <f t="shared" si="60"/>
        <v>473608.33</v>
      </c>
    </row>
    <row r="909" spans="1:10" ht="12.75">
      <c r="A909" s="1" t="s">
        <v>19</v>
      </c>
      <c r="B909" s="1" t="s">
        <v>54</v>
      </c>
      <c r="C909" s="1" t="s">
        <v>51</v>
      </c>
      <c r="D909" s="2">
        <v>44645</v>
      </c>
      <c r="E909" s="1" t="s">
        <v>707</v>
      </c>
      <c r="F909" s="5">
        <f t="shared" si="57"/>
        <v>3164</v>
      </c>
      <c r="G909" s="1">
        <v>84</v>
      </c>
      <c r="H909" s="1" t="str">
        <f t="shared" si="58"/>
        <v>High</v>
      </c>
      <c r="I909" s="1" t="str">
        <f t="shared" si="59"/>
        <v>Other</v>
      </c>
      <c r="J909" s="1">
        <f t="shared" si="60"/>
        <v>473608.33</v>
      </c>
    </row>
    <row r="910" spans="1:10" ht="12.75">
      <c r="A910" s="1" t="s">
        <v>24</v>
      </c>
      <c r="B910" s="1" t="s">
        <v>5</v>
      </c>
      <c r="C910" s="1" t="s">
        <v>126</v>
      </c>
      <c r="D910" s="2">
        <v>44606</v>
      </c>
      <c r="E910" s="1" t="s">
        <v>773</v>
      </c>
      <c r="F910" s="5">
        <f t="shared" si="57"/>
        <v>9114</v>
      </c>
      <c r="G910" s="1">
        <v>140</v>
      </c>
      <c r="H910" s="1" t="str">
        <f t="shared" si="58"/>
        <v>High</v>
      </c>
      <c r="I910" s="1" t="str">
        <f t="shared" si="59"/>
        <v>Other</v>
      </c>
      <c r="J910" s="1">
        <f t="shared" si="60"/>
        <v>473608.33</v>
      </c>
    </row>
    <row r="911" spans="1:10" ht="12.75">
      <c r="A911" s="1" t="s">
        <v>24</v>
      </c>
      <c r="B911" s="1" t="s">
        <v>54</v>
      </c>
      <c r="C911" s="1" t="s">
        <v>43</v>
      </c>
      <c r="D911" s="2">
        <v>44693</v>
      </c>
      <c r="E911" s="1" t="s">
        <v>774</v>
      </c>
      <c r="F911" s="5">
        <f t="shared" si="57"/>
        <v>5404</v>
      </c>
      <c r="G911" s="1">
        <v>187</v>
      </c>
      <c r="H911" s="1" t="str">
        <f t="shared" si="58"/>
        <v>High</v>
      </c>
      <c r="I911" s="1" t="str">
        <f t="shared" si="59"/>
        <v>Other</v>
      </c>
      <c r="J911" s="1">
        <f t="shared" si="60"/>
        <v>473608.33</v>
      </c>
    </row>
    <row r="912" spans="1:10" ht="12.75">
      <c r="A912" s="1" t="s">
        <v>16</v>
      </c>
      <c r="B912" s="1" t="s">
        <v>54</v>
      </c>
      <c r="C912" s="1" t="s">
        <v>49</v>
      </c>
      <c r="D912" s="2">
        <v>44586</v>
      </c>
      <c r="E912" s="1" t="s">
        <v>56</v>
      </c>
      <c r="F912" s="5">
        <f t="shared" si="57"/>
        <v>3990</v>
      </c>
      <c r="G912" s="1">
        <v>169</v>
      </c>
      <c r="H912" s="1" t="str">
        <f t="shared" si="58"/>
        <v>High</v>
      </c>
      <c r="I912" s="1" t="str">
        <f t="shared" si="59"/>
        <v>Other</v>
      </c>
      <c r="J912" s="1">
        <f t="shared" si="60"/>
        <v>473608.33</v>
      </c>
    </row>
    <row r="913" spans="1:10" ht="12.75">
      <c r="A913" s="1" t="s">
        <v>17</v>
      </c>
      <c r="B913" s="1" t="s">
        <v>39</v>
      </c>
      <c r="C913" s="1" t="s">
        <v>43</v>
      </c>
      <c r="D913" s="2">
        <v>44740</v>
      </c>
      <c r="E913" s="1" t="s">
        <v>775</v>
      </c>
      <c r="F913" s="5">
        <f t="shared" si="57"/>
        <v>14924</v>
      </c>
      <c r="G913" s="1">
        <v>12</v>
      </c>
      <c r="H913" s="1" t="str">
        <f t="shared" si="58"/>
        <v>High</v>
      </c>
      <c r="I913" s="1" t="str">
        <f t="shared" si="59"/>
        <v>Other</v>
      </c>
      <c r="J913" s="1">
        <f t="shared" si="60"/>
        <v>473608.33</v>
      </c>
    </row>
    <row r="914" spans="1:10" ht="12.75">
      <c r="A914" s="1" t="s">
        <v>6</v>
      </c>
      <c r="B914" s="1" t="s">
        <v>5</v>
      </c>
      <c r="C914" s="1" t="s">
        <v>65</v>
      </c>
      <c r="D914" s="2">
        <v>44755</v>
      </c>
      <c r="E914" s="1" t="s">
        <v>776</v>
      </c>
      <c r="F914" s="5">
        <f t="shared" si="57"/>
        <v>7091</v>
      </c>
      <c r="G914" s="1">
        <v>194</v>
      </c>
      <c r="H914" s="1" t="str">
        <f t="shared" si="58"/>
        <v>High</v>
      </c>
      <c r="I914" s="1" t="str">
        <f t="shared" si="59"/>
        <v>Other</v>
      </c>
      <c r="J914" s="1">
        <f t="shared" si="60"/>
        <v>473608.33</v>
      </c>
    </row>
    <row r="915" spans="1:10" ht="12.75">
      <c r="A915" s="1" t="s">
        <v>26</v>
      </c>
      <c r="B915" s="1" t="s">
        <v>59</v>
      </c>
      <c r="C915" s="1" t="s">
        <v>72</v>
      </c>
      <c r="D915" s="2">
        <v>44697</v>
      </c>
      <c r="E915" s="1" t="s">
        <v>309</v>
      </c>
      <c r="F915" s="5">
        <f t="shared" si="57"/>
        <v>2807</v>
      </c>
      <c r="G915" s="1">
        <v>252</v>
      </c>
      <c r="H915" s="1" t="str">
        <f t="shared" si="58"/>
        <v>High</v>
      </c>
      <c r="I915" s="1" t="str">
        <f t="shared" si="59"/>
        <v>Other</v>
      </c>
      <c r="J915" s="1">
        <f t="shared" si="60"/>
        <v>473608.33</v>
      </c>
    </row>
    <row r="916" spans="1:10" ht="12.75">
      <c r="A916" s="1" t="s">
        <v>15</v>
      </c>
      <c r="B916" s="1" t="s">
        <v>42</v>
      </c>
      <c r="C916" s="1" t="s">
        <v>52</v>
      </c>
      <c r="D916" s="2">
        <v>44634</v>
      </c>
      <c r="E916" s="1" t="s">
        <v>777</v>
      </c>
      <c r="F916" s="5">
        <f t="shared" si="57"/>
        <v>6496</v>
      </c>
      <c r="G916" s="1">
        <v>168</v>
      </c>
      <c r="H916" s="1" t="str">
        <f t="shared" si="58"/>
        <v>High</v>
      </c>
      <c r="I916" s="1" t="str">
        <f t="shared" si="59"/>
        <v>Other</v>
      </c>
      <c r="J916" s="1">
        <f t="shared" si="60"/>
        <v>473608.33</v>
      </c>
    </row>
    <row r="917" spans="1:10" ht="12.75">
      <c r="A917" s="1" t="s">
        <v>23</v>
      </c>
      <c r="B917" s="1" t="s">
        <v>59</v>
      </c>
      <c r="C917" s="1" t="s">
        <v>52</v>
      </c>
      <c r="D917" s="2">
        <v>44788</v>
      </c>
      <c r="E917" s="1" t="s">
        <v>778</v>
      </c>
      <c r="F917" s="5">
        <f t="shared" si="57"/>
        <v>3738</v>
      </c>
      <c r="G917" s="1">
        <v>261</v>
      </c>
      <c r="H917" s="1" t="str">
        <f t="shared" si="58"/>
        <v>High</v>
      </c>
      <c r="I917" s="1" t="str">
        <f t="shared" si="59"/>
        <v>Other</v>
      </c>
      <c r="J917" s="1">
        <f t="shared" si="60"/>
        <v>473608.33</v>
      </c>
    </row>
    <row r="918" spans="1:10" ht="12.75">
      <c r="A918" s="1" t="s">
        <v>17</v>
      </c>
      <c r="B918" s="1" t="s">
        <v>42</v>
      </c>
      <c r="C918" s="1" t="s">
        <v>60</v>
      </c>
      <c r="D918" s="2">
        <v>44608</v>
      </c>
      <c r="E918" s="1" t="s">
        <v>779</v>
      </c>
      <c r="F918" s="5">
        <f t="shared" si="57"/>
        <v>1190</v>
      </c>
      <c r="G918" s="1">
        <v>256</v>
      </c>
      <c r="H918" s="1" t="str">
        <f t="shared" si="58"/>
        <v>High</v>
      </c>
      <c r="I918" s="1" t="str">
        <f t="shared" si="59"/>
        <v>Other</v>
      </c>
      <c r="J918" s="1">
        <f t="shared" si="60"/>
        <v>473608.33</v>
      </c>
    </row>
    <row r="919" spans="1:10" ht="12.75">
      <c r="A919" s="1" t="s">
        <v>2</v>
      </c>
      <c r="B919" s="1" t="s">
        <v>39</v>
      </c>
      <c r="C919" s="1" t="s">
        <v>86</v>
      </c>
      <c r="D919" s="2">
        <v>44727</v>
      </c>
      <c r="E919" s="1" t="s">
        <v>67</v>
      </c>
      <c r="F919" s="5">
        <f t="shared" si="57"/>
        <v>8379</v>
      </c>
      <c r="G919" s="1">
        <v>43</v>
      </c>
      <c r="H919" s="1" t="str">
        <f t="shared" si="58"/>
        <v>High</v>
      </c>
      <c r="I919" s="1" t="str">
        <f t="shared" si="59"/>
        <v>Other</v>
      </c>
      <c r="J919" s="1">
        <f t="shared" si="60"/>
        <v>473608.33</v>
      </c>
    </row>
    <row r="920" spans="1:10" ht="12.75">
      <c r="A920" s="1" t="s">
        <v>16</v>
      </c>
      <c r="B920" s="1" t="s">
        <v>5</v>
      </c>
      <c r="C920" s="1" t="s">
        <v>100</v>
      </c>
      <c r="D920" s="2">
        <v>44708</v>
      </c>
      <c r="E920" s="1" t="s">
        <v>780</v>
      </c>
      <c r="F920" s="5">
        <f t="shared" si="57"/>
        <v>9268</v>
      </c>
      <c r="G920" s="1">
        <v>100</v>
      </c>
      <c r="H920" s="1" t="str">
        <f t="shared" si="58"/>
        <v>High</v>
      </c>
      <c r="I920" s="1" t="str">
        <f t="shared" si="59"/>
        <v>Other</v>
      </c>
      <c r="J920" s="1">
        <f t="shared" si="60"/>
        <v>465229.33000000007</v>
      </c>
    </row>
    <row r="921" spans="1:10" ht="12.75">
      <c r="A921" s="1" t="s">
        <v>29</v>
      </c>
      <c r="B921" s="1" t="s">
        <v>59</v>
      </c>
      <c r="C921" s="1" t="s">
        <v>65</v>
      </c>
      <c r="D921" s="2">
        <v>44726</v>
      </c>
      <c r="E921" s="1" t="s">
        <v>781</v>
      </c>
      <c r="F921" s="5">
        <f t="shared" si="57"/>
        <v>1029</v>
      </c>
      <c r="G921" s="1">
        <v>98</v>
      </c>
      <c r="H921" s="1" t="str">
        <f t="shared" si="58"/>
        <v>High</v>
      </c>
      <c r="I921" s="1" t="str">
        <f t="shared" si="59"/>
        <v>Other</v>
      </c>
      <c r="J921" s="1">
        <f t="shared" si="60"/>
        <v>465229.33000000007</v>
      </c>
    </row>
    <row r="922" spans="1:10" ht="12.75">
      <c r="A922" s="1" t="s">
        <v>29</v>
      </c>
      <c r="B922" s="1" t="s">
        <v>42</v>
      </c>
      <c r="C922" s="1" t="s">
        <v>63</v>
      </c>
      <c r="D922" s="2">
        <v>44617</v>
      </c>
      <c r="E922" s="1" t="s">
        <v>224</v>
      </c>
      <c r="F922" s="5">
        <f t="shared" si="57"/>
        <v>3549</v>
      </c>
      <c r="G922" s="1">
        <v>76</v>
      </c>
      <c r="H922" s="1" t="str">
        <f t="shared" si="58"/>
        <v>High</v>
      </c>
      <c r="I922" s="1" t="str">
        <f t="shared" si="59"/>
        <v>Other</v>
      </c>
      <c r="J922" s="1">
        <f t="shared" si="60"/>
        <v>465229.33000000007</v>
      </c>
    </row>
    <row r="923" spans="1:10" ht="12.75">
      <c r="A923" s="1" t="s">
        <v>29</v>
      </c>
      <c r="B923" s="1" t="s">
        <v>42</v>
      </c>
      <c r="C923" s="1" t="s">
        <v>52</v>
      </c>
      <c r="D923" s="2">
        <v>44777</v>
      </c>
      <c r="E923" s="1" t="s">
        <v>782</v>
      </c>
      <c r="F923" s="5">
        <f t="shared" si="57"/>
        <v>12026</v>
      </c>
      <c r="G923" s="1">
        <v>262</v>
      </c>
      <c r="H923" s="1" t="str">
        <f t="shared" si="58"/>
        <v>High</v>
      </c>
      <c r="I923" s="1" t="str">
        <f t="shared" si="59"/>
        <v>Other</v>
      </c>
      <c r="J923" s="1">
        <f t="shared" si="60"/>
        <v>465229.33000000007</v>
      </c>
    </row>
    <row r="924" spans="1:10" ht="12.75">
      <c r="A924" s="1" t="s">
        <v>12</v>
      </c>
      <c r="B924" s="1" t="s">
        <v>42</v>
      </c>
      <c r="C924" s="1" t="s">
        <v>51</v>
      </c>
      <c r="D924" s="2">
        <v>44740</v>
      </c>
      <c r="E924" s="1" t="s">
        <v>509</v>
      </c>
      <c r="F924" s="5">
        <f t="shared" si="57"/>
        <v>2303</v>
      </c>
      <c r="G924" s="1">
        <v>244</v>
      </c>
      <c r="H924" s="1" t="str">
        <f t="shared" si="58"/>
        <v>High</v>
      </c>
      <c r="I924" s="1" t="str">
        <f t="shared" si="59"/>
        <v>Other</v>
      </c>
      <c r="J924" s="1">
        <f t="shared" si="60"/>
        <v>465229.33000000007</v>
      </c>
    </row>
    <row r="925" spans="1:10" ht="12.75">
      <c r="A925" s="1" t="s">
        <v>23</v>
      </c>
      <c r="B925" s="1" t="s">
        <v>62</v>
      </c>
      <c r="C925" s="1" t="s">
        <v>76</v>
      </c>
      <c r="D925" s="2">
        <v>44656</v>
      </c>
      <c r="E925" s="1" t="s">
        <v>783</v>
      </c>
      <c r="F925" s="5">
        <f t="shared" si="57"/>
        <v>13405</v>
      </c>
      <c r="G925" s="1">
        <v>12</v>
      </c>
      <c r="H925" s="1" t="str">
        <f t="shared" si="58"/>
        <v>High</v>
      </c>
      <c r="I925" s="1" t="str">
        <f t="shared" si="59"/>
        <v>Other</v>
      </c>
      <c r="J925" s="1">
        <f t="shared" si="60"/>
        <v>465229.33000000007</v>
      </c>
    </row>
    <row r="926" spans="1:10" ht="12.75">
      <c r="A926" s="1" t="s">
        <v>9</v>
      </c>
      <c r="B926" s="1" t="s">
        <v>62</v>
      </c>
      <c r="C926" s="1" t="s">
        <v>45</v>
      </c>
      <c r="D926" s="2">
        <v>44747</v>
      </c>
      <c r="E926" s="1" t="s">
        <v>784</v>
      </c>
      <c r="F926" s="5">
        <f t="shared" si="57"/>
        <v>14763</v>
      </c>
      <c r="G926" s="1">
        <v>113</v>
      </c>
      <c r="H926" s="1" t="str">
        <f t="shared" si="58"/>
        <v>High</v>
      </c>
      <c r="I926" s="1" t="str">
        <f t="shared" si="59"/>
        <v>Other</v>
      </c>
      <c r="J926" s="1">
        <f t="shared" si="60"/>
        <v>465229.33000000007</v>
      </c>
    </row>
    <row r="927" spans="1:10" ht="12.75">
      <c r="A927" s="1" t="s">
        <v>8</v>
      </c>
      <c r="B927" s="1" t="s">
        <v>54</v>
      </c>
      <c r="C927" s="1" t="s">
        <v>63</v>
      </c>
      <c r="D927" s="2">
        <v>44581</v>
      </c>
      <c r="E927" s="1" t="s">
        <v>785</v>
      </c>
      <c r="F927" s="5">
        <f t="shared" si="57"/>
        <v>12894</v>
      </c>
      <c r="G927" s="1">
        <v>48</v>
      </c>
      <c r="H927" s="1" t="str">
        <f t="shared" si="58"/>
        <v>High</v>
      </c>
      <c r="I927" s="1" t="str">
        <f t="shared" si="59"/>
        <v>Other</v>
      </c>
      <c r="J927" s="1">
        <f t="shared" si="60"/>
        <v>465229.33000000007</v>
      </c>
    </row>
    <row r="928" spans="1:10" ht="12.75">
      <c r="A928" s="1" t="s">
        <v>17</v>
      </c>
      <c r="B928" s="1" t="s">
        <v>54</v>
      </c>
      <c r="C928" s="1" t="s">
        <v>65</v>
      </c>
      <c r="D928" s="2">
        <v>44608</v>
      </c>
      <c r="E928" s="1" t="s">
        <v>786</v>
      </c>
      <c r="F928" s="5">
        <f t="shared" si="57"/>
        <v>8302</v>
      </c>
      <c r="G928" s="1">
        <v>131</v>
      </c>
      <c r="H928" s="1" t="str">
        <f t="shared" si="58"/>
        <v>High</v>
      </c>
      <c r="I928" s="1" t="str">
        <f t="shared" si="59"/>
        <v>Other</v>
      </c>
      <c r="J928" s="1">
        <f t="shared" si="60"/>
        <v>465229.33000000007</v>
      </c>
    </row>
    <row r="929" spans="1:10" ht="12.75">
      <c r="A929" s="1" t="s">
        <v>24</v>
      </c>
      <c r="B929" s="1" t="s">
        <v>39</v>
      </c>
      <c r="C929" s="1" t="s">
        <v>65</v>
      </c>
      <c r="D929" s="2">
        <v>44754</v>
      </c>
      <c r="E929" s="1" t="s">
        <v>336</v>
      </c>
      <c r="F929" s="5">
        <f t="shared" si="57"/>
        <v>455</v>
      </c>
      <c r="G929" s="1">
        <v>174</v>
      </c>
      <c r="H929" s="1" t="str">
        <f t="shared" si="58"/>
        <v>Low</v>
      </c>
      <c r="I929" s="1" t="str">
        <f t="shared" si="59"/>
        <v>Other</v>
      </c>
      <c r="J929" s="1">
        <f t="shared" si="60"/>
        <v>465229.33000000007</v>
      </c>
    </row>
    <row r="930" spans="1:10" ht="12.75">
      <c r="A930" s="1" t="s">
        <v>12</v>
      </c>
      <c r="B930" s="1" t="s">
        <v>42</v>
      </c>
      <c r="C930" s="1" t="s">
        <v>100</v>
      </c>
      <c r="D930" s="2">
        <v>44728</v>
      </c>
      <c r="E930" s="1" t="s">
        <v>787</v>
      </c>
      <c r="F930" s="5">
        <f t="shared" si="57"/>
        <v>8183</v>
      </c>
      <c r="G930" s="1">
        <v>254</v>
      </c>
      <c r="H930" s="1" t="str">
        <f t="shared" si="58"/>
        <v>High</v>
      </c>
      <c r="I930" s="1" t="str">
        <f t="shared" si="59"/>
        <v>Other</v>
      </c>
      <c r="J930" s="1">
        <f t="shared" si="60"/>
        <v>465229.33000000007</v>
      </c>
    </row>
    <row r="931" spans="1:10" ht="12.75">
      <c r="A931" s="1" t="s">
        <v>21</v>
      </c>
      <c r="B931" s="1" t="s">
        <v>5</v>
      </c>
      <c r="C931" s="1" t="s">
        <v>102</v>
      </c>
      <c r="D931" s="2">
        <v>44664</v>
      </c>
      <c r="E931" s="1" t="s">
        <v>788</v>
      </c>
      <c r="F931" s="5">
        <f t="shared" si="57"/>
        <v>1645</v>
      </c>
      <c r="G931" s="1">
        <v>284</v>
      </c>
      <c r="H931" s="1" t="str">
        <f t="shared" si="58"/>
        <v>High</v>
      </c>
      <c r="I931" s="1" t="str">
        <f t="shared" si="59"/>
        <v>Other</v>
      </c>
      <c r="J931" s="1">
        <f t="shared" si="60"/>
        <v>465229.33000000007</v>
      </c>
    </row>
    <row r="932" spans="1:10" ht="12.75">
      <c r="A932" s="1" t="s">
        <v>8</v>
      </c>
      <c r="B932" s="1" t="s">
        <v>39</v>
      </c>
      <c r="C932" s="1" t="s">
        <v>55</v>
      </c>
      <c r="D932" s="2">
        <v>44613</v>
      </c>
      <c r="E932" s="1" t="s">
        <v>789</v>
      </c>
      <c r="F932" s="5">
        <f t="shared" si="57"/>
        <v>3143</v>
      </c>
      <c r="G932" s="1">
        <v>67</v>
      </c>
      <c r="H932" s="1" t="str">
        <f t="shared" si="58"/>
        <v>High</v>
      </c>
      <c r="I932" s="1" t="str">
        <f t="shared" si="59"/>
        <v>Other</v>
      </c>
      <c r="J932" s="1">
        <f t="shared" si="60"/>
        <v>465229.33000000007</v>
      </c>
    </row>
    <row r="933" spans="1:10" ht="12.75">
      <c r="A933" s="1" t="s">
        <v>26</v>
      </c>
      <c r="B933" s="1" t="s">
        <v>62</v>
      </c>
      <c r="C933" s="1" t="s">
        <v>102</v>
      </c>
      <c r="D933" s="2">
        <v>44692</v>
      </c>
      <c r="E933" s="1" t="s">
        <v>790</v>
      </c>
      <c r="F933" s="5">
        <f t="shared" si="57"/>
        <v>5873</v>
      </c>
      <c r="G933" s="1">
        <v>249</v>
      </c>
      <c r="H933" s="1" t="str">
        <f t="shared" si="58"/>
        <v>High</v>
      </c>
      <c r="I933" s="1" t="str">
        <f t="shared" si="59"/>
        <v>Other</v>
      </c>
      <c r="J933" s="1">
        <f t="shared" si="60"/>
        <v>465229.33000000007</v>
      </c>
    </row>
    <row r="934" spans="1:10" ht="12.75">
      <c r="A934" s="1" t="s">
        <v>17</v>
      </c>
      <c r="B934" s="1" t="s">
        <v>42</v>
      </c>
      <c r="C934" s="1" t="s">
        <v>55</v>
      </c>
      <c r="D934" s="2">
        <v>44666</v>
      </c>
      <c r="E934" s="1" t="s">
        <v>511</v>
      </c>
      <c r="F934" s="5">
        <f t="shared" si="57"/>
        <v>11298</v>
      </c>
      <c r="G934" s="1">
        <v>313</v>
      </c>
      <c r="H934" s="1" t="str">
        <f t="shared" si="58"/>
        <v>High</v>
      </c>
      <c r="I934" s="1" t="str">
        <f t="shared" si="59"/>
        <v>Other</v>
      </c>
      <c r="J934" s="1">
        <f t="shared" si="60"/>
        <v>465229.33000000007</v>
      </c>
    </row>
    <row r="935" spans="1:10" ht="12.75">
      <c r="A935" s="1" t="s">
        <v>22</v>
      </c>
      <c r="B935" s="1" t="s">
        <v>62</v>
      </c>
      <c r="C935" s="1" t="s">
        <v>45</v>
      </c>
      <c r="D935" s="2">
        <v>44719</v>
      </c>
      <c r="E935" s="1" t="s">
        <v>791</v>
      </c>
      <c r="F935" s="5">
        <f t="shared" si="57"/>
        <v>12425</v>
      </c>
      <c r="G935" s="1">
        <v>167</v>
      </c>
      <c r="H935" s="1" t="str">
        <f t="shared" si="58"/>
        <v>High</v>
      </c>
      <c r="I935" s="1" t="str">
        <f t="shared" si="59"/>
        <v>Other</v>
      </c>
      <c r="J935" s="1">
        <f t="shared" si="60"/>
        <v>465229.33000000007</v>
      </c>
    </row>
    <row r="936" spans="1:10" ht="12.75">
      <c r="A936" s="1" t="s">
        <v>22</v>
      </c>
      <c r="B936" s="1" t="s">
        <v>39</v>
      </c>
      <c r="C936" s="1" t="s">
        <v>84</v>
      </c>
      <c r="D936" s="2">
        <v>44739</v>
      </c>
      <c r="E936" s="1" t="s">
        <v>792</v>
      </c>
      <c r="F936" s="5">
        <f t="shared" si="57"/>
        <v>1715</v>
      </c>
      <c r="G936" s="1">
        <v>286</v>
      </c>
      <c r="H936" s="1" t="str">
        <f t="shared" si="58"/>
        <v>High</v>
      </c>
      <c r="I936" s="1" t="str">
        <f t="shared" si="59"/>
        <v>Other</v>
      </c>
      <c r="J936" s="1">
        <f t="shared" si="60"/>
        <v>465229.33000000007</v>
      </c>
    </row>
    <row r="937" spans="1:10" ht="12.75">
      <c r="A937" s="1" t="s">
        <v>16</v>
      </c>
      <c r="B937" s="1" t="s">
        <v>42</v>
      </c>
      <c r="C937" s="1" t="s">
        <v>52</v>
      </c>
      <c r="D937" s="2">
        <v>44771</v>
      </c>
      <c r="E937" s="1" t="s">
        <v>793</v>
      </c>
      <c r="F937" s="5">
        <f t="shared" si="57"/>
        <v>8190</v>
      </c>
      <c r="G937" s="1">
        <v>109</v>
      </c>
      <c r="H937" s="1" t="str">
        <f t="shared" si="58"/>
        <v>High</v>
      </c>
      <c r="I937" s="1" t="str">
        <f t="shared" si="59"/>
        <v>Other</v>
      </c>
      <c r="J937" s="1">
        <f t="shared" si="60"/>
        <v>465229.33000000007</v>
      </c>
    </row>
    <row r="938" spans="1:10" ht="12.75">
      <c r="A938" s="1" t="s">
        <v>29</v>
      </c>
      <c r="B938" s="1" t="s">
        <v>62</v>
      </c>
      <c r="C938" s="1" t="s">
        <v>49</v>
      </c>
      <c r="D938" s="2">
        <v>44714</v>
      </c>
      <c r="E938" s="1" t="s">
        <v>794</v>
      </c>
      <c r="F938" s="5">
        <f t="shared" si="57"/>
        <v>4991</v>
      </c>
      <c r="G938" s="1">
        <v>166</v>
      </c>
      <c r="H938" s="1" t="str">
        <f t="shared" si="58"/>
        <v>High</v>
      </c>
      <c r="I938" s="1" t="str">
        <f t="shared" si="59"/>
        <v>Other</v>
      </c>
      <c r="J938" s="1">
        <f t="shared" si="60"/>
        <v>465229.33000000007</v>
      </c>
    </row>
    <row r="939" spans="1:10" ht="12.75">
      <c r="A939" s="1" t="s">
        <v>19</v>
      </c>
      <c r="B939" s="1" t="s">
        <v>42</v>
      </c>
      <c r="C939" s="1" t="s">
        <v>40</v>
      </c>
      <c r="D939" s="2">
        <v>44587</v>
      </c>
      <c r="E939" s="1" t="s">
        <v>447</v>
      </c>
      <c r="F939" s="5">
        <f t="shared" si="57"/>
        <v>15491</v>
      </c>
      <c r="G939" s="1">
        <v>85</v>
      </c>
      <c r="H939" s="1" t="str">
        <f t="shared" si="58"/>
        <v>High</v>
      </c>
      <c r="I939" s="1" t="str">
        <f t="shared" si="59"/>
        <v>Other</v>
      </c>
      <c r="J939" s="1">
        <f t="shared" si="60"/>
        <v>465229.33000000007</v>
      </c>
    </row>
    <row r="940" spans="1:10" ht="12.75">
      <c r="A940" s="1" t="s">
        <v>19</v>
      </c>
      <c r="B940" s="1" t="s">
        <v>62</v>
      </c>
      <c r="C940" s="1" t="s">
        <v>51</v>
      </c>
      <c r="D940" s="2">
        <v>44622</v>
      </c>
      <c r="E940" s="1" t="s">
        <v>795</v>
      </c>
      <c r="F940" s="5">
        <f t="shared" si="57"/>
        <v>5096</v>
      </c>
      <c r="G940" s="1">
        <v>142</v>
      </c>
      <c r="H940" s="1" t="str">
        <f t="shared" si="58"/>
        <v>High</v>
      </c>
      <c r="I940" s="1" t="str">
        <f t="shared" si="59"/>
        <v>Other</v>
      </c>
      <c r="J940" s="1">
        <f t="shared" si="60"/>
        <v>465229.33000000007</v>
      </c>
    </row>
    <row r="941" spans="1:10" ht="12.75">
      <c r="A941" s="1" t="s">
        <v>10</v>
      </c>
      <c r="B941" s="1" t="s">
        <v>5</v>
      </c>
      <c r="C941" s="1" t="s">
        <v>147</v>
      </c>
      <c r="D941" s="2">
        <v>44571</v>
      </c>
      <c r="E941" s="1" t="s">
        <v>796</v>
      </c>
      <c r="F941" s="5">
        <f t="shared" si="57"/>
        <v>7063</v>
      </c>
      <c r="G941" s="1">
        <v>104</v>
      </c>
      <c r="H941" s="1" t="str">
        <f t="shared" si="58"/>
        <v>High</v>
      </c>
      <c r="I941" s="1" t="str">
        <f t="shared" si="59"/>
        <v>Other</v>
      </c>
      <c r="J941" s="1">
        <f t="shared" si="60"/>
        <v>465229.33000000007</v>
      </c>
    </row>
    <row r="942" spans="1:10" ht="12.75">
      <c r="A942" s="1" t="s">
        <v>28</v>
      </c>
      <c r="B942" s="1" t="s">
        <v>59</v>
      </c>
      <c r="C942" s="1" t="s">
        <v>147</v>
      </c>
      <c r="D942" s="2">
        <v>44739</v>
      </c>
      <c r="E942" s="1" t="s">
        <v>626</v>
      </c>
      <c r="F942" s="5">
        <f t="shared" si="57"/>
        <v>2275</v>
      </c>
      <c r="G942" s="1">
        <v>115</v>
      </c>
      <c r="H942" s="1" t="str">
        <f t="shared" si="58"/>
        <v>High</v>
      </c>
      <c r="I942" s="1" t="str">
        <f t="shared" si="59"/>
        <v>Other</v>
      </c>
      <c r="J942" s="1">
        <f t="shared" si="60"/>
        <v>465229.33000000007</v>
      </c>
    </row>
    <row r="943" spans="1:10" ht="12.75">
      <c r="A943" s="1" t="s">
        <v>16</v>
      </c>
      <c r="B943" s="1" t="s">
        <v>62</v>
      </c>
      <c r="C943" s="1" t="s">
        <v>60</v>
      </c>
      <c r="D943" s="2">
        <v>44742</v>
      </c>
      <c r="E943" s="1" t="s">
        <v>105</v>
      </c>
      <c r="F943" s="5">
        <f t="shared" si="57"/>
        <v>7602</v>
      </c>
      <c r="G943" s="1">
        <v>18</v>
      </c>
      <c r="H943" s="1" t="str">
        <f t="shared" si="58"/>
        <v>High</v>
      </c>
      <c r="I943" s="1" t="str">
        <f t="shared" si="59"/>
        <v>Other</v>
      </c>
      <c r="J943" s="1">
        <f t="shared" si="60"/>
        <v>465229.33000000007</v>
      </c>
    </row>
    <row r="944" spans="1:10" ht="12.75">
      <c r="A944" s="1" t="s">
        <v>26</v>
      </c>
      <c r="B944" s="1" t="s">
        <v>5</v>
      </c>
      <c r="C944" s="1" t="s">
        <v>43</v>
      </c>
      <c r="D944" s="2">
        <v>44750</v>
      </c>
      <c r="E944" s="1" t="s">
        <v>797</v>
      </c>
      <c r="F944" s="5">
        <f t="shared" si="57"/>
        <v>4200</v>
      </c>
      <c r="G944" s="1">
        <v>80</v>
      </c>
      <c r="H944" s="1" t="str">
        <f t="shared" si="58"/>
        <v>High</v>
      </c>
      <c r="I944" s="1" t="str">
        <f t="shared" si="59"/>
        <v>Other</v>
      </c>
      <c r="J944" s="1">
        <f t="shared" si="60"/>
        <v>465229.33000000007</v>
      </c>
    </row>
    <row r="945" spans="1:10" ht="12.75">
      <c r="A945" s="1" t="s">
        <v>22</v>
      </c>
      <c r="B945" s="1" t="s">
        <v>42</v>
      </c>
      <c r="C945" s="1" t="s">
        <v>76</v>
      </c>
      <c r="D945" s="2">
        <v>44720</v>
      </c>
      <c r="E945" s="1" t="s">
        <v>798</v>
      </c>
      <c r="F945" s="5">
        <f t="shared" si="57"/>
        <v>11137</v>
      </c>
      <c r="G945" s="1">
        <v>88</v>
      </c>
      <c r="H945" s="1" t="str">
        <f t="shared" si="58"/>
        <v>High</v>
      </c>
      <c r="I945" s="1" t="str">
        <f t="shared" si="59"/>
        <v>Other</v>
      </c>
      <c r="J945" s="1">
        <f t="shared" si="60"/>
        <v>465229.33000000007</v>
      </c>
    </row>
    <row r="946" spans="1:10" ht="12.75">
      <c r="A946" s="1" t="s">
        <v>15</v>
      </c>
      <c r="B946" s="1" t="s">
        <v>39</v>
      </c>
      <c r="C946" s="1" t="s">
        <v>86</v>
      </c>
      <c r="D946" s="2">
        <v>44791</v>
      </c>
      <c r="E946" s="1" t="s">
        <v>290</v>
      </c>
      <c r="F946" s="5">
        <f t="shared" si="57"/>
        <v>3388</v>
      </c>
      <c r="G946" s="1">
        <v>212</v>
      </c>
      <c r="H946" s="1" t="str">
        <f t="shared" si="58"/>
        <v>High</v>
      </c>
      <c r="I946" s="1" t="str">
        <f t="shared" si="59"/>
        <v>Other</v>
      </c>
      <c r="J946" s="1">
        <f t="shared" si="60"/>
        <v>465229.33000000007</v>
      </c>
    </row>
    <row r="947" spans="1:10" ht="12.75">
      <c r="A947" s="1" t="s">
        <v>8</v>
      </c>
      <c r="B947" s="1" t="s">
        <v>5</v>
      </c>
      <c r="C947" s="1" t="s">
        <v>52</v>
      </c>
      <c r="D947" s="2">
        <v>44659</v>
      </c>
      <c r="E947" s="1" t="s">
        <v>186</v>
      </c>
      <c r="F947" s="5">
        <f t="shared" si="57"/>
        <v>6832</v>
      </c>
      <c r="G947" s="1">
        <v>306</v>
      </c>
      <c r="H947" s="1" t="str">
        <f t="shared" si="58"/>
        <v>High</v>
      </c>
      <c r="I947" s="1" t="str">
        <f t="shared" si="59"/>
        <v>Other</v>
      </c>
      <c r="J947" s="1">
        <f t="shared" si="60"/>
        <v>465229.33000000007</v>
      </c>
    </row>
    <row r="948" spans="1:10" ht="12.75">
      <c r="A948" s="1" t="s">
        <v>29</v>
      </c>
      <c r="B948" s="1" t="s">
        <v>62</v>
      </c>
      <c r="C948" s="1" t="s">
        <v>81</v>
      </c>
      <c r="D948" s="2">
        <v>44781</v>
      </c>
      <c r="E948" s="1" t="s">
        <v>619</v>
      </c>
      <c r="F948" s="5">
        <f t="shared" si="57"/>
        <v>3437</v>
      </c>
      <c r="G948" s="1">
        <v>181</v>
      </c>
      <c r="H948" s="1" t="str">
        <f t="shared" si="58"/>
        <v>High</v>
      </c>
      <c r="I948" s="1" t="str">
        <f t="shared" si="59"/>
        <v>Other</v>
      </c>
      <c r="J948" s="1">
        <f t="shared" si="60"/>
        <v>465229.33000000007</v>
      </c>
    </row>
    <row r="949" spans="1:10" ht="12.75">
      <c r="A949" s="1" t="s">
        <v>29</v>
      </c>
      <c r="B949" s="1" t="s">
        <v>39</v>
      </c>
      <c r="C949" s="1" t="s">
        <v>72</v>
      </c>
      <c r="D949" s="2">
        <v>44799</v>
      </c>
      <c r="E949" s="1" t="s">
        <v>799</v>
      </c>
      <c r="F949" s="5">
        <f t="shared" si="57"/>
        <v>301</v>
      </c>
      <c r="G949" s="1">
        <v>65</v>
      </c>
      <c r="H949" s="1" t="str">
        <f t="shared" si="58"/>
        <v>Low</v>
      </c>
      <c r="I949" s="1" t="str">
        <f t="shared" si="59"/>
        <v>Other</v>
      </c>
      <c r="J949" s="1">
        <f t="shared" si="60"/>
        <v>465229.33000000007</v>
      </c>
    </row>
    <row r="950" spans="1:10" ht="12.75">
      <c r="A950" s="1" t="s">
        <v>22</v>
      </c>
      <c r="B950" s="1" t="s">
        <v>62</v>
      </c>
      <c r="C950" s="1" t="s">
        <v>81</v>
      </c>
      <c r="D950" s="2">
        <v>44575</v>
      </c>
      <c r="E950" s="1" t="s">
        <v>620</v>
      </c>
      <c r="F950" s="5">
        <f t="shared" si="57"/>
        <v>1869</v>
      </c>
      <c r="G950" s="1">
        <v>158</v>
      </c>
      <c r="H950" s="1" t="str">
        <f t="shared" si="58"/>
        <v>High</v>
      </c>
      <c r="I950" s="1" t="str">
        <f t="shared" si="59"/>
        <v>Other</v>
      </c>
      <c r="J950" s="1">
        <f t="shared" si="60"/>
        <v>465229.33000000007</v>
      </c>
    </row>
    <row r="951" spans="1:10" ht="12.75">
      <c r="A951" s="1" t="s">
        <v>6</v>
      </c>
      <c r="B951" s="1" t="s">
        <v>59</v>
      </c>
      <c r="C951" s="1" t="s">
        <v>122</v>
      </c>
      <c r="D951" s="2">
        <v>44784</v>
      </c>
      <c r="E951" s="1" t="s">
        <v>800</v>
      </c>
      <c r="F951" s="5">
        <f t="shared" si="57"/>
        <v>17465</v>
      </c>
      <c r="G951" s="1">
        <v>271</v>
      </c>
      <c r="H951" s="1" t="str">
        <f t="shared" si="58"/>
        <v>High</v>
      </c>
      <c r="I951" s="1" t="str">
        <f t="shared" si="59"/>
        <v>Other</v>
      </c>
      <c r="J951" s="1">
        <f t="shared" si="60"/>
        <v>465229.33000000007</v>
      </c>
    </row>
    <row r="952" spans="1:10" ht="12.75">
      <c r="A952" s="1" t="s">
        <v>9</v>
      </c>
      <c r="B952" s="1" t="s">
        <v>59</v>
      </c>
      <c r="C952" s="1" t="s">
        <v>91</v>
      </c>
      <c r="D952" s="2">
        <v>44712</v>
      </c>
      <c r="E952" s="1" t="s">
        <v>801</v>
      </c>
      <c r="F952" s="5">
        <f t="shared" si="57"/>
        <v>10143</v>
      </c>
      <c r="G952" s="1">
        <v>24</v>
      </c>
      <c r="H952" s="1" t="str">
        <f t="shared" si="58"/>
        <v>High</v>
      </c>
      <c r="I952" s="1" t="str">
        <f t="shared" si="59"/>
        <v>Other</v>
      </c>
      <c r="J952" s="1">
        <f t="shared" si="60"/>
        <v>465229.33000000007</v>
      </c>
    </row>
    <row r="953" spans="1:10" ht="12.75">
      <c r="A953" s="1" t="s">
        <v>10</v>
      </c>
      <c r="B953" s="1" t="s">
        <v>54</v>
      </c>
      <c r="C953" s="1" t="s">
        <v>55</v>
      </c>
      <c r="D953" s="2">
        <v>44753</v>
      </c>
      <c r="E953" s="1" t="s">
        <v>802</v>
      </c>
      <c r="F953" s="5">
        <f t="shared" si="57"/>
        <v>3626</v>
      </c>
      <c r="G953" s="1">
        <v>10</v>
      </c>
      <c r="H953" s="1" t="str">
        <f t="shared" si="58"/>
        <v>High</v>
      </c>
      <c r="I953" s="1" t="str">
        <f t="shared" si="59"/>
        <v>Other</v>
      </c>
      <c r="J953" s="1">
        <f t="shared" si="60"/>
        <v>465229.33000000007</v>
      </c>
    </row>
    <row r="954" spans="1:10" ht="12.75">
      <c r="A954" s="1" t="s">
        <v>18</v>
      </c>
      <c r="B954" s="1" t="s">
        <v>62</v>
      </c>
      <c r="C954" s="1" t="s">
        <v>126</v>
      </c>
      <c r="D954" s="2">
        <v>44622</v>
      </c>
      <c r="E954" s="1" t="s">
        <v>803</v>
      </c>
      <c r="F954" s="5">
        <f t="shared" si="57"/>
        <v>3346</v>
      </c>
      <c r="G954" s="1">
        <v>304</v>
      </c>
      <c r="H954" s="1" t="str">
        <f t="shared" si="58"/>
        <v>High</v>
      </c>
      <c r="I954" s="1" t="str">
        <f t="shared" si="59"/>
        <v>Other</v>
      </c>
      <c r="J954" s="1">
        <f t="shared" si="60"/>
        <v>465229.33000000007</v>
      </c>
    </row>
    <row r="955" spans="1:10" ht="12.75">
      <c r="A955" s="1" t="s">
        <v>9</v>
      </c>
      <c r="B955" s="1" t="s">
        <v>5</v>
      </c>
      <c r="C955" s="1" t="s">
        <v>100</v>
      </c>
      <c r="D955" s="2">
        <v>44755</v>
      </c>
      <c r="E955" s="1" t="s">
        <v>804</v>
      </c>
      <c r="F955" s="5">
        <f t="shared" si="57"/>
        <v>6321</v>
      </c>
      <c r="G955" s="1">
        <v>88</v>
      </c>
      <c r="H955" s="1" t="str">
        <f t="shared" si="58"/>
        <v>High</v>
      </c>
      <c r="I955" s="1" t="str">
        <f t="shared" si="59"/>
        <v>Other</v>
      </c>
      <c r="J955" s="1">
        <f t="shared" si="60"/>
        <v>465229.33000000007</v>
      </c>
    </row>
    <row r="956" spans="1:10" ht="12.75">
      <c r="A956" s="1" t="s">
        <v>19</v>
      </c>
      <c r="B956" s="1" t="s">
        <v>39</v>
      </c>
      <c r="C956" s="1" t="s">
        <v>76</v>
      </c>
      <c r="D956" s="2">
        <v>44776</v>
      </c>
      <c r="E956" s="1" t="s">
        <v>805</v>
      </c>
      <c r="F956" s="5">
        <f t="shared" si="57"/>
        <v>9345</v>
      </c>
      <c r="G956" s="1">
        <v>133</v>
      </c>
      <c r="H956" s="1" t="str">
        <f t="shared" si="58"/>
        <v>High</v>
      </c>
      <c r="I956" s="1" t="str">
        <f t="shared" si="59"/>
        <v>Other</v>
      </c>
      <c r="J956" s="1">
        <f t="shared" si="60"/>
        <v>465229.33000000007</v>
      </c>
    </row>
    <row r="957" spans="1:10" ht="12.75">
      <c r="A957" s="1" t="s">
        <v>24</v>
      </c>
      <c r="B957" s="1" t="s">
        <v>39</v>
      </c>
      <c r="C957" s="1" t="s">
        <v>45</v>
      </c>
      <c r="D957" s="2">
        <v>44621</v>
      </c>
      <c r="E957" s="1" t="s">
        <v>806</v>
      </c>
      <c r="F957" s="5">
        <f t="shared" si="57"/>
        <v>15008</v>
      </c>
      <c r="G957" s="1">
        <v>165</v>
      </c>
      <c r="H957" s="1" t="str">
        <f t="shared" si="58"/>
        <v>High</v>
      </c>
      <c r="I957" s="1" t="str">
        <f t="shared" si="59"/>
        <v>Other</v>
      </c>
      <c r="J957" s="1">
        <f t="shared" si="60"/>
        <v>465229.33000000007</v>
      </c>
    </row>
    <row r="958" spans="1:10" ht="12.75">
      <c r="A958" s="1" t="s">
        <v>12</v>
      </c>
      <c r="B958" s="1" t="s">
        <v>54</v>
      </c>
      <c r="C958" s="1" t="s">
        <v>84</v>
      </c>
      <c r="D958" s="2">
        <v>44664</v>
      </c>
      <c r="E958" s="1" t="s">
        <v>807</v>
      </c>
      <c r="F958" s="5">
        <f t="shared" si="57"/>
        <v>7609</v>
      </c>
      <c r="G958" s="1">
        <v>150</v>
      </c>
      <c r="H958" s="1" t="str">
        <f t="shared" si="58"/>
        <v>High</v>
      </c>
      <c r="I958" s="1" t="str">
        <f t="shared" si="59"/>
        <v>Other</v>
      </c>
      <c r="J958" s="1">
        <f t="shared" si="60"/>
        <v>465229.33000000007</v>
      </c>
    </row>
    <row r="959" spans="1:10" ht="12.75">
      <c r="A959" s="1" t="s">
        <v>28</v>
      </c>
      <c r="B959" s="1" t="s">
        <v>62</v>
      </c>
      <c r="C959" s="1" t="s">
        <v>81</v>
      </c>
      <c r="D959" s="2">
        <v>44606</v>
      </c>
      <c r="E959" s="1" t="s">
        <v>808</v>
      </c>
      <c r="F959" s="5">
        <f t="shared" si="57"/>
        <v>10332</v>
      </c>
      <c r="G959" s="1">
        <v>180</v>
      </c>
      <c r="H959" s="1" t="str">
        <f t="shared" si="58"/>
        <v>High</v>
      </c>
      <c r="I959" s="1" t="str">
        <f t="shared" si="59"/>
        <v>Other</v>
      </c>
      <c r="J959" s="1">
        <f t="shared" si="60"/>
        <v>465229.33000000007</v>
      </c>
    </row>
    <row r="960" spans="1:10" ht="12.75">
      <c r="A960" s="1" t="s">
        <v>2</v>
      </c>
      <c r="B960" s="1" t="s">
        <v>42</v>
      </c>
      <c r="C960" s="1" t="s">
        <v>84</v>
      </c>
      <c r="D960" s="2">
        <v>44768</v>
      </c>
      <c r="E960" s="1" t="s">
        <v>809</v>
      </c>
      <c r="F960" s="5">
        <f t="shared" si="57"/>
        <v>819</v>
      </c>
      <c r="G960" s="1">
        <v>213</v>
      </c>
      <c r="H960" s="1" t="str">
        <f t="shared" si="58"/>
        <v>High</v>
      </c>
      <c r="I960" s="1" t="str">
        <f t="shared" si="59"/>
        <v>Other</v>
      </c>
      <c r="J960" s="1">
        <f t="shared" si="60"/>
        <v>465229.33000000007</v>
      </c>
    </row>
    <row r="961" spans="1:10" ht="12.75">
      <c r="A961" s="1" t="s">
        <v>7</v>
      </c>
      <c r="B961" s="1" t="s">
        <v>39</v>
      </c>
      <c r="C961" s="1" t="s">
        <v>65</v>
      </c>
      <c r="D961" s="2">
        <v>44588</v>
      </c>
      <c r="E961" s="1" t="s">
        <v>810</v>
      </c>
      <c r="F961" s="5">
        <f t="shared" si="57"/>
        <v>5754</v>
      </c>
      <c r="G961" s="1">
        <v>133</v>
      </c>
      <c r="H961" s="1" t="str">
        <f t="shared" si="58"/>
        <v>High</v>
      </c>
      <c r="I961" s="1" t="str">
        <f t="shared" si="59"/>
        <v>Other</v>
      </c>
      <c r="J961" s="1">
        <f t="shared" si="60"/>
        <v>464410.33</v>
      </c>
    </row>
    <row r="962" spans="1:10" ht="12.75">
      <c r="A962" s="1" t="s">
        <v>11</v>
      </c>
      <c r="B962" s="1" t="s">
        <v>42</v>
      </c>
      <c r="C962" s="1" t="s">
        <v>45</v>
      </c>
      <c r="D962" s="2">
        <v>44665</v>
      </c>
      <c r="E962" s="1" t="s">
        <v>811</v>
      </c>
      <c r="F962" s="5">
        <f t="shared" ref="F962:F1025" si="61">VALUE(SUBSTITUTE(E962,"$",""))</f>
        <v>28</v>
      </c>
      <c r="G962" s="1">
        <v>446</v>
      </c>
      <c r="H962" s="1" t="str">
        <f t="shared" ref="H962:H1025" si="62">IF(F962&gt;800,"High",IF(F962&gt;500,"Medium","Low"))</f>
        <v>Low</v>
      </c>
      <c r="I962" s="1" t="str">
        <f t="shared" ref="I962:I1025" si="63">IF(AND(B962="Australia",A962="Mallorie Waber"),"Top Local","Other")</f>
        <v>Other</v>
      </c>
      <c r="J962" s="1">
        <f t="shared" ref="J962:J1025" si="64">SUMIF(A962:A4242,"Mallorie Waber",F962:F4242)</f>
        <v>464410.33</v>
      </c>
    </row>
    <row r="963" spans="1:10" ht="12.75">
      <c r="A963" s="1" t="s">
        <v>22</v>
      </c>
      <c r="B963" s="1" t="s">
        <v>59</v>
      </c>
      <c r="C963" s="1" t="s">
        <v>91</v>
      </c>
      <c r="D963" s="2">
        <v>44700</v>
      </c>
      <c r="E963" s="1" t="s">
        <v>478</v>
      </c>
      <c r="F963" s="5">
        <f t="shared" si="61"/>
        <v>6440</v>
      </c>
      <c r="G963" s="1">
        <v>141</v>
      </c>
      <c r="H963" s="1" t="str">
        <f t="shared" si="62"/>
        <v>High</v>
      </c>
      <c r="I963" s="1" t="str">
        <f t="shared" si="63"/>
        <v>Other</v>
      </c>
      <c r="J963" s="1">
        <f t="shared" si="64"/>
        <v>464410.33</v>
      </c>
    </row>
    <row r="964" spans="1:10" ht="12.75">
      <c r="A964" s="1" t="s">
        <v>13</v>
      </c>
      <c r="B964" s="1" t="s">
        <v>42</v>
      </c>
      <c r="C964" s="1" t="s">
        <v>63</v>
      </c>
      <c r="D964" s="2">
        <v>44601</v>
      </c>
      <c r="E964" s="1" t="s">
        <v>812</v>
      </c>
      <c r="F964" s="5">
        <f t="shared" si="61"/>
        <v>4956</v>
      </c>
      <c r="G964" s="1">
        <v>58</v>
      </c>
      <c r="H964" s="1" t="str">
        <f t="shared" si="62"/>
        <v>High</v>
      </c>
      <c r="I964" s="1" t="str">
        <f t="shared" si="63"/>
        <v>Other</v>
      </c>
      <c r="J964" s="1">
        <f t="shared" si="64"/>
        <v>464410.33</v>
      </c>
    </row>
    <row r="965" spans="1:10" ht="12.75">
      <c r="A965" s="1" t="s">
        <v>7</v>
      </c>
      <c r="B965" s="1" t="s">
        <v>39</v>
      </c>
      <c r="C965" s="1" t="s">
        <v>76</v>
      </c>
      <c r="D965" s="2">
        <v>44706</v>
      </c>
      <c r="E965" s="1" t="s">
        <v>813</v>
      </c>
      <c r="F965" s="5">
        <f t="shared" si="61"/>
        <v>2352</v>
      </c>
      <c r="G965" s="1">
        <v>58</v>
      </c>
      <c r="H965" s="1" t="str">
        <f t="shared" si="62"/>
        <v>High</v>
      </c>
      <c r="I965" s="1" t="str">
        <f t="shared" si="63"/>
        <v>Other</v>
      </c>
      <c r="J965" s="1">
        <f t="shared" si="64"/>
        <v>464410.33</v>
      </c>
    </row>
    <row r="966" spans="1:10" ht="12.75">
      <c r="A966" s="1" t="s">
        <v>22</v>
      </c>
      <c r="B966" s="1" t="s">
        <v>5</v>
      </c>
      <c r="C966" s="1" t="s">
        <v>86</v>
      </c>
      <c r="D966" s="2">
        <v>44587</v>
      </c>
      <c r="E966" s="1" t="s">
        <v>814</v>
      </c>
      <c r="F966" s="5">
        <f t="shared" si="61"/>
        <v>3906</v>
      </c>
      <c r="G966" s="1">
        <v>76</v>
      </c>
      <c r="H966" s="1" t="str">
        <f t="shared" si="62"/>
        <v>High</v>
      </c>
      <c r="I966" s="1" t="str">
        <f t="shared" si="63"/>
        <v>Other</v>
      </c>
      <c r="J966" s="1">
        <f t="shared" si="64"/>
        <v>464410.33</v>
      </c>
    </row>
    <row r="967" spans="1:10" ht="12.75">
      <c r="A967" s="1" t="s">
        <v>28</v>
      </c>
      <c r="B967" s="1" t="s">
        <v>42</v>
      </c>
      <c r="C967" s="1" t="s">
        <v>84</v>
      </c>
      <c r="D967" s="2">
        <v>44746</v>
      </c>
      <c r="E967" s="1" t="s">
        <v>815</v>
      </c>
      <c r="F967" s="5">
        <f t="shared" si="61"/>
        <v>1813</v>
      </c>
      <c r="G967" s="1">
        <v>296</v>
      </c>
      <c r="H967" s="1" t="str">
        <f t="shared" si="62"/>
        <v>High</v>
      </c>
      <c r="I967" s="1" t="str">
        <f t="shared" si="63"/>
        <v>Other</v>
      </c>
      <c r="J967" s="1">
        <f t="shared" si="64"/>
        <v>464410.33</v>
      </c>
    </row>
    <row r="968" spans="1:10" ht="12.75">
      <c r="A968" s="1" t="s">
        <v>17</v>
      </c>
      <c r="B968" s="1" t="s">
        <v>42</v>
      </c>
      <c r="C968" s="1" t="s">
        <v>91</v>
      </c>
      <c r="D968" s="2">
        <v>44664</v>
      </c>
      <c r="E968" s="1" t="s">
        <v>816</v>
      </c>
      <c r="F968" s="5">
        <f t="shared" si="61"/>
        <v>11788</v>
      </c>
      <c r="G968" s="1">
        <v>73</v>
      </c>
      <c r="H968" s="1" t="str">
        <f t="shared" si="62"/>
        <v>High</v>
      </c>
      <c r="I968" s="1" t="str">
        <f t="shared" si="63"/>
        <v>Other</v>
      </c>
      <c r="J968" s="1">
        <f t="shared" si="64"/>
        <v>464410.33</v>
      </c>
    </row>
    <row r="969" spans="1:10" ht="12.75">
      <c r="A969" s="1" t="s">
        <v>20</v>
      </c>
      <c r="B969" s="1" t="s">
        <v>5</v>
      </c>
      <c r="C969" s="1" t="s">
        <v>49</v>
      </c>
      <c r="D969" s="2">
        <v>44586</v>
      </c>
      <c r="E969" s="1" t="s">
        <v>817</v>
      </c>
      <c r="F969" s="5">
        <f t="shared" si="61"/>
        <v>5768</v>
      </c>
      <c r="G969" s="1">
        <v>119</v>
      </c>
      <c r="H969" s="1" t="str">
        <f t="shared" si="62"/>
        <v>High</v>
      </c>
      <c r="I969" s="1" t="str">
        <f t="shared" si="63"/>
        <v>Other</v>
      </c>
      <c r="J969" s="1">
        <f t="shared" si="64"/>
        <v>464410.33</v>
      </c>
    </row>
    <row r="970" spans="1:10" ht="12.75">
      <c r="A970" s="1" t="s">
        <v>25</v>
      </c>
      <c r="B970" s="1" t="s">
        <v>59</v>
      </c>
      <c r="C970" s="1" t="s">
        <v>43</v>
      </c>
      <c r="D970" s="2">
        <v>44676</v>
      </c>
      <c r="E970" s="1" t="s">
        <v>818</v>
      </c>
      <c r="F970" s="5">
        <f t="shared" si="61"/>
        <v>2401</v>
      </c>
      <c r="G970" s="1">
        <v>78</v>
      </c>
      <c r="H970" s="1" t="str">
        <f t="shared" si="62"/>
        <v>High</v>
      </c>
      <c r="I970" s="1" t="str">
        <f t="shared" si="63"/>
        <v>Other</v>
      </c>
      <c r="J970" s="1">
        <f t="shared" si="64"/>
        <v>464410.33</v>
      </c>
    </row>
    <row r="971" spans="1:10" ht="12.75">
      <c r="A971" s="1" t="s">
        <v>25</v>
      </c>
      <c r="B971" s="1" t="s">
        <v>59</v>
      </c>
      <c r="C971" s="1" t="s">
        <v>63</v>
      </c>
      <c r="D971" s="2">
        <v>44722</v>
      </c>
      <c r="E971" s="1" t="s">
        <v>482</v>
      </c>
      <c r="F971" s="5">
        <f t="shared" si="61"/>
        <v>4515</v>
      </c>
      <c r="G971" s="1">
        <v>392</v>
      </c>
      <c r="H971" s="1" t="str">
        <f t="shared" si="62"/>
        <v>High</v>
      </c>
      <c r="I971" s="1" t="str">
        <f t="shared" si="63"/>
        <v>Other</v>
      </c>
      <c r="J971" s="1">
        <f t="shared" si="64"/>
        <v>464410.33</v>
      </c>
    </row>
    <row r="972" spans="1:10" ht="12.75">
      <c r="A972" s="1" t="s">
        <v>9</v>
      </c>
      <c r="B972" s="1" t="s">
        <v>54</v>
      </c>
      <c r="C972" s="1" t="s">
        <v>84</v>
      </c>
      <c r="D972" s="2">
        <v>44795</v>
      </c>
      <c r="E972" s="1" t="s">
        <v>609</v>
      </c>
      <c r="F972" s="5">
        <f t="shared" si="61"/>
        <v>10794</v>
      </c>
      <c r="G972" s="1">
        <v>51</v>
      </c>
      <c r="H972" s="1" t="str">
        <f t="shared" si="62"/>
        <v>High</v>
      </c>
      <c r="I972" s="1" t="str">
        <f t="shared" si="63"/>
        <v>Other</v>
      </c>
      <c r="J972" s="1">
        <f t="shared" si="64"/>
        <v>464410.33</v>
      </c>
    </row>
    <row r="973" spans="1:10" ht="12.75">
      <c r="A973" s="1" t="s">
        <v>10</v>
      </c>
      <c r="B973" s="1" t="s">
        <v>42</v>
      </c>
      <c r="C973" s="1" t="s">
        <v>52</v>
      </c>
      <c r="D973" s="2">
        <v>44739</v>
      </c>
      <c r="E973" s="1" t="s">
        <v>234</v>
      </c>
      <c r="F973" s="5">
        <f t="shared" si="61"/>
        <v>13706</v>
      </c>
      <c r="G973" s="1">
        <v>207</v>
      </c>
      <c r="H973" s="1" t="str">
        <f t="shared" si="62"/>
        <v>High</v>
      </c>
      <c r="I973" s="1" t="str">
        <f t="shared" si="63"/>
        <v>Other</v>
      </c>
      <c r="J973" s="1">
        <f t="shared" si="64"/>
        <v>464410.33</v>
      </c>
    </row>
    <row r="974" spans="1:10" ht="12.75">
      <c r="A974" s="1" t="s">
        <v>13</v>
      </c>
      <c r="B974" s="1" t="s">
        <v>42</v>
      </c>
      <c r="C974" s="1" t="s">
        <v>60</v>
      </c>
      <c r="D974" s="2">
        <v>44742</v>
      </c>
      <c r="E974" s="1" t="s">
        <v>215</v>
      </c>
      <c r="F974" s="5">
        <f t="shared" si="61"/>
        <v>4361</v>
      </c>
      <c r="G974" s="1">
        <v>40</v>
      </c>
      <c r="H974" s="1" t="str">
        <f t="shared" si="62"/>
        <v>High</v>
      </c>
      <c r="I974" s="1" t="str">
        <f t="shared" si="63"/>
        <v>Other</v>
      </c>
      <c r="J974" s="1">
        <f t="shared" si="64"/>
        <v>464410.33</v>
      </c>
    </row>
    <row r="975" spans="1:10" ht="12.75">
      <c r="A975" s="1" t="s">
        <v>11</v>
      </c>
      <c r="B975" s="1" t="s">
        <v>42</v>
      </c>
      <c r="C975" s="1" t="s">
        <v>91</v>
      </c>
      <c r="D975" s="2">
        <v>44803</v>
      </c>
      <c r="E975" s="1" t="s">
        <v>819</v>
      </c>
      <c r="F975" s="5">
        <f t="shared" si="61"/>
        <v>10122</v>
      </c>
      <c r="G975" s="1">
        <v>100</v>
      </c>
      <c r="H975" s="1" t="str">
        <f t="shared" si="62"/>
        <v>High</v>
      </c>
      <c r="I975" s="1" t="str">
        <f t="shared" si="63"/>
        <v>Other</v>
      </c>
      <c r="J975" s="1">
        <f t="shared" si="64"/>
        <v>464410.33</v>
      </c>
    </row>
    <row r="976" spans="1:10" ht="12.75">
      <c r="A976" s="1" t="s">
        <v>18</v>
      </c>
      <c r="B976" s="1" t="s">
        <v>5</v>
      </c>
      <c r="C976" s="1" t="s">
        <v>100</v>
      </c>
      <c r="D976" s="2">
        <v>44796</v>
      </c>
      <c r="E976" s="1" t="s">
        <v>432</v>
      </c>
      <c r="F976" s="5">
        <f t="shared" si="61"/>
        <v>994</v>
      </c>
      <c r="G976" s="1">
        <v>57</v>
      </c>
      <c r="H976" s="1" t="str">
        <f t="shared" si="62"/>
        <v>High</v>
      </c>
      <c r="I976" s="1" t="str">
        <f t="shared" si="63"/>
        <v>Other</v>
      </c>
      <c r="J976" s="1">
        <f t="shared" si="64"/>
        <v>464410.33</v>
      </c>
    </row>
    <row r="977" spans="1:10" ht="12.75">
      <c r="A977" s="1" t="s">
        <v>25</v>
      </c>
      <c r="B977" s="1" t="s">
        <v>54</v>
      </c>
      <c r="C977" s="1" t="s">
        <v>51</v>
      </c>
      <c r="D977" s="2">
        <v>44799</v>
      </c>
      <c r="E977" s="1" t="s">
        <v>820</v>
      </c>
      <c r="F977" s="5">
        <f t="shared" si="61"/>
        <v>2268</v>
      </c>
      <c r="G977" s="1">
        <v>42</v>
      </c>
      <c r="H977" s="1" t="str">
        <f t="shared" si="62"/>
        <v>High</v>
      </c>
      <c r="I977" s="1" t="str">
        <f t="shared" si="63"/>
        <v>Other</v>
      </c>
      <c r="J977" s="1">
        <f t="shared" si="64"/>
        <v>464410.33</v>
      </c>
    </row>
    <row r="978" spans="1:10" ht="12.75">
      <c r="A978" s="1" t="s">
        <v>20</v>
      </c>
      <c r="B978" s="1" t="s">
        <v>5</v>
      </c>
      <c r="C978" s="1" t="s">
        <v>60</v>
      </c>
      <c r="D978" s="2">
        <v>44629</v>
      </c>
      <c r="E978" s="1" t="s">
        <v>821</v>
      </c>
      <c r="F978" s="5">
        <f t="shared" si="61"/>
        <v>574</v>
      </c>
      <c r="G978" s="1">
        <v>156</v>
      </c>
      <c r="H978" s="1" t="str">
        <f t="shared" si="62"/>
        <v>Medium</v>
      </c>
      <c r="I978" s="1" t="str">
        <f t="shared" si="63"/>
        <v>Other</v>
      </c>
      <c r="J978" s="1">
        <f t="shared" si="64"/>
        <v>464410.33</v>
      </c>
    </row>
    <row r="979" spans="1:10" ht="12.75">
      <c r="A979" s="1" t="s">
        <v>12</v>
      </c>
      <c r="B979" s="1" t="s">
        <v>39</v>
      </c>
      <c r="C979" s="1" t="s">
        <v>65</v>
      </c>
      <c r="D979" s="2">
        <v>44671</v>
      </c>
      <c r="E979" s="1" t="s">
        <v>822</v>
      </c>
      <c r="F979" s="5">
        <f t="shared" si="61"/>
        <v>1792</v>
      </c>
      <c r="G979" s="1">
        <v>23</v>
      </c>
      <c r="H979" s="1" t="str">
        <f t="shared" si="62"/>
        <v>High</v>
      </c>
      <c r="I979" s="1" t="str">
        <f t="shared" si="63"/>
        <v>Other</v>
      </c>
      <c r="J979" s="1">
        <f t="shared" si="64"/>
        <v>464410.33</v>
      </c>
    </row>
    <row r="980" spans="1:10" ht="12.75">
      <c r="A980" s="1" t="s">
        <v>2</v>
      </c>
      <c r="B980" s="1" t="s">
        <v>62</v>
      </c>
      <c r="C980" s="1" t="s">
        <v>126</v>
      </c>
      <c r="D980" s="2">
        <v>44722</v>
      </c>
      <c r="E980" s="1" t="s">
        <v>700</v>
      </c>
      <c r="F980" s="5">
        <f t="shared" si="61"/>
        <v>4844</v>
      </c>
      <c r="G980" s="1">
        <v>539</v>
      </c>
      <c r="H980" s="1" t="str">
        <f t="shared" si="62"/>
        <v>High</v>
      </c>
      <c r="I980" s="1" t="str">
        <f t="shared" si="63"/>
        <v>Other</v>
      </c>
      <c r="J980" s="1">
        <f t="shared" si="64"/>
        <v>464410.33</v>
      </c>
    </row>
    <row r="981" spans="1:10" ht="12.75">
      <c r="A981" s="1" t="s">
        <v>13</v>
      </c>
      <c r="B981" s="1" t="s">
        <v>5</v>
      </c>
      <c r="C981" s="1" t="s">
        <v>68</v>
      </c>
      <c r="D981" s="2">
        <v>44600</v>
      </c>
      <c r="E981" s="1" t="s">
        <v>99</v>
      </c>
      <c r="F981" s="5">
        <f t="shared" si="61"/>
        <v>938</v>
      </c>
      <c r="G981" s="1">
        <v>158</v>
      </c>
      <c r="H981" s="1" t="str">
        <f t="shared" si="62"/>
        <v>High</v>
      </c>
      <c r="I981" s="1" t="str">
        <f t="shared" si="63"/>
        <v>Other</v>
      </c>
      <c r="J981" s="1">
        <f t="shared" si="64"/>
        <v>459566.33000000007</v>
      </c>
    </row>
    <row r="982" spans="1:10" ht="12.75">
      <c r="A982" s="1" t="s">
        <v>7</v>
      </c>
      <c r="B982" s="1" t="s">
        <v>5</v>
      </c>
      <c r="C982" s="1" t="s">
        <v>84</v>
      </c>
      <c r="D982" s="2">
        <v>44798</v>
      </c>
      <c r="E982" s="1" t="s">
        <v>744</v>
      </c>
      <c r="F982" s="5">
        <f t="shared" si="61"/>
        <v>4879</v>
      </c>
      <c r="G982" s="1">
        <v>22</v>
      </c>
      <c r="H982" s="1" t="str">
        <f t="shared" si="62"/>
        <v>High</v>
      </c>
      <c r="I982" s="1" t="str">
        <f t="shared" si="63"/>
        <v>Other</v>
      </c>
      <c r="J982" s="1">
        <f t="shared" si="64"/>
        <v>459566.33000000007</v>
      </c>
    </row>
    <row r="983" spans="1:10" ht="12.75">
      <c r="A983" s="1" t="s">
        <v>21</v>
      </c>
      <c r="B983" s="1" t="s">
        <v>42</v>
      </c>
      <c r="C983" s="1" t="s">
        <v>45</v>
      </c>
      <c r="D983" s="2">
        <v>44608</v>
      </c>
      <c r="E983" s="1" t="s">
        <v>823</v>
      </c>
      <c r="F983" s="5">
        <f t="shared" si="61"/>
        <v>9107</v>
      </c>
      <c r="G983" s="1">
        <v>73</v>
      </c>
      <c r="H983" s="1" t="str">
        <f t="shared" si="62"/>
        <v>High</v>
      </c>
      <c r="I983" s="1" t="str">
        <f t="shared" si="63"/>
        <v>Other</v>
      </c>
      <c r="J983" s="1">
        <f t="shared" si="64"/>
        <v>459566.33000000007</v>
      </c>
    </row>
    <row r="984" spans="1:10" ht="12.75">
      <c r="A984" s="1" t="s">
        <v>6</v>
      </c>
      <c r="B984" s="1" t="s">
        <v>39</v>
      </c>
      <c r="C984" s="1" t="s">
        <v>51</v>
      </c>
      <c r="D984" s="2">
        <v>44711</v>
      </c>
      <c r="E984" s="1" t="s">
        <v>824</v>
      </c>
      <c r="F984" s="5">
        <f t="shared" si="61"/>
        <v>12187</v>
      </c>
      <c r="G984" s="1">
        <v>27</v>
      </c>
      <c r="H984" s="1" t="str">
        <f t="shared" si="62"/>
        <v>High</v>
      </c>
      <c r="I984" s="1" t="str">
        <f t="shared" si="63"/>
        <v>Other</v>
      </c>
      <c r="J984" s="1">
        <f t="shared" si="64"/>
        <v>459566.33000000007</v>
      </c>
    </row>
    <row r="985" spans="1:10" ht="12.75">
      <c r="A985" s="1" t="s">
        <v>20</v>
      </c>
      <c r="B985" s="1" t="s">
        <v>54</v>
      </c>
      <c r="C985" s="1" t="s">
        <v>55</v>
      </c>
      <c r="D985" s="2">
        <v>44741</v>
      </c>
      <c r="E985" s="1" t="s">
        <v>825</v>
      </c>
      <c r="F985" s="5">
        <f t="shared" si="61"/>
        <v>5670</v>
      </c>
      <c r="G985" s="1">
        <v>64</v>
      </c>
      <c r="H985" s="1" t="str">
        <f t="shared" si="62"/>
        <v>High</v>
      </c>
      <c r="I985" s="1" t="str">
        <f t="shared" si="63"/>
        <v>Other</v>
      </c>
      <c r="J985" s="1">
        <f t="shared" si="64"/>
        <v>459566.33000000007</v>
      </c>
    </row>
    <row r="986" spans="1:10" ht="12.75">
      <c r="A986" s="1" t="s">
        <v>20</v>
      </c>
      <c r="B986" s="1" t="s">
        <v>59</v>
      </c>
      <c r="C986" s="1" t="s">
        <v>72</v>
      </c>
      <c r="D986" s="2">
        <v>44728</v>
      </c>
      <c r="E986" s="1" t="s">
        <v>180</v>
      </c>
      <c r="F986" s="5">
        <f t="shared" si="61"/>
        <v>476</v>
      </c>
      <c r="G986" s="1">
        <v>133</v>
      </c>
      <c r="H986" s="1" t="str">
        <f t="shared" si="62"/>
        <v>Low</v>
      </c>
      <c r="I986" s="1" t="str">
        <f t="shared" si="63"/>
        <v>Other</v>
      </c>
      <c r="J986" s="1">
        <f t="shared" si="64"/>
        <v>459566.33000000007</v>
      </c>
    </row>
    <row r="987" spans="1:10" ht="12.75">
      <c r="A987" s="1" t="s">
        <v>7</v>
      </c>
      <c r="B987" s="1" t="s">
        <v>39</v>
      </c>
      <c r="C987" s="1" t="s">
        <v>126</v>
      </c>
      <c r="D987" s="2">
        <v>44624</v>
      </c>
      <c r="E987" s="1" t="s">
        <v>826</v>
      </c>
      <c r="F987" s="5">
        <f t="shared" si="61"/>
        <v>2681</v>
      </c>
      <c r="G987" s="1">
        <v>149</v>
      </c>
      <c r="H987" s="1" t="str">
        <f t="shared" si="62"/>
        <v>High</v>
      </c>
      <c r="I987" s="1" t="str">
        <f t="shared" si="63"/>
        <v>Other</v>
      </c>
      <c r="J987" s="1">
        <f t="shared" si="64"/>
        <v>459566.33000000007</v>
      </c>
    </row>
    <row r="988" spans="1:10" ht="12.75">
      <c r="A988" s="1" t="s">
        <v>24</v>
      </c>
      <c r="B988" s="1" t="s">
        <v>54</v>
      </c>
      <c r="C988" s="1" t="s">
        <v>45</v>
      </c>
      <c r="D988" s="2">
        <v>44635</v>
      </c>
      <c r="E988" s="1" t="s">
        <v>827</v>
      </c>
      <c r="F988" s="5">
        <f t="shared" si="61"/>
        <v>1533</v>
      </c>
      <c r="G988" s="1">
        <v>434</v>
      </c>
      <c r="H988" s="1" t="str">
        <f t="shared" si="62"/>
        <v>High</v>
      </c>
      <c r="I988" s="1" t="str">
        <f t="shared" si="63"/>
        <v>Other</v>
      </c>
      <c r="J988" s="1">
        <f t="shared" si="64"/>
        <v>459566.33000000007</v>
      </c>
    </row>
    <row r="989" spans="1:10" ht="12.75">
      <c r="A989" s="1" t="s">
        <v>24</v>
      </c>
      <c r="B989" s="1" t="s">
        <v>54</v>
      </c>
      <c r="C989" s="1" t="s">
        <v>55</v>
      </c>
      <c r="D989" s="2">
        <v>44588</v>
      </c>
      <c r="E989" s="1" t="s">
        <v>828</v>
      </c>
      <c r="F989" s="5">
        <f t="shared" si="61"/>
        <v>9765</v>
      </c>
      <c r="G989" s="1">
        <v>85</v>
      </c>
      <c r="H989" s="1" t="str">
        <f t="shared" si="62"/>
        <v>High</v>
      </c>
      <c r="I989" s="1" t="str">
        <f t="shared" si="63"/>
        <v>Other</v>
      </c>
      <c r="J989" s="1">
        <f t="shared" si="64"/>
        <v>459566.33000000007</v>
      </c>
    </row>
    <row r="990" spans="1:10" ht="12.75">
      <c r="A990" s="1" t="s">
        <v>28</v>
      </c>
      <c r="B990" s="1" t="s">
        <v>62</v>
      </c>
      <c r="C990" s="1" t="s">
        <v>65</v>
      </c>
      <c r="D990" s="2">
        <v>44747</v>
      </c>
      <c r="E990" s="1" t="s">
        <v>432</v>
      </c>
      <c r="F990" s="5">
        <f t="shared" si="61"/>
        <v>994</v>
      </c>
      <c r="G990" s="1">
        <v>118</v>
      </c>
      <c r="H990" s="1" t="str">
        <f t="shared" si="62"/>
        <v>High</v>
      </c>
      <c r="I990" s="1" t="str">
        <f t="shared" si="63"/>
        <v>Other</v>
      </c>
      <c r="J990" s="1">
        <f t="shared" si="64"/>
        <v>459566.33000000007</v>
      </c>
    </row>
    <row r="991" spans="1:10" ht="12.75">
      <c r="A991" s="1" t="s">
        <v>16</v>
      </c>
      <c r="B991" s="1" t="s">
        <v>59</v>
      </c>
      <c r="C991" s="1" t="s">
        <v>126</v>
      </c>
      <c r="D991" s="2">
        <v>44649</v>
      </c>
      <c r="E991" s="1" t="s">
        <v>829</v>
      </c>
      <c r="F991" s="5">
        <f t="shared" si="61"/>
        <v>3318</v>
      </c>
      <c r="G991" s="1">
        <v>299</v>
      </c>
      <c r="H991" s="1" t="str">
        <f t="shared" si="62"/>
        <v>High</v>
      </c>
      <c r="I991" s="1" t="str">
        <f t="shared" si="63"/>
        <v>Other</v>
      </c>
      <c r="J991" s="1">
        <f t="shared" si="64"/>
        <v>459566.33000000007</v>
      </c>
    </row>
    <row r="992" spans="1:10" ht="12.75">
      <c r="A992" s="1" t="s">
        <v>2</v>
      </c>
      <c r="B992" s="1" t="s">
        <v>62</v>
      </c>
      <c r="C992" s="1" t="s">
        <v>91</v>
      </c>
      <c r="D992" s="2">
        <v>44693</v>
      </c>
      <c r="E992" s="1" t="s">
        <v>830</v>
      </c>
      <c r="F992" s="5">
        <f t="shared" si="61"/>
        <v>4214</v>
      </c>
      <c r="G992" s="1">
        <v>35</v>
      </c>
      <c r="H992" s="1" t="str">
        <f t="shared" si="62"/>
        <v>High</v>
      </c>
      <c r="I992" s="1" t="str">
        <f t="shared" si="63"/>
        <v>Other</v>
      </c>
      <c r="J992" s="1">
        <f t="shared" si="64"/>
        <v>459566.33000000007</v>
      </c>
    </row>
    <row r="993" spans="1:10" ht="12.75">
      <c r="A993" s="1" t="s">
        <v>22</v>
      </c>
      <c r="B993" s="1" t="s">
        <v>59</v>
      </c>
      <c r="C993" s="1" t="s">
        <v>65</v>
      </c>
      <c r="D993" s="2">
        <v>44631</v>
      </c>
      <c r="E993" s="1" t="s">
        <v>331</v>
      </c>
      <c r="F993" s="5">
        <f t="shared" si="61"/>
        <v>7714</v>
      </c>
      <c r="G993" s="1">
        <v>44</v>
      </c>
      <c r="H993" s="1" t="str">
        <f t="shared" si="62"/>
        <v>High</v>
      </c>
      <c r="I993" s="1" t="str">
        <f t="shared" si="63"/>
        <v>Other</v>
      </c>
      <c r="J993" s="1">
        <f t="shared" si="64"/>
        <v>455352.33</v>
      </c>
    </row>
    <row r="994" spans="1:10" ht="12.75">
      <c r="A994" s="1" t="s">
        <v>7</v>
      </c>
      <c r="B994" s="1" t="s">
        <v>54</v>
      </c>
      <c r="C994" s="1" t="s">
        <v>63</v>
      </c>
      <c r="D994" s="2">
        <v>44753</v>
      </c>
      <c r="E994" s="1" t="s">
        <v>831</v>
      </c>
      <c r="F994" s="5">
        <f t="shared" si="61"/>
        <v>4690</v>
      </c>
      <c r="G994" s="1">
        <v>299</v>
      </c>
      <c r="H994" s="1" t="str">
        <f t="shared" si="62"/>
        <v>High</v>
      </c>
      <c r="I994" s="1" t="str">
        <f t="shared" si="63"/>
        <v>Other</v>
      </c>
      <c r="J994" s="1">
        <f t="shared" si="64"/>
        <v>455352.33</v>
      </c>
    </row>
    <row r="995" spans="1:10" ht="12.75">
      <c r="A995" s="1" t="s">
        <v>23</v>
      </c>
      <c r="B995" s="1" t="s">
        <v>54</v>
      </c>
      <c r="C995" s="1" t="s">
        <v>102</v>
      </c>
      <c r="D995" s="2">
        <v>44774</v>
      </c>
      <c r="E995" s="1" t="s">
        <v>832</v>
      </c>
      <c r="F995" s="5">
        <f t="shared" si="61"/>
        <v>13062</v>
      </c>
      <c r="G995" s="1">
        <v>62</v>
      </c>
      <c r="H995" s="1" t="str">
        <f t="shared" si="62"/>
        <v>High</v>
      </c>
      <c r="I995" s="1" t="str">
        <f t="shared" si="63"/>
        <v>Other</v>
      </c>
      <c r="J995" s="1">
        <f t="shared" si="64"/>
        <v>455352.33</v>
      </c>
    </row>
    <row r="996" spans="1:10" ht="12.75">
      <c r="A996" s="1" t="s">
        <v>23</v>
      </c>
      <c r="B996" s="1" t="s">
        <v>39</v>
      </c>
      <c r="C996" s="1" t="s">
        <v>76</v>
      </c>
      <c r="D996" s="2">
        <v>44608</v>
      </c>
      <c r="E996" s="1" t="s">
        <v>833</v>
      </c>
      <c r="F996" s="5">
        <f t="shared" si="61"/>
        <v>12488</v>
      </c>
      <c r="G996" s="1">
        <v>200</v>
      </c>
      <c r="H996" s="1" t="str">
        <f t="shared" si="62"/>
        <v>High</v>
      </c>
      <c r="I996" s="1" t="str">
        <f t="shared" si="63"/>
        <v>Other</v>
      </c>
      <c r="J996" s="1">
        <f t="shared" si="64"/>
        <v>455352.33</v>
      </c>
    </row>
    <row r="997" spans="1:10" ht="12.75">
      <c r="A997" s="1" t="s">
        <v>24</v>
      </c>
      <c r="B997" s="1" t="s">
        <v>59</v>
      </c>
      <c r="C997" s="1" t="s">
        <v>52</v>
      </c>
      <c r="D997" s="2">
        <v>44664</v>
      </c>
      <c r="E997" s="1" t="s">
        <v>834</v>
      </c>
      <c r="F997" s="5">
        <f t="shared" si="61"/>
        <v>14147</v>
      </c>
      <c r="G997" s="1">
        <v>235</v>
      </c>
      <c r="H997" s="1" t="str">
        <f t="shared" si="62"/>
        <v>High</v>
      </c>
      <c r="I997" s="1" t="str">
        <f t="shared" si="63"/>
        <v>Other</v>
      </c>
      <c r="J997" s="1">
        <f t="shared" si="64"/>
        <v>455352.33</v>
      </c>
    </row>
    <row r="998" spans="1:10" ht="12.75">
      <c r="A998" s="1" t="s">
        <v>22</v>
      </c>
      <c r="B998" s="1" t="s">
        <v>42</v>
      </c>
      <c r="C998" s="1" t="s">
        <v>102</v>
      </c>
      <c r="D998" s="2">
        <v>44606</v>
      </c>
      <c r="E998" s="1" t="s">
        <v>158</v>
      </c>
      <c r="F998" s="5">
        <f t="shared" si="61"/>
        <v>49</v>
      </c>
      <c r="G998" s="1">
        <v>363</v>
      </c>
      <c r="H998" s="1" t="str">
        <f t="shared" si="62"/>
        <v>Low</v>
      </c>
      <c r="I998" s="1" t="str">
        <f t="shared" si="63"/>
        <v>Other</v>
      </c>
      <c r="J998" s="1">
        <f t="shared" si="64"/>
        <v>455352.33</v>
      </c>
    </row>
    <row r="999" spans="1:10" ht="12.75">
      <c r="A999" s="1" t="s">
        <v>17</v>
      </c>
      <c r="B999" s="1" t="s">
        <v>5</v>
      </c>
      <c r="C999" s="1" t="s">
        <v>45</v>
      </c>
      <c r="D999" s="2">
        <v>44634</v>
      </c>
      <c r="E999" s="1" t="s">
        <v>835</v>
      </c>
      <c r="F999" s="5">
        <f t="shared" si="61"/>
        <v>10199</v>
      </c>
      <c r="G999" s="1">
        <v>68</v>
      </c>
      <c r="H999" s="1" t="str">
        <f t="shared" si="62"/>
        <v>High</v>
      </c>
      <c r="I999" s="1" t="str">
        <f t="shared" si="63"/>
        <v>Other</v>
      </c>
      <c r="J999" s="1">
        <f t="shared" si="64"/>
        <v>455352.33</v>
      </c>
    </row>
    <row r="1000" spans="1:10" ht="12.75">
      <c r="A1000" s="1" t="s">
        <v>22</v>
      </c>
      <c r="B1000" s="1" t="s">
        <v>5</v>
      </c>
      <c r="C1000" s="1" t="s">
        <v>76</v>
      </c>
      <c r="D1000" s="2">
        <v>44677</v>
      </c>
      <c r="E1000" s="1" t="s">
        <v>836</v>
      </c>
      <c r="F1000" s="5">
        <f t="shared" si="61"/>
        <v>11389</v>
      </c>
      <c r="G1000" s="1">
        <v>26</v>
      </c>
      <c r="H1000" s="1" t="str">
        <f t="shared" si="62"/>
        <v>High</v>
      </c>
      <c r="I1000" s="1" t="str">
        <f t="shared" si="63"/>
        <v>Other</v>
      </c>
      <c r="J1000" s="1">
        <f t="shared" si="64"/>
        <v>455352.33</v>
      </c>
    </row>
    <row r="1001" spans="1:10" ht="12.75">
      <c r="A1001" s="1" t="s">
        <v>11</v>
      </c>
      <c r="B1001" s="1" t="s">
        <v>62</v>
      </c>
      <c r="C1001" s="1" t="s">
        <v>86</v>
      </c>
      <c r="D1001" s="2">
        <v>44656</v>
      </c>
      <c r="E1001" s="1" t="s">
        <v>837</v>
      </c>
      <c r="F1001" s="5">
        <f t="shared" si="61"/>
        <v>3584</v>
      </c>
      <c r="G1001" s="1">
        <v>200</v>
      </c>
      <c r="H1001" s="1" t="str">
        <f t="shared" si="62"/>
        <v>High</v>
      </c>
      <c r="I1001" s="1" t="str">
        <f t="shared" si="63"/>
        <v>Other</v>
      </c>
      <c r="J1001" s="1">
        <f t="shared" si="64"/>
        <v>455352.33</v>
      </c>
    </row>
    <row r="1002" spans="1:10" ht="12.75">
      <c r="A1002" s="1" t="s">
        <v>25</v>
      </c>
      <c r="B1002" s="1" t="s">
        <v>62</v>
      </c>
      <c r="C1002" s="1" t="s">
        <v>65</v>
      </c>
      <c r="D1002" s="2">
        <v>44623</v>
      </c>
      <c r="E1002" s="1" t="s">
        <v>838</v>
      </c>
      <c r="F1002" s="5">
        <f t="shared" si="61"/>
        <v>12481</v>
      </c>
      <c r="G1002" s="1">
        <v>264</v>
      </c>
      <c r="H1002" s="1" t="str">
        <f t="shared" si="62"/>
        <v>High</v>
      </c>
      <c r="I1002" s="1" t="str">
        <f t="shared" si="63"/>
        <v>Other</v>
      </c>
      <c r="J1002" s="1">
        <f t="shared" si="64"/>
        <v>455352.33</v>
      </c>
    </row>
    <row r="1003" spans="1:10" ht="12.75">
      <c r="A1003" s="1" t="s">
        <v>8</v>
      </c>
      <c r="B1003" s="1" t="s">
        <v>59</v>
      </c>
      <c r="C1003" s="1" t="s">
        <v>76</v>
      </c>
      <c r="D1003" s="2">
        <v>44725</v>
      </c>
      <c r="E1003" s="1" t="s">
        <v>638</v>
      </c>
      <c r="F1003" s="5">
        <f t="shared" si="61"/>
        <v>2107</v>
      </c>
      <c r="G1003" s="1">
        <v>175</v>
      </c>
      <c r="H1003" s="1" t="str">
        <f t="shared" si="62"/>
        <v>High</v>
      </c>
      <c r="I1003" s="1" t="str">
        <f t="shared" si="63"/>
        <v>Other</v>
      </c>
      <c r="J1003" s="1">
        <f t="shared" si="64"/>
        <v>455352.33</v>
      </c>
    </row>
    <row r="1004" spans="1:10" ht="12.75">
      <c r="A1004" s="1" t="s">
        <v>14</v>
      </c>
      <c r="B1004" s="1" t="s">
        <v>54</v>
      </c>
      <c r="C1004" s="1" t="s">
        <v>147</v>
      </c>
      <c r="D1004" s="2">
        <v>44606</v>
      </c>
      <c r="E1004" s="1" t="s">
        <v>839</v>
      </c>
      <c r="F1004" s="5">
        <f t="shared" si="61"/>
        <v>8603</v>
      </c>
      <c r="G1004" s="1">
        <v>352</v>
      </c>
      <c r="H1004" s="1" t="str">
        <f t="shared" si="62"/>
        <v>High</v>
      </c>
      <c r="I1004" s="1" t="str">
        <f t="shared" si="63"/>
        <v>Other</v>
      </c>
      <c r="J1004" s="1">
        <f t="shared" si="64"/>
        <v>455352.33</v>
      </c>
    </row>
    <row r="1005" spans="1:10" ht="12.75">
      <c r="A1005" s="1" t="s">
        <v>26</v>
      </c>
      <c r="B1005" s="1" t="s">
        <v>54</v>
      </c>
      <c r="C1005" s="1" t="s">
        <v>51</v>
      </c>
      <c r="D1005" s="2">
        <v>44669</v>
      </c>
      <c r="E1005" s="1" t="s">
        <v>659</v>
      </c>
      <c r="F1005" s="5">
        <f t="shared" si="61"/>
        <v>7483</v>
      </c>
      <c r="G1005" s="1">
        <v>183</v>
      </c>
      <c r="H1005" s="1" t="str">
        <f t="shared" si="62"/>
        <v>High</v>
      </c>
      <c r="I1005" s="1" t="str">
        <f t="shared" si="63"/>
        <v>Other</v>
      </c>
      <c r="J1005" s="1">
        <f t="shared" si="64"/>
        <v>455352.33</v>
      </c>
    </row>
    <row r="1006" spans="1:10" ht="12.75">
      <c r="A1006" s="1" t="s">
        <v>22</v>
      </c>
      <c r="B1006" s="1" t="s">
        <v>54</v>
      </c>
      <c r="C1006" s="1" t="s">
        <v>43</v>
      </c>
      <c r="D1006" s="2">
        <v>44593</v>
      </c>
      <c r="E1006" s="1" t="s">
        <v>541</v>
      </c>
      <c r="F1006" s="5">
        <f t="shared" si="61"/>
        <v>3381</v>
      </c>
      <c r="G1006" s="1">
        <v>417</v>
      </c>
      <c r="H1006" s="1" t="str">
        <f t="shared" si="62"/>
        <v>High</v>
      </c>
      <c r="I1006" s="1" t="str">
        <f t="shared" si="63"/>
        <v>Other</v>
      </c>
      <c r="J1006" s="1">
        <f t="shared" si="64"/>
        <v>455352.33</v>
      </c>
    </row>
    <row r="1007" spans="1:10" ht="12.75">
      <c r="A1007" s="1" t="s">
        <v>21</v>
      </c>
      <c r="B1007" s="1" t="s">
        <v>54</v>
      </c>
      <c r="C1007" s="1" t="s">
        <v>60</v>
      </c>
      <c r="D1007" s="2">
        <v>44777</v>
      </c>
      <c r="E1007" s="1" t="s">
        <v>127</v>
      </c>
      <c r="F1007" s="5">
        <f t="shared" si="61"/>
        <v>2030</v>
      </c>
      <c r="G1007" s="1">
        <v>146</v>
      </c>
      <c r="H1007" s="1" t="str">
        <f t="shared" si="62"/>
        <v>High</v>
      </c>
      <c r="I1007" s="1" t="str">
        <f t="shared" si="63"/>
        <v>Other</v>
      </c>
      <c r="J1007" s="1">
        <f t="shared" si="64"/>
        <v>455352.33</v>
      </c>
    </row>
    <row r="1008" spans="1:10" ht="12.75">
      <c r="A1008" s="1" t="s">
        <v>27</v>
      </c>
      <c r="B1008" s="1" t="s">
        <v>54</v>
      </c>
      <c r="C1008" s="1" t="s">
        <v>91</v>
      </c>
      <c r="D1008" s="2">
        <v>44656</v>
      </c>
      <c r="E1008" s="1" t="s">
        <v>840</v>
      </c>
      <c r="F1008" s="5">
        <f t="shared" si="61"/>
        <v>6559</v>
      </c>
      <c r="G1008" s="1">
        <v>158</v>
      </c>
      <c r="H1008" s="1" t="str">
        <f t="shared" si="62"/>
        <v>High</v>
      </c>
      <c r="I1008" s="1" t="str">
        <f t="shared" si="63"/>
        <v>Other</v>
      </c>
      <c r="J1008" s="1">
        <f t="shared" si="64"/>
        <v>455352.33</v>
      </c>
    </row>
    <row r="1009" spans="1:10" ht="12.75">
      <c r="A1009" s="1" t="s">
        <v>18</v>
      </c>
      <c r="B1009" s="1" t="s">
        <v>5</v>
      </c>
      <c r="C1009" s="1" t="s">
        <v>51</v>
      </c>
      <c r="D1009" s="2">
        <v>44587</v>
      </c>
      <c r="E1009" s="1" t="s">
        <v>695</v>
      </c>
      <c r="F1009" s="5">
        <f t="shared" si="61"/>
        <v>10822</v>
      </c>
      <c r="G1009" s="1">
        <v>168</v>
      </c>
      <c r="H1009" s="1" t="str">
        <f t="shared" si="62"/>
        <v>High</v>
      </c>
      <c r="I1009" s="1" t="str">
        <f t="shared" si="63"/>
        <v>Other</v>
      </c>
      <c r="J1009" s="1">
        <f t="shared" si="64"/>
        <v>455352.33</v>
      </c>
    </row>
    <row r="1010" spans="1:10" ht="12.75">
      <c r="A1010" s="1" t="s">
        <v>8</v>
      </c>
      <c r="B1010" s="1" t="s">
        <v>39</v>
      </c>
      <c r="C1010" s="1" t="s">
        <v>52</v>
      </c>
      <c r="D1010" s="2">
        <v>44582</v>
      </c>
      <c r="E1010" s="1" t="s">
        <v>841</v>
      </c>
      <c r="F1010" s="5">
        <f t="shared" si="61"/>
        <v>18697</v>
      </c>
      <c r="G1010" s="1">
        <v>176</v>
      </c>
      <c r="H1010" s="1" t="str">
        <f t="shared" si="62"/>
        <v>High</v>
      </c>
      <c r="I1010" s="1" t="str">
        <f t="shared" si="63"/>
        <v>Other</v>
      </c>
      <c r="J1010" s="1">
        <f t="shared" si="64"/>
        <v>455352.33</v>
      </c>
    </row>
    <row r="1011" spans="1:10" ht="12.75">
      <c r="A1011" s="1" t="s">
        <v>8</v>
      </c>
      <c r="B1011" s="1" t="s">
        <v>62</v>
      </c>
      <c r="C1011" s="1" t="s">
        <v>52</v>
      </c>
      <c r="D1011" s="2">
        <v>44795</v>
      </c>
      <c r="E1011" s="1" t="s">
        <v>739</v>
      </c>
      <c r="F1011" s="5">
        <f t="shared" si="61"/>
        <v>5845</v>
      </c>
      <c r="G1011" s="1">
        <v>172</v>
      </c>
      <c r="H1011" s="1" t="str">
        <f t="shared" si="62"/>
        <v>High</v>
      </c>
      <c r="I1011" s="1" t="str">
        <f t="shared" si="63"/>
        <v>Other</v>
      </c>
      <c r="J1011" s="1">
        <f t="shared" si="64"/>
        <v>455352.33</v>
      </c>
    </row>
    <row r="1012" spans="1:10" ht="12.75">
      <c r="A1012" s="1" t="s">
        <v>8</v>
      </c>
      <c r="B1012" s="1" t="s">
        <v>39</v>
      </c>
      <c r="C1012" s="1" t="s">
        <v>65</v>
      </c>
      <c r="D1012" s="2">
        <v>44588</v>
      </c>
      <c r="E1012" s="1" t="s">
        <v>377</v>
      </c>
      <c r="F1012" s="5">
        <f t="shared" si="61"/>
        <v>2317</v>
      </c>
      <c r="G1012" s="1">
        <v>224</v>
      </c>
      <c r="H1012" s="1" t="str">
        <f t="shared" si="62"/>
        <v>High</v>
      </c>
      <c r="I1012" s="1" t="str">
        <f t="shared" si="63"/>
        <v>Other</v>
      </c>
      <c r="J1012" s="1">
        <f t="shared" si="64"/>
        <v>455352.33</v>
      </c>
    </row>
    <row r="1013" spans="1:10" ht="12.75">
      <c r="A1013" s="1" t="s">
        <v>19</v>
      </c>
      <c r="B1013" s="1" t="s">
        <v>39</v>
      </c>
      <c r="C1013" s="1" t="s">
        <v>55</v>
      </c>
      <c r="D1013" s="2">
        <v>44608</v>
      </c>
      <c r="E1013" s="1" t="s">
        <v>842</v>
      </c>
      <c r="F1013" s="5">
        <f t="shared" si="61"/>
        <v>10150</v>
      </c>
      <c r="G1013" s="1">
        <v>68</v>
      </c>
      <c r="H1013" s="1" t="str">
        <f t="shared" si="62"/>
        <v>High</v>
      </c>
      <c r="I1013" s="1" t="str">
        <f t="shared" si="63"/>
        <v>Other</v>
      </c>
      <c r="J1013" s="1">
        <f t="shared" si="64"/>
        <v>455352.33</v>
      </c>
    </row>
    <row r="1014" spans="1:10" ht="12.75">
      <c r="A1014" s="1" t="s">
        <v>21</v>
      </c>
      <c r="B1014" s="1" t="s">
        <v>59</v>
      </c>
      <c r="C1014" s="1" t="s">
        <v>100</v>
      </c>
      <c r="D1014" s="2">
        <v>44564</v>
      </c>
      <c r="E1014" s="1" t="s">
        <v>619</v>
      </c>
      <c r="F1014" s="5">
        <f t="shared" si="61"/>
        <v>3437</v>
      </c>
      <c r="G1014" s="1">
        <v>46</v>
      </c>
      <c r="H1014" s="1" t="str">
        <f t="shared" si="62"/>
        <v>High</v>
      </c>
      <c r="I1014" s="1" t="str">
        <f t="shared" si="63"/>
        <v>Other</v>
      </c>
      <c r="J1014" s="1">
        <f t="shared" si="64"/>
        <v>455352.33</v>
      </c>
    </row>
    <row r="1015" spans="1:10" ht="12.75">
      <c r="A1015" s="1" t="s">
        <v>18</v>
      </c>
      <c r="B1015" s="1" t="s">
        <v>59</v>
      </c>
      <c r="C1015" s="1" t="s">
        <v>84</v>
      </c>
      <c r="D1015" s="2">
        <v>44797</v>
      </c>
      <c r="E1015" s="1" t="s">
        <v>843</v>
      </c>
      <c r="F1015" s="5">
        <f t="shared" si="61"/>
        <v>4592</v>
      </c>
      <c r="G1015" s="1">
        <v>2</v>
      </c>
      <c r="H1015" s="1" t="str">
        <f t="shared" si="62"/>
        <v>High</v>
      </c>
      <c r="I1015" s="1" t="str">
        <f t="shared" si="63"/>
        <v>Other</v>
      </c>
      <c r="J1015" s="1">
        <f t="shared" si="64"/>
        <v>455352.33</v>
      </c>
    </row>
    <row r="1016" spans="1:10" ht="12.75">
      <c r="A1016" s="1" t="s">
        <v>22</v>
      </c>
      <c r="B1016" s="1" t="s">
        <v>59</v>
      </c>
      <c r="C1016" s="1" t="s">
        <v>76</v>
      </c>
      <c r="D1016" s="2">
        <v>44599</v>
      </c>
      <c r="E1016" s="1" t="s">
        <v>365</v>
      </c>
      <c r="F1016" s="5">
        <f t="shared" si="61"/>
        <v>5691</v>
      </c>
      <c r="G1016" s="1">
        <v>417</v>
      </c>
      <c r="H1016" s="1" t="str">
        <f t="shared" si="62"/>
        <v>High</v>
      </c>
      <c r="I1016" s="1" t="str">
        <f t="shared" si="63"/>
        <v>Other</v>
      </c>
      <c r="J1016" s="1">
        <f t="shared" si="64"/>
        <v>455352.33</v>
      </c>
    </row>
    <row r="1017" spans="1:10" ht="12.75">
      <c r="A1017" s="1" t="s">
        <v>2</v>
      </c>
      <c r="B1017" s="1" t="s">
        <v>5</v>
      </c>
      <c r="C1017" s="1" t="s">
        <v>49</v>
      </c>
      <c r="D1017" s="2">
        <v>44603</v>
      </c>
      <c r="E1017" s="1" t="s">
        <v>844</v>
      </c>
      <c r="F1017" s="5">
        <f t="shared" si="61"/>
        <v>4158</v>
      </c>
      <c r="G1017" s="1">
        <v>109</v>
      </c>
      <c r="H1017" s="1" t="str">
        <f t="shared" si="62"/>
        <v>High</v>
      </c>
      <c r="I1017" s="1" t="str">
        <f t="shared" si="63"/>
        <v>Top Local</v>
      </c>
      <c r="J1017" s="1">
        <f t="shared" si="64"/>
        <v>455352.33</v>
      </c>
    </row>
    <row r="1018" spans="1:10" ht="12.75">
      <c r="A1018" s="1" t="s">
        <v>8</v>
      </c>
      <c r="B1018" s="1" t="s">
        <v>62</v>
      </c>
      <c r="C1018" s="1" t="s">
        <v>68</v>
      </c>
      <c r="D1018" s="2">
        <v>44649</v>
      </c>
      <c r="E1018" s="1" t="s">
        <v>845</v>
      </c>
      <c r="F1018" s="5">
        <f t="shared" si="61"/>
        <v>5684</v>
      </c>
      <c r="G1018" s="1">
        <v>81</v>
      </c>
      <c r="H1018" s="1" t="str">
        <f t="shared" si="62"/>
        <v>High</v>
      </c>
      <c r="I1018" s="1" t="str">
        <f t="shared" si="63"/>
        <v>Other</v>
      </c>
      <c r="J1018" s="1">
        <f t="shared" si="64"/>
        <v>451194.33</v>
      </c>
    </row>
    <row r="1019" spans="1:10" ht="12.75">
      <c r="A1019" s="1" t="s">
        <v>14</v>
      </c>
      <c r="B1019" s="1" t="s">
        <v>59</v>
      </c>
      <c r="C1019" s="1" t="s">
        <v>45</v>
      </c>
      <c r="D1019" s="2">
        <v>44727</v>
      </c>
      <c r="E1019" s="1" t="s">
        <v>846</v>
      </c>
      <c r="F1019" s="5">
        <f t="shared" si="61"/>
        <v>693</v>
      </c>
      <c r="G1019" s="1">
        <v>350</v>
      </c>
      <c r="H1019" s="1" t="str">
        <f t="shared" si="62"/>
        <v>Medium</v>
      </c>
      <c r="I1019" s="1" t="str">
        <f t="shared" si="63"/>
        <v>Other</v>
      </c>
      <c r="J1019" s="1">
        <f t="shared" si="64"/>
        <v>451194.33</v>
      </c>
    </row>
    <row r="1020" spans="1:10" ht="12.75">
      <c r="A1020" s="1" t="s">
        <v>6</v>
      </c>
      <c r="B1020" s="1" t="s">
        <v>39</v>
      </c>
      <c r="C1020" s="1" t="s">
        <v>49</v>
      </c>
      <c r="D1020" s="2">
        <v>44677</v>
      </c>
      <c r="E1020" s="1" t="s">
        <v>847</v>
      </c>
      <c r="F1020" s="5">
        <f t="shared" si="61"/>
        <v>546</v>
      </c>
      <c r="G1020" s="1">
        <v>142</v>
      </c>
      <c r="H1020" s="1" t="str">
        <f t="shared" si="62"/>
        <v>Medium</v>
      </c>
      <c r="I1020" s="1" t="str">
        <f t="shared" si="63"/>
        <v>Other</v>
      </c>
      <c r="J1020" s="1">
        <f t="shared" si="64"/>
        <v>451194.33</v>
      </c>
    </row>
    <row r="1021" spans="1:10" ht="12.75">
      <c r="A1021" s="1" t="s">
        <v>7</v>
      </c>
      <c r="B1021" s="1" t="s">
        <v>5</v>
      </c>
      <c r="C1021" s="1" t="s">
        <v>68</v>
      </c>
      <c r="D1021" s="2">
        <v>44757</v>
      </c>
      <c r="E1021" s="1" t="s">
        <v>196</v>
      </c>
      <c r="F1021" s="5">
        <f t="shared" si="61"/>
        <v>4263</v>
      </c>
      <c r="G1021" s="1">
        <v>264</v>
      </c>
      <c r="H1021" s="1" t="str">
        <f t="shared" si="62"/>
        <v>High</v>
      </c>
      <c r="I1021" s="1" t="str">
        <f t="shared" si="63"/>
        <v>Other</v>
      </c>
      <c r="J1021" s="1">
        <f t="shared" si="64"/>
        <v>451194.33</v>
      </c>
    </row>
    <row r="1022" spans="1:10" ht="12.75">
      <c r="A1022" s="1" t="s">
        <v>28</v>
      </c>
      <c r="B1022" s="1" t="s">
        <v>42</v>
      </c>
      <c r="C1022" s="1" t="s">
        <v>68</v>
      </c>
      <c r="D1022" s="2">
        <v>44735</v>
      </c>
      <c r="E1022" s="1" t="s">
        <v>848</v>
      </c>
      <c r="F1022" s="5">
        <f t="shared" si="61"/>
        <v>1036</v>
      </c>
      <c r="G1022" s="1">
        <v>20</v>
      </c>
      <c r="H1022" s="1" t="str">
        <f t="shared" si="62"/>
        <v>High</v>
      </c>
      <c r="I1022" s="1" t="str">
        <f t="shared" si="63"/>
        <v>Other</v>
      </c>
      <c r="J1022" s="1">
        <f t="shared" si="64"/>
        <v>451194.33</v>
      </c>
    </row>
    <row r="1023" spans="1:10" ht="12.75">
      <c r="A1023" s="1" t="s">
        <v>6</v>
      </c>
      <c r="B1023" s="1" t="s">
        <v>5</v>
      </c>
      <c r="C1023" s="1" t="s">
        <v>122</v>
      </c>
      <c r="D1023" s="2">
        <v>44572</v>
      </c>
      <c r="E1023" s="1" t="s">
        <v>849</v>
      </c>
      <c r="F1023" s="5">
        <f t="shared" si="61"/>
        <v>13846</v>
      </c>
      <c r="G1023" s="1">
        <v>421</v>
      </c>
      <c r="H1023" s="1" t="str">
        <f t="shared" si="62"/>
        <v>High</v>
      </c>
      <c r="I1023" s="1" t="str">
        <f t="shared" si="63"/>
        <v>Other</v>
      </c>
      <c r="J1023" s="1">
        <f t="shared" si="64"/>
        <v>451194.33</v>
      </c>
    </row>
    <row r="1024" spans="1:10" ht="12.75">
      <c r="A1024" s="1" t="s">
        <v>28</v>
      </c>
      <c r="B1024" s="1" t="s">
        <v>39</v>
      </c>
      <c r="C1024" s="1" t="s">
        <v>55</v>
      </c>
      <c r="D1024" s="2">
        <v>44601</v>
      </c>
      <c r="E1024" s="1" t="s">
        <v>850</v>
      </c>
      <c r="F1024" s="5">
        <f t="shared" si="61"/>
        <v>2499</v>
      </c>
      <c r="G1024" s="1">
        <v>271</v>
      </c>
      <c r="H1024" s="1" t="str">
        <f t="shared" si="62"/>
        <v>High</v>
      </c>
      <c r="I1024" s="1" t="str">
        <f t="shared" si="63"/>
        <v>Other</v>
      </c>
      <c r="J1024" s="1">
        <f t="shared" si="64"/>
        <v>451194.33</v>
      </c>
    </row>
    <row r="1025" spans="1:10" ht="12.75">
      <c r="A1025" s="1" t="s">
        <v>10</v>
      </c>
      <c r="B1025" s="1" t="s">
        <v>39</v>
      </c>
      <c r="C1025" s="1" t="s">
        <v>91</v>
      </c>
      <c r="D1025" s="2">
        <v>44718</v>
      </c>
      <c r="E1025" s="1" t="s">
        <v>851</v>
      </c>
      <c r="F1025" s="5">
        <f t="shared" si="61"/>
        <v>10689</v>
      </c>
      <c r="G1025" s="1">
        <v>204</v>
      </c>
      <c r="H1025" s="1" t="str">
        <f t="shared" si="62"/>
        <v>High</v>
      </c>
      <c r="I1025" s="1" t="str">
        <f t="shared" si="63"/>
        <v>Other</v>
      </c>
      <c r="J1025" s="1">
        <f t="shared" si="64"/>
        <v>451194.33</v>
      </c>
    </row>
    <row r="1026" spans="1:10" ht="12.75">
      <c r="A1026" s="1" t="s">
        <v>21</v>
      </c>
      <c r="B1026" s="1" t="s">
        <v>39</v>
      </c>
      <c r="C1026" s="1" t="s">
        <v>126</v>
      </c>
      <c r="D1026" s="2">
        <v>44783</v>
      </c>
      <c r="E1026" s="1" t="s">
        <v>817</v>
      </c>
      <c r="F1026" s="5">
        <f t="shared" ref="F1026:F1089" si="65">VALUE(SUBSTITUTE(E1026,"$",""))</f>
        <v>5768</v>
      </c>
      <c r="G1026" s="1">
        <v>235</v>
      </c>
      <c r="H1026" s="1" t="str">
        <f t="shared" ref="H1026:H1089" si="66">IF(F1026&gt;800,"High",IF(F1026&gt;500,"Medium","Low"))</f>
        <v>High</v>
      </c>
      <c r="I1026" s="1" t="str">
        <f t="shared" ref="I1026:I1089" si="67">IF(AND(B1026="Australia",A1026="Mallorie Waber"),"Top Local","Other")</f>
        <v>Other</v>
      </c>
      <c r="J1026" s="1">
        <f t="shared" ref="J1026:J1089" si="68">SUMIF(A1026:A4306,"Mallorie Waber",F1026:F4306)</f>
        <v>451194.33</v>
      </c>
    </row>
    <row r="1027" spans="1:10" ht="12.75">
      <c r="A1027" s="1" t="s">
        <v>29</v>
      </c>
      <c r="B1027" s="1" t="s">
        <v>5</v>
      </c>
      <c r="C1027" s="1" t="s">
        <v>49</v>
      </c>
      <c r="D1027" s="2">
        <v>44565</v>
      </c>
      <c r="E1027" s="1" t="s">
        <v>852</v>
      </c>
      <c r="F1027" s="5">
        <f t="shared" si="65"/>
        <v>2226</v>
      </c>
      <c r="G1027" s="1">
        <v>46</v>
      </c>
      <c r="H1027" s="1" t="str">
        <f t="shared" si="66"/>
        <v>High</v>
      </c>
      <c r="I1027" s="1" t="str">
        <f t="shared" si="67"/>
        <v>Other</v>
      </c>
      <c r="J1027" s="1">
        <f t="shared" si="68"/>
        <v>451194.33</v>
      </c>
    </row>
    <row r="1028" spans="1:10" ht="12.75">
      <c r="A1028" s="1" t="s">
        <v>27</v>
      </c>
      <c r="B1028" s="1" t="s">
        <v>62</v>
      </c>
      <c r="C1028" s="1" t="s">
        <v>147</v>
      </c>
      <c r="D1028" s="2">
        <v>44659</v>
      </c>
      <c r="E1028" s="1" t="s">
        <v>853</v>
      </c>
      <c r="F1028" s="5">
        <f t="shared" si="65"/>
        <v>10262</v>
      </c>
      <c r="G1028" s="1">
        <v>15</v>
      </c>
      <c r="H1028" s="1" t="str">
        <f t="shared" si="66"/>
        <v>High</v>
      </c>
      <c r="I1028" s="1" t="str">
        <f t="shared" si="67"/>
        <v>Other</v>
      </c>
      <c r="J1028" s="1">
        <f t="shared" si="68"/>
        <v>451194.33</v>
      </c>
    </row>
    <row r="1029" spans="1:10" ht="12.75">
      <c r="A1029" s="1" t="s">
        <v>16</v>
      </c>
      <c r="B1029" s="1" t="s">
        <v>39</v>
      </c>
      <c r="C1029" s="1" t="s">
        <v>72</v>
      </c>
      <c r="D1029" s="2">
        <v>44622</v>
      </c>
      <c r="E1029" s="1" t="s">
        <v>854</v>
      </c>
      <c r="F1029" s="5">
        <f t="shared" si="65"/>
        <v>3864</v>
      </c>
      <c r="G1029" s="1">
        <v>430</v>
      </c>
      <c r="H1029" s="1" t="str">
        <f t="shared" si="66"/>
        <v>High</v>
      </c>
      <c r="I1029" s="1" t="str">
        <f t="shared" si="67"/>
        <v>Other</v>
      </c>
      <c r="J1029" s="1">
        <f t="shared" si="68"/>
        <v>451194.33</v>
      </c>
    </row>
    <row r="1030" spans="1:10" ht="12.75">
      <c r="A1030" s="1" t="s">
        <v>10</v>
      </c>
      <c r="B1030" s="1" t="s">
        <v>62</v>
      </c>
      <c r="C1030" s="1" t="s">
        <v>65</v>
      </c>
      <c r="D1030" s="2">
        <v>44727</v>
      </c>
      <c r="E1030" s="1" t="s">
        <v>855</v>
      </c>
      <c r="F1030" s="5">
        <f t="shared" si="65"/>
        <v>4900</v>
      </c>
      <c r="G1030" s="1">
        <v>709</v>
      </c>
      <c r="H1030" s="1" t="str">
        <f t="shared" si="66"/>
        <v>High</v>
      </c>
      <c r="I1030" s="1" t="str">
        <f t="shared" si="67"/>
        <v>Other</v>
      </c>
      <c r="J1030" s="1">
        <f t="shared" si="68"/>
        <v>451194.33</v>
      </c>
    </row>
    <row r="1031" spans="1:10" ht="12.75">
      <c r="A1031" s="1" t="s">
        <v>11</v>
      </c>
      <c r="B1031" s="1" t="s">
        <v>5</v>
      </c>
      <c r="C1031" s="1" t="s">
        <v>52</v>
      </c>
      <c r="D1031" s="2">
        <v>44606</v>
      </c>
      <c r="E1031" s="1" t="s">
        <v>747</v>
      </c>
      <c r="F1031" s="5">
        <f t="shared" si="65"/>
        <v>5250</v>
      </c>
      <c r="G1031" s="1">
        <v>47</v>
      </c>
      <c r="H1031" s="1" t="str">
        <f t="shared" si="66"/>
        <v>High</v>
      </c>
      <c r="I1031" s="1" t="str">
        <f t="shared" si="67"/>
        <v>Other</v>
      </c>
      <c r="J1031" s="1">
        <f t="shared" si="68"/>
        <v>451194.33</v>
      </c>
    </row>
    <row r="1032" spans="1:10" ht="12.75">
      <c r="A1032" s="1" t="s">
        <v>13</v>
      </c>
      <c r="B1032" s="1" t="s">
        <v>39</v>
      </c>
      <c r="C1032" s="1" t="s">
        <v>52</v>
      </c>
      <c r="D1032" s="2">
        <v>44747</v>
      </c>
      <c r="E1032" s="1" t="s">
        <v>768</v>
      </c>
      <c r="F1032" s="5">
        <f t="shared" si="65"/>
        <v>3507</v>
      </c>
      <c r="G1032" s="1">
        <v>380</v>
      </c>
      <c r="H1032" s="1" t="str">
        <f t="shared" si="66"/>
        <v>High</v>
      </c>
      <c r="I1032" s="1" t="str">
        <f t="shared" si="67"/>
        <v>Other</v>
      </c>
      <c r="J1032" s="1">
        <f t="shared" si="68"/>
        <v>451194.33</v>
      </c>
    </row>
    <row r="1033" spans="1:10" ht="12.75">
      <c r="A1033" s="1" t="s">
        <v>16</v>
      </c>
      <c r="B1033" s="1" t="s">
        <v>42</v>
      </c>
      <c r="C1033" s="1" t="s">
        <v>40</v>
      </c>
      <c r="D1033" s="2">
        <v>44573</v>
      </c>
      <c r="E1033" s="1" t="s">
        <v>751</v>
      </c>
      <c r="F1033" s="5">
        <f t="shared" si="65"/>
        <v>7413</v>
      </c>
      <c r="G1033" s="1">
        <v>465</v>
      </c>
      <c r="H1033" s="1" t="str">
        <f t="shared" si="66"/>
        <v>High</v>
      </c>
      <c r="I1033" s="1" t="str">
        <f t="shared" si="67"/>
        <v>Other</v>
      </c>
      <c r="J1033" s="1">
        <f t="shared" si="68"/>
        <v>451194.33</v>
      </c>
    </row>
    <row r="1034" spans="1:10" ht="12.75">
      <c r="A1034" s="1" t="s">
        <v>24</v>
      </c>
      <c r="B1034" s="1" t="s">
        <v>42</v>
      </c>
      <c r="C1034" s="1" t="s">
        <v>40</v>
      </c>
      <c r="D1034" s="2">
        <v>44623</v>
      </c>
      <c r="E1034" s="1" t="s">
        <v>856</v>
      </c>
      <c r="F1034" s="5">
        <f t="shared" si="65"/>
        <v>8155</v>
      </c>
      <c r="G1034" s="1">
        <v>96</v>
      </c>
      <c r="H1034" s="1" t="str">
        <f t="shared" si="66"/>
        <v>High</v>
      </c>
      <c r="I1034" s="1" t="str">
        <f t="shared" si="67"/>
        <v>Other</v>
      </c>
      <c r="J1034" s="1">
        <f t="shared" si="68"/>
        <v>451194.33</v>
      </c>
    </row>
    <row r="1035" spans="1:10" ht="12.75">
      <c r="A1035" s="1" t="s">
        <v>11</v>
      </c>
      <c r="B1035" s="1" t="s">
        <v>54</v>
      </c>
      <c r="C1035" s="1" t="s">
        <v>72</v>
      </c>
      <c r="D1035" s="2">
        <v>44699</v>
      </c>
      <c r="E1035" s="1" t="s">
        <v>857</v>
      </c>
      <c r="F1035" s="5">
        <f t="shared" si="65"/>
        <v>2478</v>
      </c>
      <c r="G1035" s="1">
        <v>188</v>
      </c>
      <c r="H1035" s="1" t="str">
        <f t="shared" si="66"/>
        <v>High</v>
      </c>
      <c r="I1035" s="1" t="str">
        <f t="shared" si="67"/>
        <v>Other</v>
      </c>
      <c r="J1035" s="1">
        <f t="shared" si="68"/>
        <v>451194.33</v>
      </c>
    </row>
    <row r="1036" spans="1:10" ht="12.75">
      <c r="A1036" s="1" t="s">
        <v>23</v>
      </c>
      <c r="B1036" s="1" t="s">
        <v>42</v>
      </c>
      <c r="C1036" s="1" t="s">
        <v>126</v>
      </c>
      <c r="D1036" s="2">
        <v>44770</v>
      </c>
      <c r="E1036" s="1" t="s">
        <v>858</v>
      </c>
      <c r="F1036" s="5">
        <f t="shared" si="65"/>
        <v>2471</v>
      </c>
      <c r="G1036" s="1">
        <v>202</v>
      </c>
      <c r="H1036" s="1" t="str">
        <f t="shared" si="66"/>
        <v>High</v>
      </c>
      <c r="I1036" s="1" t="str">
        <f t="shared" si="67"/>
        <v>Other</v>
      </c>
      <c r="J1036" s="1">
        <f t="shared" si="68"/>
        <v>451194.33</v>
      </c>
    </row>
    <row r="1037" spans="1:10" ht="12.75">
      <c r="A1037" s="1" t="s">
        <v>24</v>
      </c>
      <c r="B1037" s="1" t="s">
        <v>39</v>
      </c>
      <c r="C1037" s="1" t="s">
        <v>86</v>
      </c>
      <c r="D1037" s="2">
        <v>44599</v>
      </c>
      <c r="E1037" s="1" t="s">
        <v>859</v>
      </c>
      <c r="F1037" s="5">
        <f t="shared" si="65"/>
        <v>1666</v>
      </c>
      <c r="G1037" s="1">
        <v>106</v>
      </c>
      <c r="H1037" s="1" t="str">
        <f t="shared" si="66"/>
        <v>High</v>
      </c>
      <c r="I1037" s="1" t="str">
        <f t="shared" si="67"/>
        <v>Other</v>
      </c>
      <c r="J1037" s="1">
        <f t="shared" si="68"/>
        <v>451194.33</v>
      </c>
    </row>
    <row r="1038" spans="1:10" ht="12.75">
      <c r="A1038" s="1" t="s">
        <v>27</v>
      </c>
      <c r="B1038" s="1" t="s">
        <v>42</v>
      </c>
      <c r="C1038" s="1" t="s">
        <v>60</v>
      </c>
      <c r="D1038" s="2">
        <v>44711</v>
      </c>
      <c r="E1038" s="1" t="s">
        <v>799</v>
      </c>
      <c r="F1038" s="5">
        <f t="shared" si="65"/>
        <v>301</v>
      </c>
      <c r="G1038" s="1">
        <v>421</v>
      </c>
      <c r="H1038" s="1" t="str">
        <f t="shared" si="66"/>
        <v>Low</v>
      </c>
      <c r="I1038" s="1" t="str">
        <f t="shared" si="67"/>
        <v>Other</v>
      </c>
      <c r="J1038" s="1">
        <f t="shared" si="68"/>
        <v>451194.33</v>
      </c>
    </row>
    <row r="1039" spans="1:10" ht="12.75">
      <c r="A1039" s="1" t="s">
        <v>2</v>
      </c>
      <c r="B1039" s="1" t="s">
        <v>5</v>
      </c>
      <c r="C1039" s="1" t="s">
        <v>100</v>
      </c>
      <c r="D1039" s="2">
        <v>44676</v>
      </c>
      <c r="E1039" s="1" t="s">
        <v>860</v>
      </c>
      <c r="F1039" s="5">
        <f t="shared" si="65"/>
        <v>8400</v>
      </c>
      <c r="G1039" s="1">
        <v>27</v>
      </c>
      <c r="H1039" s="1" t="str">
        <f t="shared" si="66"/>
        <v>High</v>
      </c>
      <c r="I1039" s="1" t="str">
        <f t="shared" si="67"/>
        <v>Top Local</v>
      </c>
      <c r="J1039" s="1">
        <f t="shared" si="68"/>
        <v>451194.33</v>
      </c>
    </row>
    <row r="1040" spans="1:10" ht="12.75">
      <c r="A1040" s="1" t="s">
        <v>28</v>
      </c>
      <c r="B1040" s="1" t="s">
        <v>62</v>
      </c>
      <c r="C1040" s="1" t="s">
        <v>43</v>
      </c>
      <c r="D1040" s="2">
        <v>44608</v>
      </c>
      <c r="E1040" s="1" t="s">
        <v>861</v>
      </c>
      <c r="F1040" s="5">
        <f t="shared" si="65"/>
        <v>6139</v>
      </c>
      <c r="G1040" s="1">
        <v>45</v>
      </c>
      <c r="H1040" s="1" t="str">
        <f t="shared" si="66"/>
        <v>High</v>
      </c>
      <c r="I1040" s="1" t="str">
        <f t="shared" si="67"/>
        <v>Other</v>
      </c>
      <c r="J1040" s="1">
        <f t="shared" si="68"/>
        <v>442794.33</v>
      </c>
    </row>
    <row r="1041" spans="1:10" ht="12.75">
      <c r="A1041" s="1" t="s">
        <v>12</v>
      </c>
      <c r="B1041" s="1" t="s">
        <v>5</v>
      </c>
      <c r="C1041" s="1" t="s">
        <v>65</v>
      </c>
      <c r="D1041" s="2">
        <v>44685</v>
      </c>
      <c r="E1041" s="1" t="s">
        <v>391</v>
      </c>
      <c r="F1041" s="5">
        <f t="shared" si="65"/>
        <v>1288</v>
      </c>
      <c r="G1041" s="1">
        <v>60</v>
      </c>
      <c r="H1041" s="1" t="str">
        <f t="shared" si="66"/>
        <v>High</v>
      </c>
      <c r="I1041" s="1" t="str">
        <f t="shared" si="67"/>
        <v>Other</v>
      </c>
      <c r="J1041" s="1">
        <f t="shared" si="68"/>
        <v>442794.33</v>
      </c>
    </row>
    <row r="1042" spans="1:10" ht="12.75">
      <c r="A1042" s="1" t="s">
        <v>10</v>
      </c>
      <c r="B1042" s="1" t="s">
        <v>62</v>
      </c>
      <c r="C1042" s="1" t="s">
        <v>147</v>
      </c>
      <c r="D1042" s="2">
        <v>44714</v>
      </c>
      <c r="E1042" s="1" t="s">
        <v>862</v>
      </c>
      <c r="F1042" s="5">
        <f t="shared" si="65"/>
        <v>7077</v>
      </c>
      <c r="G1042" s="1">
        <v>77</v>
      </c>
      <c r="H1042" s="1" t="str">
        <f t="shared" si="66"/>
        <v>High</v>
      </c>
      <c r="I1042" s="1" t="str">
        <f t="shared" si="67"/>
        <v>Other</v>
      </c>
      <c r="J1042" s="1">
        <f t="shared" si="68"/>
        <v>442794.33</v>
      </c>
    </row>
    <row r="1043" spans="1:10" ht="12.75">
      <c r="A1043" s="1" t="s">
        <v>6</v>
      </c>
      <c r="B1043" s="1" t="s">
        <v>59</v>
      </c>
      <c r="C1043" s="1" t="s">
        <v>126</v>
      </c>
      <c r="D1043" s="2">
        <v>44753</v>
      </c>
      <c r="E1043" s="1" t="s">
        <v>377</v>
      </c>
      <c r="F1043" s="5">
        <f t="shared" si="65"/>
        <v>2317</v>
      </c>
      <c r="G1043" s="1">
        <v>464</v>
      </c>
      <c r="H1043" s="1" t="str">
        <f t="shared" si="66"/>
        <v>High</v>
      </c>
      <c r="I1043" s="1" t="str">
        <f t="shared" si="67"/>
        <v>Other</v>
      </c>
      <c r="J1043" s="1">
        <f t="shared" si="68"/>
        <v>442794.33</v>
      </c>
    </row>
    <row r="1044" spans="1:10" ht="12.75">
      <c r="A1044" s="1" t="s">
        <v>28</v>
      </c>
      <c r="B1044" s="1" t="s">
        <v>54</v>
      </c>
      <c r="C1044" s="1" t="s">
        <v>76</v>
      </c>
      <c r="D1044" s="2">
        <v>44719</v>
      </c>
      <c r="E1044" s="1" t="s">
        <v>144</v>
      </c>
      <c r="F1044" s="5">
        <f t="shared" si="65"/>
        <v>63</v>
      </c>
      <c r="G1044" s="1">
        <v>60</v>
      </c>
      <c r="H1044" s="1" t="str">
        <f t="shared" si="66"/>
        <v>Low</v>
      </c>
      <c r="I1044" s="1" t="str">
        <f t="shared" si="67"/>
        <v>Other</v>
      </c>
      <c r="J1044" s="1">
        <f t="shared" si="68"/>
        <v>442794.33</v>
      </c>
    </row>
    <row r="1045" spans="1:10" ht="12.75">
      <c r="A1045" s="1" t="s">
        <v>15</v>
      </c>
      <c r="B1045" s="1" t="s">
        <v>39</v>
      </c>
      <c r="C1045" s="1" t="s">
        <v>91</v>
      </c>
      <c r="D1045" s="2">
        <v>44748</v>
      </c>
      <c r="E1045" s="1" t="s">
        <v>702</v>
      </c>
      <c r="F1045" s="5">
        <f t="shared" si="65"/>
        <v>9744</v>
      </c>
      <c r="G1045" s="1">
        <v>157</v>
      </c>
      <c r="H1045" s="1" t="str">
        <f t="shared" si="66"/>
        <v>High</v>
      </c>
      <c r="I1045" s="1" t="str">
        <f t="shared" si="67"/>
        <v>Other</v>
      </c>
      <c r="J1045" s="1">
        <f t="shared" si="68"/>
        <v>442794.33</v>
      </c>
    </row>
    <row r="1046" spans="1:10" ht="12.75">
      <c r="A1046" s="1" t="s">
        <v>13</v>
      </c>
      <c r="B1046" s="1" t="s">
        <v>42</v>
      </c>
      <c r="C1046" s="1" t="s">
        <v>100</v>
      </c>
      <c r="D1046" s="2">
        <v>44727</v>
      </c>
      <c r="E1046" s="1" t="s">
        <v>863</v>
      </c>
      <c r="F1046" s="5">
        <f t="shared" si="65"/>
        <v>9954</v>
      </c>
      <c r="G1046" s="1">
        <v>154</v>
      </c>
      <c r="H1046" s="1" t="str">
        <f t="shared" si="66"/>
        <v>High</v>
      </c>
      <c r="I1046" s="1" t="str">
        <f t="shared" si="67"/>
        <v>Other</v>
      </c>
      <c r="J1046" s="1">
        <f t="shared" si="68"/>
        <v>442794.33</v>
      </c>
    </row>
    <row r="1047" spans="1:10" ht="12.75">
      <c r="A1047" s="1" t="s">
        <v>21</v>
      </c>
      <c r="B1047" s="1" t="s">
        <v>42</v>
      </c>
      <c r="C1047" s="1" t="s">
        <v>40</v>
      </c>
      <c r="D1047" s="2">
        <v>44665</v>
      </c>
      <c r="E1047" s="1" t="s">
        <v>864</v>
      </c>
      <c r="F1047" s="5">
        <f t="shared" si="65"/>
        <v>1260</v>
      </c>
      <c r="G1047" s="1">
        <v>239</v>
      </c>
      <c r="H1047" s="1" t="str">
        <f t="shared" si="66"/>
        <v>High</v>
      </c>
      <c r="I1047" s="1" t="str">
        <f t="shared" si="67"/>
        <v>Other</v>
      </c>
      <c r="J1047" s="1">
        <f t="shared" si="68"/>
        <v>442794.33</v>
      </c>
    </row>
    <row r="1048" spans="1:10" ht="12.75">
      <c r="A1048" s="1" t="s">
        <v>25</v>
      </c>
      <c r="B1048" s="1" t="s">
        <v>42</v>
      </c>
      <c r="C1048" s="1" t="s">
        <v>65</v>
      </c>
      <c r="D1048" s="2">
        <v>44781</v>
      </c>
      <c r="E1048" s="1" t="s">
        <v>865</v>
      </c>
      <c r="F1048" s="5">
        <f t="shared" si="65"/>
        <v>469</v>
      </c>
      <c r="G1048" s="1">
        <v>163</v>
      </c>
      <c r="H1048" s="1" t="str">
        <f t="shared" si="66"/>
        <v>Low</v>
      </c>
      <c r="I1048" s="1" t="str">
        <f t="shared" si="67"/>
        <v>Other</v>
      </c>
      <c r="J1048" s="1">
        <f t="shared" si="68"/>
        <v>442794.33</v>
      </c>
    </row>
    <row r="1049" spans="1:10" ht="12.75">
      <c r="A1049" s="1" t="s">
        <v>14</v>
      </c>
      <c r="B1049" s="1" t="s">
        <v>39</v>
      </c>
      <c r="C1049" s="1" t="s">
        <v>65</v>
      </c>
      <c r="D1049" s="2">
        <v>44649</v>
      </c>
      <c r="E1049" s="1" t="s">
        <v>866</v>
      </c>
      <c r="F1049" s="5">
        <f t="shared" si="65"/>
        <v>973</v>
      </c>
      <c r="G1049" s="1">
        <v>28</v>
      </c>
      <c r="H1049" s="1" t="str">
        <f t="shared" si="66"/>
        <v>High</v>
      </c>
      <c r="I1049" s="1" t="str">
        <f t="shared" si="67"/>
        <v>Other</v>
      </c>
      <c r="J1049" s="1">
        <f t="shared" si="68"/>
        <v>442794.33</v>
      </c>
    </row>
    <row r="1050" spans="1:10" ht="12.75">
      <c r="A1050" s="1" t="s">
        <v>26</v>
      </c>
      <c r="B1050" s="1" t="s">
        <v>5</v>
      </c>
      <c r="C1050" s="1" t="s">
        <v>68</v>
      </c>
      <c r="D1050" s="2">
        <v>44746</v>
      </c>
      <c r="E1050" s="1" t="s">
        <v>727</v>
      </c>
      <c r="F1050" s="5">
        <f t="shared" si="65"/>
        <v>3647</v>
      </c>
      <c r="G1050" s="1">
        <v>76</v>
      </c>
      <c r="H1050" s="1" t="str">
        <f t="shared" si="66"/>
        <v>High</v>
      </c>
      <c r="I1050" s="1" t="str">
        <f t="shared" si="67"/>
        <v>Other</v>
      </c>
      <c r="J1050" s="1">
        <f t="shared" si="68"/>
        <v>442794.33</v>
      </c>
    </row>
    <row r="1051" spans="1:10" ht="12.75">
      <c r="A1051" s="1" t="s">
        <v>17</v>
      </c>
      <c r="B1051" s="1" t="s">
        <v>42</v>
      </c>
      <c r="C1051" s="1" t="s">
        <v>51</v>
      </c>
      <c r="D1051" s="2">
        <v>44608</v>
      </c>
      <c r="E1051" s="1" t="s">
        <v>336</v>
      </c>
      <c r="F1051" s="5">
        <f t="shared" si="65"/>
        <v>455</v>
      </c>
      <c r="G1051" s="1">
        <v>96</v>
      </c>
      <c r="H1051" s="1" t="str">
        <f t="shared" si="66"/>
        <v>Low</v>
      </c>
      <c r="I1051" s="1" t="str">
        <f t="shared" si="67"/>
        <v>Other</v>
      </c>
      <c r="J1051" s="1">
        <f t="shared" si="68"/>
        <v>442794.33</v>
      </c>
    </row>
    <row r="1052" spans="1:10" ht="12.75">
      <c r="A1052" s="1" t="s">
        <v>19</v>
      </c>
      <c r="B1052" s="1" t="s">
        <v>62</v>
      </c>
      <c r="C1052" s="1" t="s">
        <v>76</v>
      </c>
      <c r="D1052" s="2">
        <v>44683</v>
      </c>
      <c r="E1052" s="1" t="s">
        <v>867</v>
      </c>
      <c r="F1052" s="5">
        <f t="shared" si="65"/>
        <v>2520</v>
      </c>
      <c r="G1052" s="1">
        <v>156</v>
      </c>
      <c r="H1052" s="1" t="str">
        <f t="shared" si="66"/>
        <v>High</v>
      </c>
      <c r="I1052" s="1" t="str">
        <f t="shared" si="67"/>
        <v>Other</v>
      </c>
      <c r="J1052" s="1">
        <f t="shared" si="68"/>
        <v>442794.33</v>
      </c>
    </row>
    <row r="1053" spans="1:10" ht="12.75">
      <c r="A1053" s="1" t="s">
        <v>10</v>
      </c>
      <c r="B1053" s="1" t="s">
        <v>42</v>
      </c>
      <c r="C1053" s="1" t="s">
        <v>63</v>
      </c>
      <c r="D1053" s="2">
        <v>44763</v>
      </c>
      <c r="E1053" s="1" t="s">
        <v>868</v>
      </c>
      <c r="F1053" s="5">
        <f t="shared" si="65"/>
        <v>10500</v>
      </c>
      <c r="G1053" s="1">
        <v>106</v>
      </c>
      <c r="H1053" s="1" t="str">
        <f t="shared" si="66"/>
        <v>High</v>
      </c>
      <c r="I1053" s="1" t="str">
        <f t="shared" si="67"/>
        <v>Other</v>
      </c>
      <c r="J1053" s="1">
        <f t="shared" si="68"/>
        <v>442794.33</v>
      </c>
    </row>
    <row r="1054" spans="1:10" ht="12.75">
      <c r="A1054" s="1" t="s">
        <v>23</v>
      </c>
      <c r="B1054" s="1" t="s">
        <v>5</v>
      </c>
      <c r="C1054" s="1" t="s">
        <v>51</v>
      </c>
      <c r="D1054" s="2">
        <v>44791</v>
      </c>
      <c r="E1054" s="1" t="s">
        <v>869</v>
      </c>
      <c r="F1054" s="5">
        <f t="shared" si="65"/>
        <v>7952</v>
      </c>
      <c r="G1054" s="1">
        <v>235</v>
      </c>
      <c r="H1054" s="1" t="str">
        <f t="shared" si="66"/>
        <v>High</v>
      </c>
      <c r="I1054" s="1" t="str">
        <f t="shared" si="67"/>
        <v>Other</v>
      </c>
      <c r="J1054" s="1">
        <f t="shared" si="68"/>
        <v>442794.33</v>
      </c>
    </row>
    <row r="1055" spans="1:10" ht="12.75">
      <c r="A1055" s="1" t="s">
        <v>8</v>
      </c>
      <c r="B1055" s="1" t="s">
        <v>59</v>
      </c>
      <c r="C1055" s="1" t="s">
        <v>43</v>
      </c>
      <c r="D1055" s="2">
        <v>44734</v>
      </c>
      <c r="E1055" s="1" t="s">
        <v>670</v>
      </c>
      <c r="F1055" s="5">
        <f t="shared" si="65"/>
        <v>483</v>
      </c>
      <c r="G1055" s="1">
        <v>259</v>
      </c>
      <c r="H1055" s="1" t="str">
        <f t="shared" si="66"/>
        <v>Low</v>
      </c>
      <c r="I1055" s="1" t="str">
        <f t="shared" si="67"/>
        <v>Other</v>
      </c>
      <c r="J1055" s="1">
        <f t="shared" si="68"/>
        <v>442794.33</v>
      </c>
    </row>
    <row r="1056" spans="1:10" ht="12.75">
      <c r="A1056" s="1" t="s">
        <v>25</v>
      </c>
      <c r="B1056" s="1" t="s">
        <v>39</v>
      </c>
      <c r="C1056" s="1" t="s">
        <v>45</v>
      </c>
      <c r="D1056" s="2">
        <v>44761</v>
      </c>
      <c r="E1056" s="1" t="s">
        <v>870</v>
      </c>
      <c r="F1056" s="5">
        <f t="shared" si="65"/>
        <v>4872</v>
      </c>
      <c r="G1056" s="1">
        <v>126</v>
      </c>
      <c r="H1056" s="1" t="str">
        <f t="shared" si="66"/>
        <v>High</v>
      </c>
      <c r="I1056" s="1" t="str">
        <f t="shared" si="67"/>
        <v>Other</v>
      </c>
      <c r="J1056" s="1">
        <f t="shared" si="68"/>
        <v>442794.33</v>
      </c>
    </row>
    <row r="1057" spans="1:10" ht="12.75">
      <c r="A1057" s="1" t="s">
        <v>9</v>
      </c>
      <c r="B1057" s="1" t="s">
        <v>39</v>
      </c>
      <c r="C1057" s="1" t="s">
        <v>45</v>
      </c>
      <c r="D1057" s="2">
        <v>44785</v>
      </c>
      <c r="E1057" s="1" t="s">
        <v>459</v>
      </c>
      <c r="F1057" s="5">
        <f t="shared" si="65"/>
        <v>7756</v>
      </c>
      <c r="G1057" s="1">
        <v>85</v>
      </c>
      <c r="H1057" s="1" t="str">
        <f t="shared" si="66"/>
        <v>High</v>
      </c>
      <c r="I1057" s="1" t="str">
        <f t="shared" si="67"/>
        <v>Other</v>
      </c>
      <c r="J1057" s="1">
        <f t="shared" si="68"/>
        <v>442794.33</v>
      </c>
    </row>
    <row r="1058" spans="1:10" ht="12.75">
      <c r="A1058" s="1" t="s">
        <v>9</v>
      </c>
      <c r="B1058" s="1" t="s">
        <v>59</v>
      </c>
      <c r="C1058" s="1" t="s">
        <v>102</v>
      </c>
      <c r="D1058" s="2">
        <v>44719</v>
      </c>
      <c r="E1058" s="1" t="s">
        <v>227</v>
      </c>
      <c r="F1058" s="5">
        <f t="shared" si="65"/>
        <v>5446</v>
      </c>
      <c r="G1058" s="1">
        <v>132</v>
      </c>
      <c r="H1058" s="1" t="str">
        <f t="shared" si="66"/>
        <v>High</v>
      </c>
      <c r="I1058" s="1" t="str">
        <f t="shared" si="67"/>
        <v>Other</v>
      </c>
      <c r="J1058" s="1">
        <f t="shared" si="68"/>
        <v>442794.33</v>
      </c>
    </row>
    <row r="1059" spans="1:10" ht="12.75">
      <c r="A1059" s="1" t="s">
        <v>14</v>
      </c>
      <c r="B1059" s="1" t="s">
        <v>62</v>
      </c>
      <c r="C1059" s="1" t="s">
        <v>45</v>
      </c>
      <c r="D1059" s="2">
        <v>44628</v>
      </c>
      <c r="E1059" s="1" t="s">
        <v>871</v>
      </c>
      <c r="F1059" s="5">
        <f t="shared" si="65"/>
        <v>6594</v>
      </c>
      <c r="G1059" s="1">
        <v>91</v>
      </c>
      <c r="H1059" s="1" t="str">
        <f t="shared" si="66"/>
        <v>High</v>
      </c>
      <c r="I1059" s="1" t="str">
        <f t="shared" si="67"/>
        <v>Other</v>
      </c>
      <c r="J1059" s="1">
        <f t="shared" si="68"/>
        <v>442794.33</v>
      </c>
    </row>
    <row r="1060" spans="1:10" ht="12.75">
      <c r="A1060" s="1" t="s">
        <v>17</v>
      </c>
      <c r="B1060" s="1" t="s">
        <v>5</v>
      </c>
      <c r="C1060" s="1" t="s">
        <v>102</v>
      </c>
      <c r="D1060" s="2">
        <v>44659</v>
      </c>
      <c r="E1060" s="1" t="s">
        <v>872</v>
      </c>
      <c r="F1060" s="5">
        <f t="shared" si="65"/>
        <v>1470</v>
      </c>
      <c r="G1060" s="1">
        <v>167</v>
      </c>
      <c r="H1060" s="1" t="str">
        <f t="shared" si="66"/>
        <v>High</v>
      </c>
      <c r="I1060" s="1" t="str">
        <f t="shared" si="67"/>
        <v>Other</v>
      </c>
      <c r="J1060" s="1">
        <f t="shared" si="68"/>
        <v>442794.33</v>
      </c>
    </row>
    <row r="1061" spans="1:10" ht="12.75">
      <c r="A1061" s="1" t="s">
        <v>24</v>
      </c>
      <c r="B1061" s="1" t="s">
        <v>62</v>
      </c>
      <c r="C1061" s="1" t="s">
        <v>63</v>
      </c>
      <c r="D1061" s="2">
        <v>44687</v>
      </c>
      <c r="E1061" s="1" t="s">
        <v>770</v>
      </c>
      <c r="F1061" s="5">
        <f t="shared" si="65"/>
        <v>721</v>
      </c>
      <c r="G1061" s="1">
        <v>203</v>
      </c>
      <c r="H1061" s="1" t="str">
        <f t="shared" si="66"/>
        <v>Medium</v>
      </c>
      <c r="I1061" s="1" t="str">
        <f t="shared" si="67"/>
        <v>Other</v>
      </c>
      <c r="J1061" s="1">
        <f t="shared" si="68"/>
        <v>442794.33</v>
      </c>
    </row>
    <row r="1062" spans="1:10" ht="12.75">
      <c r="A1062" s="1" t="s">
        <v>26</v>
      </c>
      <c r="B1062" s="1" t="s">
        <v>42</v>
      </c>
      <c r="C1062" s="1" t="s">
        <v>65</v>
      </c>
      <c r="D1062" s="2">
        <v>44712</v>
      </c>
      <c r="E1062" s="1" t="s">
        <v>578</v>
      </c>
      <c r="F1062" s="5">
        <f t="shared" si="65"/>
        <v>4494</v>
      </c>
      <c r="G1062" s="1">
        <v>11</v>
      </c>
      <c r="H1062" s="1" t="str">
        <f t="shared" si="66"/>
        <v>High</v>
      </c>
      <c r="I1062" s="1" t="str">
        <f t="shared" si="67"/>
        <v>Other</v>
      </c>
      <c r="J1062" s="1">
        <f t="shared" si="68"/>
        <v>442794.33</v>
      </c>
    </row>
    <row r="1063" spans="1:10" ht="12.75">
      <c r="A1063" s="1" t="s">
        <v>10</v>
      </c>
      <c r="B1063" s="1" t="s">
        <v>5</v>
      </c>
      <c r="C1063" s="1" t="s">
        <v>40</v>
      </c>
      <c r="D1063" s="2">
        <v>44574</v>
      </c>
      <c r="E1063" s="1" t="s">
        <v>873</v>
      </c>
      <c r="F1063" s="5">
        <f t="shared" si="65"/>
        <v>2674</v>
      </c>
      <c r="G1063" s="1">
        <v>295</v>
      </c>
      <c r="H1063" s="1" t="str">
        <f t="shared" si="66"/>
        <v>High</v>
      </c>
      <c r="I1063" s="1" t="str">
        <f t="shared" si="67"/>
        <v>Other</v>
      </c>
      <c r="J1063" s="1">
        <f t="shared" si="68"/>
        <v>442794.33</v>
      </c>
    </row>
    <row r="1064" spans="1:10" ht="12.75">
      <c r="A1064" s="1" t="s">
        <v>6</v>
      </c>
      <c r="B1064" s="1" t="s">
        <v>59</v>
      </c>
      <c r="C1064" s="1" t="s">
        <v>147</v>
      </c>
      <c r="D1064" s="2">
        <v>44635</v>
      </c>
      <c r="E1064" s="1" t="s">
        <v>595</v>
      </c>
      <c r="F1064" s="5">
        <f t="shared" si="65"/>
        <v>658</v>
      </c>
      <c r="G1064" s="1">
        <v>77</v>
      </c>
      <c r="H1064" s="1" t="str">
        <f t="shared" si="66"/>
        <v>Medium</v>
      </c>
      <c r="I1064" s="1" t="str">
        <f t="shared" si="67"/>
        <v>Other</v>
      </c>
      <c r="J1064" s="1">
        <f t="shared" si="68"/>
        <v>442794.33</v>
      </c>
    </row>
    <row r="1065" spans="1:10" ht="12.75">
      <c r="A1065" s="1" t="s">
        <v>27</v>
      </c>
      <c r="B1065" s="1" t="s">
        <v>62</v>
      </c>
      <c r="C1065" s="1" t="s">
        <v>45</v>
      </c>
      <c r="D1065" s="2">
        <v>44608</v>
      </c>
      <c r="E1065" s="1" t="s">
        <v>589</v>
      </c>
      <c r="F1065" s="5">
        <f t="shared" si="65"/>
        <v>1127</v>
      </c>
      <c r="G1065" s="1">
        <v>319</v>
      </c>
      <c r="H1065" s="1" t="str">
        <f t="shared" si="66"/>
        <v>High</v>
      </c>
      <c r="I1065" s="1" t="str">
        <f t="shared" si="67"/>
        <v>Other</v>
      </c>
      <c r="J1065" s="1">
        <f t="shared" si="68"/>
        <v>442794.33</v>
      </c>
    </row>
    <row r="1066" spans="1:10" ht="12.75">
      <c r="A1066" s="1" t="s">
        <v>20</v>
      </c>
      <c r="B1066" s="1" t="s">
        <v>59</v>
      </c>
      <c r="C1066" s="1" t="s">
        <v>147</v>
      </c>
      <c r="D1066" s="2">
        <v>44575</v>
      </c>
      <c r="E1066" s="1" t="s">
        <v>874</v>
      </c>
      <c r="F1066" s="5">
        <f t="shared" si="65"/>
        <v>7364</v>
      </c>
      <c r="G1066" s="1">
        <v>196</v>
      </c>
      <c r="H1066" s="1" t="str">
        <f t="shared" si="66"/>
        <v>High</v>
      </c>
      <c r="I1066" s="1" t="str">
        <f t="shared" si="67"/>
        <v>Other</v>
      </c>
      <c r="J1066" s="1">
        <f t="shared" si="68"/>
        <v>442794.33</v>
      </c>
    </row>
    <row r="1067" spans="1:10" ht="12.75">
      <c r="A1067" s="1" t="s">
        <v>19</v>
      </c>
      <c r="B1067" s="1" t="s">
        <v>5</v>
      </c>
      <c r="C1067" s="1" t="s">
        <v>84</v>
      </c>
      <c r="D1067" s="2">
        <v>44641</v>
      </c>
      <c r="E1067" s="1" t="s">
        <v>875</v>
      </c>
      <c r="F1067" s="5">
        <f t="shared" si="65"/>
        <v>6818</v>
      </c>
      <c r="G1067" s="1">
        <v>102</v>
      </c>
      <c r="H1067" s="1" t="str">
        <f t="shared" si="66"/>
        <v>High</v>
      </c>
      <c r="I1067" s="1" t="str">
        <f t="shared" si="67"/>
        <v>Other</v>
      </c>
      <c r="J1067" s="1">
        <f t="shared" si="68"/>
        <v>442794.33</v>
      </c>
    </row>
    <row r="1068" spans="1:10" ht="12.75">
      <c r="A1068" s="1" t="s">
        <v>26</v>
      </c>
      <c r="B1068" s="1" t="s">
        <v>62</v>
      </c>
      <c r="C1068" s="1" t="s">
        <v>65</v>
      </c>
      <c r="D1068" s="2">
        <v>44698</v>
      </c>
      <c r="E1068" s="1" t="s">
        <v>876</v>
      </c>
      <c r="F1068" s="5">
        <f t="shared" si="65"/>
        <v>6776</v>
      </c>
      <c r="G1068" s="1">
        <v>312</v>
      </c>
      <c r="H1068" s="1" t="str">
        <f t="shared" si="66"/>
        <v>High</v>
      </c>
      <c r="I1068" s="1" t="str">
        <f t="shared" si="67"/>
        <v>Other</v>
      </c>
      <c r="J1068" s="1">
        <f t="shared" si="68"/>
        <v>442794.33</v>
      </c>
    </row>
    <row r="1069" spans="1:10" ht="12.75">
      <c r="A1069" s="1" t="s">
        <v>25</v>
      </c>
      <c r="B1069" s="1" t="s">
        <v>54</v>
      </c>
      <c r="C1069" s="1" t="s">
        <v>43</v>
      </c>
      <c r="D1069" s="2">
        <v>44781</v>
      </c>
      <c r="E1069" s="1" t="s">
        <v>877</v>
      </c>
      <c r="F1069" s="5">
        <f t="shared" si="65"/>
        <v>15099</v>
      </c>
      <c r="G1069" s="1">
        <v>55</v>
      </c>
      <c r="H1069" s="1" t="str">
        <f t="shared" si="66"/>
        <v>High</v>
      </c>
      <c r="I1069" s="1" t="str">
        <f t="shared" si="67"/>
        <v>Other</v>
      </c>
      <c r="J1069" s="1">
        <f t="shared" si="68"/>
        <v>442794.33</v>
      </c>
    </row>
    <row r="1070" spans="1:10" ht="12.75">
      <c r="A1070" s="1" t="s">
        <v>9</v>
      </c>
      <c r="B1070" s="1" t="s">
        <v>62</v>
      </c>
      <c r="C1070" s="1" t="s">
        <v>72</v>
      </c>
      <c r="D1070" s="2">
        <v>44677</v>
      </c>
      <c r="E1070" s="1" t="s">
        <v>878</v>
      </c>
      <c r="F1070" s="5">
        <f t="shared" si="65"/>
        <v>3612</v>
      </c>
      <c r="G1070" s="1">
        <v>82</v>
      </c>
      <c r="H1070" s="1" t="str">
        <f t="shared" si="66"/>
        <v>High</v>
      </c>
      <c r="I1070" s="1" t="str">
        <f t="shared" si="67"/>
        <v>Other</v>
      </c>
      <c r="J1070" s="1">
        <f t="shared" si="68"/>
        <v>442794.33</v>
      </c>
    </row>
    <row r="1071" spans="1:10" ht="12.75">
      <c r="A1071" s="1" t="s">
        <v>9</v>
      </c>
      <c r="B1071" s="1" t="s">
        <v>5</v>
      </c>
      <c r="C1071" s="1" t="s">
        <v>147</v>
      </c>
      <c r="D1071" s="2">
        <v>44666</v>
      </c>
      <c r="E1071" s="1" t="s">
        <v>879</v>
      </c>
      <c r="F1071" s="5">
        <f t="shared" si="65"/>
        <v>3710</v>
      </c>
      <c r="G1071" s="1">
        <v>260</v>
      </c>
      <c r="H1071" s="1" t="str">
        <f t="shared" si="66"/>
        <v>High</v>
      </c>
      <c r="I1071" s="1" t="str">
        <f t="shared" si="67"/>
        <v>Other</v>
      </c>
      <c r="J1071" s="1">
        <f t="shared" si="68"/>
        <v>442794.33</v>
      </c>
    </row>
    <row r="1072" spans="1:10" ht="12.75">
      <c r="A1072" s="1" t="s">
        <v>22</v>
      </c>
      <c r="B1072" s="1" t="s">
        <v>62</v>
      </c>
      <c r="C1072" s="1" t="s">
        <v>63</v>
      </c>
      <c r="D1072" s="2">
        <v>44700</v>
      </c>
      <c r="E1072" s="1" t="s">
        <v>880</v>
      </c>
      <c r="F1072" s="5">
        <f t="shared" si="65"/>
        <v>6111</v>
      </c>
      <c r="G1072" s="1">
        <v>591</v>
      </c>
      <c r="H1072" s="1" t="str">
        <f t="shared" si="66"/>
        <v>High</v>
      </c>
      <c r="I1072" s="1" t="str">
        <f t="shared" si="67"/>
        <v>Other</v>
      </c>
      <c r="J1072" s="1">
        <f t="shared" si="68"/>
        <v>442794.33</v>
      </c>
    </row>
    <row r="1073" spans="1:10" ht="12.75">
      <c r="A1073" s="1" t="s">
        <v>6</v>
      </c>
      <c r="B1073" s="1" t="s">
        <v>62</v>
      </c>
      <c r="C1073" s="1" t="s">
        <v>65</v>
      </c>
      <c r="D1073" s="2">
        <v>44571</v>
      </c>
      <c r="E1073" s="1" t="s">
        <v>881</v>
      </c>
      <c r="F1073" s="5">
        <f t="shared" si="65"/>
        <v>2702</v>
      </c>
      <c r="G1073" s="1">
        <v>24</v>
      </c>
      <c r="H1073" s="1" t="str">
        <f t="shared" si="66"/>
        <v>High</v>
      </c>
      <c r="I1073" s="1" t="str">
        <f t="shared" si="67"/>
        <v>Other</v>
      </c>
      <c r="J1073" s="1">
        <f t="shared" si="68"/>
        <v>442794.33</v>
      </c>
    </row>
    <row r="1074" spans="1:10" ht="12.75">
      <c r="A1074" s="1" t="s">
        <v>2</v>
      </c>
      <c r="B1074" s="1" t="s">
        <v>54</v>
      </c>
      <c r="C1074" s="1" t="s">
        <v>52</v>
      </c>
      <c r="D1074" s="2">
        <v>44685</v>
      </c>
      <c r="E1074" s="1" t="s">
        <v>670</v>
      </c>
      <c r="F1074" s="5">
        <f t="shared" si="65"/>
        <v>483</v>
      </c>
      <c r="G1074" s="1">
        <v>228</v>
      </c>
      <c r="H1074" s="1" t="str">
        <f t="shared" si="66"/>
        <v>Low</v>
      </c>
      <c r="I1074" s="1" t="str">
        <f t="shared" si="67"/>
        <v>Other</v>
      </c>
      <c r="J1074" s="1">
        <f t="shared" si="68"/>
        <v>442794.33</v>
      </c>
    </row>
    <row r="1075" spans="1:10" ht="12.75">
      <c r="A1075" s="1" t="s">
        <v>26</v>
      </c>
      <c r="B1075" s="1" t="s">
        <v>62</v>
      </c>
      <c r="C1075" s="1" t="s">
        <v>84</v>
      </c>
      <c r="D1075" s="2">
        <v>44656</v>
      </c>
      <c r="E1075" s="1" t="s">
        <v>882</v>
      </c>
      <c r="F1075" s="5">
        <f t="shared" si="65"/>
        <v>5887</v>
      </c>
      <c r="G1075" s="1">
        <v>268</v>
      </c>
      <c r="H1075" s="1" t="str">
        <f t="shared" si="66"/>
        <v>High</v>
      </c>
      <c r="I1075" s="1" t="str">
        <f t="shared" si="67"/>
        <v>Other</v>
      </c>
      <c r="J1075" s="1">
        <f t="shared" si="68"/>
        <v>442311.33</v>
      </c>
    </row>
    <row r="1076" spans="1:10" ht="12.75">
      <c r="A1076" s="1" t="s">
        <v>27</v>
      </c>
      <c r="B1076" s="1" t="s">
        <v>42</v>
      </c>
      <c r="C1076" s="1" t="s">
        <v>52</v>
      </c>
      <c r="D1076" s="2">
        <v>44578</v>
      </c>
      <c r="E1076" s="1" t="s">
        <v>718</v>
      </c>
      <c r="F1076" s="5">
        <f t="shared" si="65"/>
        <v>952</v>
      </c>
      <c r="G1076" s="1">
        <v>68</v>
      </c>
      <c r="H1076" s="1" t="str">
        <f t="shared" si="66"/>
        <v>High</v>
      </c>
      <c r="I1076" s="1" t="str">
        <f t="shared" si="67"/>
        <v>Other</v>
      </c>
      <c r="J1076" s="1">
        <f t="shared" si="68"/>
        <v>442311.33</v>
      </c>
    </row>
    <row r="1077" spans="1:10" ht="12.75">
      <c r="A1077" s="1" t="s">
        <v>26</v>
      </c>
      <c r="B1077" s="1" t="s">
        <v>42</v>
      </c>
      <c r="C1077" s="1" t="s">
        <v>76</v>
      </c>
      <c r="D1077" s="2">
        <v>44642</v>
      </c>
      <c r="E1077" s="1" t="s">
        <v>883</v>
      </c>
      <c r="F1077" s="5">
        <f t="shared" si="65"/>
        <v>10647</v>
      </c>
      <c r="G1077" s="1">
        <v>173</v>
      </c>
      <c r="H1077" s="1" t="str">
        <f t="shared" si="66"/>
        <v>High</v>
      </c>
      <c r="I1077" s="1" t="str">
        <f t="shared" si="67"/>
        <v>Other</v>
      </c>
      <c r="J1077" s="1">
        <f t="shared" si="68"/>
        <v>442311.33</v>
      </c>
    </row>
    <row r="1078" spans="1:10" ht="12.75">
      <c r="A1078" s="1" t="s">
        <v>21</v>
      </c>
      <c r="B1078" s="1" t="s">
        <v>5</v>
      </c>
      <c r="C1078" s="1" t="s">
        <v>84</v>
      </c>
      <c r="D1078" s="2">
        <v>44747</v>
      </c>
      <c r="E1078" s="1" t="s">
        <v>264</v>
      </c>
      <c r="F1078" s="5">
        <f t="shared" si="65"/>
        <v>6055</v>
      </c>
      <c r="G1078" s="1">
        <v>93</v>
      </c>
      <c r="H1078" s="1" t="str">
        <f t="shared" si="66"/>
        <v>High</v>
      </c>
      <c r="I1078" s="1" t="str">
        <f t="shared" si="67"/>
        <v>Other</v>
      </c>
      <c r="J1078" s="1">
        <f t="shared" si="68"/>
        <v>442311.33</v>
      </c>
    </row>
    <row r="1079" spans="1:10" ht="12.75">
      <c r="A1079" s="1" t="s">
        <v>22</v>
      </c>
      <c r="B1079" s="1" t="s">
        <v>62</v>
      </c>
      <c r="C1079" s="1" t="s">
        <v>60</v>
      </c>
      <c r="D1079" s="2">
        <v>44678</v>
      </c>
      <c r="E1079" s="1" t="s">
        <v>584</v>
      </c>
      <c r="F1079" s="5">
        <f t="shared" si="65"/>
        <v>8757</v>
      </c>
      <c r="G1079" s="1">
        <v>338</v>
      </c>
      <c r="H1079" s="1" t="str">
        <f t="shared" si="66"/>
        <v>High</v>
      </c>
      <c r="I1079" s="1" t="str">
        <f t="shared" si="67"/>
        <v>Other</v>
      </c>
      <c r="J1079" s="1">
        <f t="shared" si="68"/>
        <v>442311.33</v>
      </c>
    </row>
    <row r="1080" spans="1:10" ht="12.75">
      <c r="A1080" s="1" t="s">
        <v>8</v>
      </c>
      <c r="B1080" s="1" t="s">
        <v>62</v>
      </c>
      <c r="C1080" s="1" t="s">
        <v>91</v>
      </c>
      <c r="D1080" s="2">
        <v>44785</v>
      </c>
      <c r="E1080" s="1" t="s">
        <v>264</v>
      </c>
      <c r="F1080" s="5">
        <f t="shared" si="65"/>
        <v>6055</v>
      </c>
      <c r="G1080" s="1">
        <v>73</v>
      </c>
      <c r="H1080" s="1" t="str">
        <f t="shared" si="66"/>
        <v>High</v>
      </c>
      <c r="I1080" s="1" t="str">
        <f t="shared" si="67"/>
        <v>Other</v>
      </c>
      <c r="J1080" s="1">
        <f t="shared" si="68"/>
        <v>442311.33</v>
      </c>
    </row>
    <row r="1081" spans="1:10" ht="12.75">
      <c r="A1081" s="1" t="s">
        <v>15</v>
      </c>
      <c r="B1081" s="1" t="s">
        <v>39</v>
      </c>
      <c r="C1081" s="1" t="s">
        <v>122</v>
      </c>
      <c r="D1081" s="2">
        <v>44631</v>
      </c>
      <c r="E1081" s="1" t="s">
        <v>770</v>
      </c>
      <c r="F1081" s="5">
        <f t="shared" si="65"/>
        <v>721</v>
      </c>
      <c r="G1081" s="1">
        <v>251</v>
      </c>
      <c r="H1081" s="1" t="str">
        <f t="shared" si="66"/>
        <v>Medium</v>
      </c>
      <c r="I1081" s="1" t="str">
        <f t="shared" si="67"/>
        <v>Other</v>
      </c>
      <c r="J1081" s="1">
        <f t="shared" si="68"/>
        <v>442311.33</v>
      </c>
    </row>
    <row r="1082" spans="1:10" ht="12.75">
      <c r="A1082" s="1" t="s">
        <v>11</v>
      </c>
      <c r="B1082" s="1" t="s">
        <v>39</v>
      </c>
      <c r="C1082" s="1" t="s">
        <v>81</v>
      </c>
      <c r="D1082" s="2">
        <v>44694</v>
      </c>
      <c r="E1082" s="1" t="s">
        <v>884</v>
      </c>
      <c r="F1082" s="5">
        <f t="shared" si="65"/>
        <v>8589</v>
      </c>
      <c r="G1082" s="1">
        <v>229</v>
      </c>
      <c r="H1082" s="1" t="str">
        <f t="shared" si="66"/>
        <v>High</v>
      </c>
      <c r="I1082" s="1" t="str">
        <f t="shared" si="67"/>
        <v>Other</v>
      </c>
      <c r="J1082" s="1">
        <f t="shared" si="68"/>
        <v>442311.33</v>
      </c>
    </row>
    <row r="1083" spans="1:10" ht="12.75">
      <c r="A1083" s="1" t="s">
        <v>6</v>
      </c>
      <c r="B1083" s="1" t="s">
        <v>59</v>
      </c>
      <c r="C1083" s="1" t="s">
        <v>49</v>
      </c>
      <c r="D1083" s="2">
        <v>44693</v>
      </c>
      <c r="E1083" s="1" t="s">
        <v>885</v>
      </c>
      <c r="F1083" s="5">
        <f t="shared" si="65"/>
        <v>11781</v>
      </c>
      <c r="G1083" s="1">
        <v>91</v>
      </c>
      <c r="H1083" s="1" t="str">
        <f t="shared" si="66"/>
        <v>High</v>
      </c>
      <c r="I1083" s="1" t="str">
        <f t="shared" si="67"/>
        <v>Other</v>
      </c>
      <c r="J1083" s="1">
        <f t="shared" si="68"/>
        <v>442311.33</v>
      </c>
    </row>
    <row r="1084" spans="1:10" ht="12.75">
      <c r="A1084" s="1" t="s">
        <v>7</v>
      </c>
      <c r="B1084" s="1" t="s">
        <v>59</v>
      </c>
      <c r="C1084" s="1" t="s">
        <v>100</v>
      </c>
      <c r="D1084" s="2">
        <v>44573</v>
      </c>
      <c r="E1084" s="1" t="s">
        <v>886</v>
      </c>
      <c r="F1084" s="5">
        <f t="shared" si="65"/>
        <v>672</v>
      </c>
      <c r="G1084" s="1">
        <v>194</v>
      </c>
      <c r="H1084" s="1" t="str">
        <f t="shared" si="66"/>
        <v>Medium</v>
      </c>
      <c r="I1084" s="1" t="str">
        <f t="shared" si="67"/>
        <v>Other</v>
      </c>
      <c r="J1084" s="1">
        <f t="shared" si="68"/>
        <v>442311.33</v>
      </c>
    </row>
    <row r="1085" spans="1:10" ht="12.75">
      <c r="A1085" s="1" t="s">
        <v>9</v>
      </c>
      <c r="B1085" s="1" t="s">
        <v>54</v>
      </c>
      <c r="C1085" s="1" t="s">
        <v>72</v>
      </c>
      <c r="D1085" s="2">
        <v>44649</v>
      </c>
      <c r="E1085" s="1" t="s">
        <v>887</v>
      </c>
      <c r="F1085" s="5">
        <f t="shared" si="65"/>
        <v>12558</v>
      </c>
      <c r="G1085" s="1">
        <v>403</v>
      </c>
      <c r="H1085" s="1" t="str">
        <f t="shared" si="66"/>
        <v>High</v>
      </c>
      <c r="I1085" s="1" t="str">
        <f t="shared" si="67"/>
        <v>Other</v>
      </c>
      <c r="J1085" s="1">
        <f t="shared" si="68"/>
        <v>442311.33</v>
      </c>
    </row>
    <row r="1086" spans="1:10" ht="12.75">
      <c r="A1086" s="1" t="s">
        <v>26</v>
      </c>
      <c r="B1086" s="1" t="s">
        <v>42</v>
      </c>
      <c r="C1086" s="1" t="s">
        <v>55</v>
      </c>
      <c r="D1086" s="2">
        <v>44634</v>
      </c>
      <c r="E1086" s="1" t="s">
        <v>888</v>
      </c>
      <c r="F1086" s="5">
        <f t="shared" si="65"/>
        <v>8337</v>
      </c>
      <c r="G1086" s="1">
        <v>12</v>
      </c>
      <c r="H1086" s="1" t="str">
        <f t="shared" si="66"/>
        <v>High</v>
      </c>
      <c r="I1086" s="1" t="str">
        <f t="shared" si="67"/>
        <v>Other</v>
      </c>
      <c r="J1086" s="1">
        <f t="shared" si="68"/>
        <v>442311.33</v>
      </c>
    </row>
    <row r="1087" spans="1:10" ht="12.75">
      <c r="A1087" s="1" t="s">
        <v>16</v>
      </c>
      <c r="B1087" s="1" t="s">
        <v>54</v>
      </c>
      <c r="C1087" s="1" t="s">
        <v>51</v>
      </c>
      <c r="D1087" s="2">
        <v>44705</v>
      </c>
      <c r="E1087" s="1" t="s">
        <v>889</v>
      </c>
      <c r="F1087" s="5">
        <f t="shared" si="65"/>
        <v>8134</v>
      </c>
      <c r="G1087" s="1">
        <v>195</v>
      </c>
      <c r="H1087" s="1" t="str">
        <f t="shared" si="66"/>
        <v>High</v>
      </c>
      <c r="I1087" s="1" t="str">
        <f t="shared" si="67"/>
        <v>Other</v>
      </c>
      <c r="J1087" s="1">
        <f t="shared" si="68"/>
        <v>442311.33</v>
      </c>
    </row>
    <row r="1088" spans="1:10" ht="12.75">
      <c r="A1088" s="1" t="s">
        <v>6</v>
      </c>
      <c r="B1088" s="1" t="s">
        <v>62</v>
      </c>
      <c r="C1088" s="1" t="s">
        <v>68</v>
      </c>
      <c r="D1088" s="2">
        <v>44589</v>
      </c>
      <c r="E1088" s="1" t="s">
        <v>890</v>
      </c>
      <c r="F1088" s="5">
        <f t="shared" si="65"/>
        <v>8491</v>
      </c>
      <c r="G1088" s="1">
        <v>75</v>
      </c>
      <c r="H1088" s="1" t="str">
        <f t="shared" si="66"/>
        <v>High</v>
      </c>
      <c r="I1088" s="1" t="str">
        <f t="shared" si="67"/>
        <v>Other</v>
      </c>
      <c r="J1088" s="1">
        <f t="shared" si="68"/>
        <v>442311.33</v>
      </c>
    </row>
    <row r="1089" spans="1:10" ht="12.75">
      <c r="A1089" s="1" t="s">
        <v>28</v>
      </c>
      <c r="B1089" s="1" t="s">
        <v>42</v>
      </c>
      <c r="C1089" s="1" t="s">
        <v>91</v>
      </c>
      <c r="D1089" s="2">
        <v>44705</v>
      </c>
      <c r="E1089" s="1" t="s">
        <v>891</v>
      </c>
      <c r="F1089" s="5">
        <f t="shared" si="65"/>
        <v>3066</v>
      </c>
      <c r="G1089" s="1">
        <v>96</v>
      </c>
      <c r="H1089" s="1" t="str">
        <f t="shared" si="66"/>
        <v>High</v>
      </c>
      <c r="I1089" s="1" t="str">
        <f t="shared" si="67"/>
        <v>Other</v>
      </c>
      <c r="J1089" s="1">
        <f t="shared" si="68"/>
        <v>442311.33</v>
      </c>
    </row>
    <row r="1090" spans="1:10" ht="12.75">
      <c r="A1090" s="1" t="s">
        <v>7</v>
      </c>
      <c r="B1090" s="1" t="s">
        <v>5</v>
      </c>
      <c r="C1090" s="1" t="s">
        <v>45</v>
      </c>
      <c r="D1090" s="2">
        <v>44792</v>
      </c>
      <c r="E1090" s="1" t="s">
        <v>799</v>
      </c>
      <c r="F1090" s="5">
        <f t="shared" ref="F1090:F1153" si="69">VALUE(SUBSTITUTE(E1090,"$",""))</f>
        <v>301</v>
      </c>
      <c r="G1090" s="1">
        <v>205</v>
      </c>
      <c r="H1090" s="1" t="str">
        <f t="shared" ref="H1090:H1153" si="70">IF(F1090&gt;800,"High",IF(F1090&gt;500,"Medium","Low"))</f>
        <v>Low</v>
      </c>
      <c r="I1090" s="1" t="str">
        <f t="shared" ref="I1090:I1153" si="71">IF(AND(B1090="Australia",A1090="Mallorie Waber"),"Top Local","Other")</f>
        <v>Other</v>
      </c>
      <c r="J1090" s="1">
        <f t="shared" ref="J1090:J1153" si="72">SUMIF(A1090:A4370,"Mallorie Waber",F1090:F4370)</f>
        <v>442311.33</v>
      </c>
    </row>
    <row r="1091" spans="1:10" ht="12.75">
      <c r="A1091" s="1" t="s">
        <v>18</v>
      </c>
      <c r="B1091" s="1" t="s">
        <v>5</v>
      </c>
      <c r="C1091" s="1" t="s">
        <v>76</v>
      </c>
      <c r="D1091" s="2">
        <v>44698</v>
      </c>
      <c r="E1091" s="1" t="s">
        <v>892</v>
      </c>
      <c r="F1091" s="5">
        <f t="shared" si="69"/>
        <v>4410</v>
      </c>
      <c r="G1091" s="1">
        <v>323</v>
      </c>
      <c r="H1091" s="1" t="str">
        <f t="shared" si="70"/>
        <v>High</v>
      </c>
      <c r="I1091" s="1" t="str">
        <f t="shared" si="71"/>
        <v>Other</v>
      </c>
      <c r="J1091" s="1">
        <f t="shared" si="72"/>
        <v>442311.33</v>
      </c>
    </row>
    <row r="1092" spans="1:10" ht="12.75">
      <c r="A1092" s="1" t="s">
        <v>11</v>
      </c>
      <c r="B1092" s="1" t="s">
        <v>59</v>
      </c>
      <c r="C1092" s="1" t="s">
        <v>84</v>
      </c>
      <c r="D1092" s="2">
        <v>44719</v>
      </c>
      <c r="E1092" s="1" t="s">
        <v>840</v>
      </c>
      <c r="F1092" s="5">
        <f t="shared" si="69"/>
        <v>6559</v>
      </c>
      <c r="G1092" s="1">
        <v>119</v>
      </c>
      <c r="H1092" s="1" t="str">
        <f t="shared" si="70"/>
        <v>High</v>
      </c>
      <c r="I1092" s="1" t="str">
        <f t="shared" si="71"/>
        <v>Other</v>
      </c>
      <c r="J1092" s="1">
        <f t="shared" si="72"/>
        <v>442311.33</v>
      </c>
    </row>
    <row r="1093" spans="1:10" ht="12.75">
      <c r="A1093" s="1" t="s">
        <v>17</v>
      </c>
      <c r="B1093" s="1" t="s">
        <v>62</v>
      </c>
      <c r="C1093" s="1" t="s">
        <v>68</v>
      </c>
      <c r="D1093" s="2">
        <v>44768</v>
      </c>
      <c r="E1093" s="1" t="s">
        <v>821</v>
      </c>
      <c r="F1093" s="5">
        <f t="shared" si="69"/>
        <v>574</v>
      </c>
      <c r="G1093" s="1">
        <v>217</v>
      </c>
      <c r="H1093" s="1" t="str">
        <f t="shared" si="70"/>
        <v>Medium</v>
      </c>
      <c r="I1093" s="1" t="str">
        <f t="shared" si="71"/>
        <v>Other</v>
      </c>
      <c r="J1093" s="1">
        <f t="shared" si="72"/>
        <v>442311.33</v>
      </c>
    </row>
    <row r="1094" spans="1:10" ht="12.75">
      <c r="A1094" s="1" t="s">
        <v>21</v>
      </c>
      <c r="B1094" s="1" t="s">
        <v>42</v>
      </c>
      <c r="C1094" s="1" t="s">
        <v>63</v>
      </c>
      <c r="D1094" s="2">
        <v>44770</v>
      </c>
      <c r="E1094" s="1" t="s">
        <v>572</v>
      </c>
      <c r="F1094" s="5">
        <f t="shared" si="69"/>
        <v>2086</v>
      </c>
      <c r="G1094" s="1">
        <v>384</v>
      </c>
      <c r="H1094" s="1" t="str">
        <f t="shared" si="70"/>
        <v>High</v>
      </c>
      <c r="I1094" s="1" t="str">
        <f t="shared" si="71"/>
        <v>Other</v>
      </c>
      <c r="J1094" s="1">
        <f t="shared" si="72"/>
        <v>442311.33</v>
      </c>
    </row>
    <row r="1095" spans="1:10" ht="12.75">
      <c r="A1095" s="1" t="s">
        <v>18</v>
      </c>
      <c r="B1095" s="1" t="s">
        <v>42</v>
      </c>
      <c r="C1095" s="1" t="s">
        <v>147</v>
      </c>
      <c r="D1095" s="2">
        <v>44704</v>
      </c>
      <c r="E1095" s="1" t="s">
        <v>287</v>
      </c>
      <c r="F1095" s="5">
        <f t="shared" si="69"/>
        <v>5075</v>
      </c>
      <c r="G1095" s="1">
        <v>344</v>
      </c>
      <c r="H1095" s="1" t="str">
        <f t="shared" si="70"/>
        <v>High</v>
      </c>
      <c r="I1095" s="1" t="str">
        <f t="shared" si="71"/>
        <v>Other</v>
      </c>
      <c r="J1095" s="1">
        <f t="shared" si="72"/>
        <v>442311.33</v>
      </c>
    </row>
    <row r="1096" spans="1:10" ht="12.75">
      <c r="A1096" s="1" t="s">
        <v>11</v>
      </c>
      <c r="B1096" s="1" t="s">
        <v>39</v>
      </c>
      <c r="C1096" s="1" t="s">
        <v>40</v>
      </c>
      <c r="D1096" s="2">
        <v>44930</v>
      </c>
      <c r="E1096" s="1" t="s">
        <v>893</v>
      </c>
      <c r="F1096" s="5">
        <f t="shared" si="69"/>
        <v>5902.13</v>
      </c>
      <c r="G1096" s="1">
        <v>178</v>
      </c>
      <c r="H1096" s="1" t="str">
        <f t="shared" si="70"/>
        <v>High</v>
      </c>
      <c r="I1096" s="1" t="str">
        <f t="shared" si="71"/>
        <v>Other</v>
      </c>
      <c r="J1096" s="1">
        <f t="shared" si="72"/>
        <v>442311.33</v>
      </c>
    </row>
    <row r="1097" spans="1:10" ht="12.75">
      <c r="A1097" s="1" t="s">
        <v>10</v>
      </c>
      <c r="B1097" s="1" t="s">
        <v>42</v>
      </c>
      <c r="C1097" s="1" t="s">
        <v>43</v>
      </c>
      <c r="D1097" s="2">
        <v>45139</v>
      </c>
      <c r="E1097" s="1" t="s">
        <v>894</v>
      </c>
      <c r="F1097" s="5">
        <f t="shared" si="69"/>
        <v>8074.39</v>
      </c>
      <c r="G1097" s="1">
        <v>100</v>
      </c>
      <c r="H1097" s="1" t="str">
        <f t="shared" si="70"/>
        <v>High</v>
      </c>
      <c r="I1097" s="1" t="str">
        <f t="shared" si="71"/>
        <v>Other</v>
      </c>
      <c r="J1097" s="1">
        <f t="shared" si="72"/>
        <v>442311.33</v>
      </c>
    </row>
    <row r="1098" spans="1:10" ht="12.75">
      <c r="A1098" s="1" t="s">
        <v>20</v>
      </c>
      <c r="B1098" s="1" t="s">
        <v>42</v>
      </c>
      <c r="C1098" s="1" t="s">
        <v>45</v>
      </c>
      <c r="D1098" s="2">
        <v>45114</v>
      </c>
      <c r="E1098" s="1" t="s">
        <v>895</v>
      </c>
      <c r="F1098" s="5">
        <f t="shared" si="69"/>
        <v>4666.18</v>
      </c>
      <c r="G1098" s="1">
        <v>100</v>
      </c>
      <c r="H1098" s="1" t="str">
        <f t="shared" si="70"/>
        <v>High</v>
      </c>
      <c r="I1098" s="1" t="str">
        <f t="shared" si="71"/>
        <v>Other</v>
      </c>
      <c r="J1098" s="1">
        <f t="shared" si="72"/>
        <v>442311.33</v>
      </c>
    </row>
    <row r="1099" spans="1:10" ht="12.75">
      <c r="A1099" s="1" t="s">
        <v>15</v>
      </c>
      <c r="B1099" s="1" t="s">
        <v>5</v>
      </c>
      <c r="C1099" s="1" t="s">
        <v>45</v>
      </c>
      <c r="D1099" s="2">
        <v>45043</v>
      </c>
      <c r="E1099" s="1" t="s">
        <v>896</v>
      </c>
      <c r="F1099" s="5">
        <f t="shared" si="69"/>
        <v>14103.4</v>
      </c>
      <c r="G1099" s="1">
        <v>350</v>
      </c>
      <c r="H1099" s="1" t="str">
        <f t="shared" si="70"/>
        <v>High</v>
      </c>
      <c r="I1099" s="1" t="str">
        <f t="shared" si="71"/>
        <v>Other</v>
      </c>
      <c r="J1099" s="1">
        <f t="shared" si="72"/>
        <v>442311.33</v>
      </c>
    </row>
    <row r="1100" spans="1:10" ht="12.75">
      <c r="A1100" s="1" t="s">
        <v>11</v>
      </c>
      <c r="B1100" s="1" t="s">
        <v>39</v>
      </c>
      <c r="C1100" s="1" t="s">
        <v>45</v>
      </c>
      <c r="D1100" s="2">
        <v>44981</v>
      </c>
      <c r="E1100" s="1" t="s">
        <v>897</v>
      </c>
      <c r="F1100" s="5">
        <f t="shared" si="69"/>
        <v>14167.84</v>
      </c>
      <c r="G1100" s="1">
        <v>178</v>
      </c>
      <c r="H1100" s="1" t="str">
        <f t="shared" si="70"/>
        <v>High</v>
      </c>
      <c r="I1100" s="1" t="str">
        <f t="shared" si="71"/>
        <v>Other</v>
      </c>
      <c r="J1100" s="1">
        <f t="shared" si="72"/>
        <v>442311.33</v>
      </c>
    </row>
    <row r="1101" spans="1:10" ht="12.75">
      <c r="A1101" s="1" t="s">
        <v>10</v>
      </c>
      <c r="B1101" s="1" t="s">
        <v>42</v>
      </c>
      <c r="C1101" s="1" t="s">
        <v>49</v>
      </c>
      <c r="D1101" s="2">
        <v>45083</v>
      </c>
      <c r="E1101" s="1" t="s">
        <v>898</v>
      </c>
      <c r="F1101" s="5">
        <f t="shared" si="69"/>
        <v>5768.75</v>
      </c>
      <c r="G1101" s="1">
        <v>37</v>
      </c>
      <c r="H1101" s="1" t="str">
        <f t="shared" si="70"/>
        <v>High</v>
      </c>
      <c r="I1101" s="1" t="str">
        <f t="shared" si="71"/>
        <v>Other</v>
      </c>
      <c r="J1101" s="1">
        <f t="shared" si="72"/>
        <v>442311.33</v>
      </c>
    </row>
    <row r="1102" spans="1:10" ht="12.75">
      <c r="A1102" s="1" t="s">
        <v>22</v>
      </c>
      <c r="B1102" s="1" t="s">
        <v>39</v>
      </c>
      <c r="C1102" s="1" t="s">
        <v>51</v>
      </c>
      <c r="D1102" s="2">
        <v>44951</v>
      </c>
      <c r="E1102" s="1" t="s">
        <v>899</v>
      </c>
      <c r="F1102" s="5">
        <f t="shared" si="69"/>
        <v>14673.2</v>
      </c>
      <c r="G1102" s="1">
        <v>175</v>
      </c>
      <c r="H1102" s="1" t="str">
        <f t="shared" si="70"/>
        <v>High</v>
      </c>
      <c r="I1102" s="1" t="str">
        <f t="shared" si="71"/>
        <v>Other</v>
      </c>
      <c r="J1102" s="1">
        <f t="shared" si="72"/>
        <v>442311.33</v>
      </c>
    </row>
    <row r="1103" spans="1:10" ht="12.75">
      <c r="A1103" s="1" t="s">
        <v>23</v>
      </c>
      <c r="B1103" s="1" t="s">
        <v>5</v>
      </c>
      <c r="C1103" s="1" t="s">
        <v>52</v>
      </c>
      <c r="D1103" s="2">
        <v>45009</v>
      </c>
      <c r="E1103" s="1" t="s">
        <v>900</v>
      </c>
      <c r="F1103" s="5">
        <f t="shared" si="69"/>
        <v>3249.23</v>
      </c>
      <c r="G1103" s="1">
        <v>78</v>
      </c>
      <c r="H1103" s="1" t="str">
        <f t="shared" si="70"/>
        <v>High</v>
      </c>
      <c r="I1103" s="1" t="str">
        <f t="shared" si="71"/>
        <v>Other</v>
      </c>
      <c r="J1103" s="1">
        <f t="shared" si="72"/>
        <v>442311.33</v>
      </c>
    </row>
    <row r="1104" spans="1:10" ht="12.75">
      <c r="A1104" s="1" t="s">
        <v>11</v>
      </c>
      <c r="B1104" s="1" t="s">
        <v>54</v>
      </c>
      <c r="C1104" s="1" t="s">
        <v>55</v>
      </c>
      <c r="D1104" s="2">
        <v>45036</v>
      </c>
      <c r="E1104" s="1" t="s">
        <v>901</v>
      </c>
      <c r="F1104" s="5">
        <f t="shared" si="69"/>
        <v>4526.24</v>
      </c>
      <c r="G1104" s="1">
        <v>64</v>
      </c>
      <c r="H1104" s="1" t="str">
        <f t="shared" si="70"/>
        <v>High</v>
      </c>
      <c r="I1104" s="1" t="str">
        <f t="shared" si="71"/>
        <v>Other</v>
      </c>
      <c r="J1104" s="1">
        <f t="shared" si="72"/>
        <v>442311.33</v>
      </c>
    </row>
    <row r="1105" spans="1:10" ht="12.75">
      <c r="A1105" s="1" t="s">
        <v>7</v>
      </c>
      <c r="B1105" s="1" t="s">
        <v>5</v>
      </c>
      <c r="C1105" s="1" t="s">
        <v>51</v>
      </c>
      <c r="D1105" s="2">
        <v>45111</v>
      </c>
      <c r="E1105" s="1" t="s">
        <v>902</v>
      </c>
      <c r="F1105" s="5">
        <f t="shared" si="69"/>
        <v>3166.56</v>
      </c>
      <c r="G1105" s="1">
        <v>98</v>
      </c>
      <c r="H1105" s="1" t="str">
        <f t="shared" si="70"/>
        <v>High</v>
      </c>
      <c r="I1105" s="1" t="str">
        <f t="shared" si="71"/>
        <v>Other</v>
      </c>
      <c r="J1105" s="1">
        <f t="shared" si="72"/>
        <v>442311.33</v>
      </c>
    </row>
    <row r="1106" spans="1:10" ht="12.75">
      <c r="A1106" s="1" t="s">
        <v>19</v>
      </c>
      <c r="B1106" s="1" t="s">
        <v>39</v>
      </c>
      <c r="C1106" s="1" t="s">
        <v>49</v>
      </c>
      <c r="D1106" s="2">
        <v>44939</v>
      </c>
      <c r="E1106" s="1" t="s">
        <v>903</v>
      </c>
      <c r="F1106" s="5">
        <f t="shared" si="69"/>
        <v>4866.3900000000003</v>
      </c>
      <c r="G1106" s="1">
        <v>65</v>
      </c>
      <c r="H1106" s="1" t="str">
        <f t="shared" si="70"/>
        <v>High</v>
      </c>
      <c r="I1106" s="1" t="str">
        <f t="shared" si="71"/>
        <v>Other</v>
      </c>
      <c r="J1106" s="1">
        <f t="shared" si="72"/>
        <v>442311.33</v>
      </c>
    </row>
    <row r="1107" spans="1:10" ht="12.75">
      <c r="A1107" s="1" t="s">
        <v>16</v>
      </c>
      <c r="B1107" s="1" t="s">
        <v>59</v>
      </c>
      <c r="C1107" s="1" t="s">
        <v>60</v>
      </c>
      <c r="D1107" s="2">
        <v>44995</v>
      </c>
      <c r="E1107" s="1" t="s">
        <v>904</v>
      </c>
      <c r="F1107" s="5">
        <f t="shared" si="69"/>
        <v>4254.37</v>
      </c>
      <c r="G1107" s="1">
        <v>12</v>
      </c>
      <c r="H1107" s="1" t="str">
        <f t="shared" si="70"/>
        <v>High</v>
      </c>
      <c r="I1107" s="1" t="str">
        <f t="shared" si="71"/>
        <v>Other</v>
      </c>
      <c r="J1107" s="1">
        <f t="shared" si="72"/>
        <v>442311.33</v>
      </c>
    </row>
    <row r="1108" spans="1:10" ht="12.75">
      <c r="A1108" s="1" t="s">
        <v>2</v>
      </c>
      <c r="B1108" s="1" t="s">
        <v>62</v>
      </c>
      <c r="C1108" s="1" t="s">
        <v>63</v>
      </c>
      <c r="D1108" s="2">
        <v>44939</v>
      </c>
      <c r="E1108" s="1" t="s">
        <v>905</v>
      </c>
      <c r="F1108" s="5">
        <f t="shared" si="69"/>
        <v>1652.61</v>
      </c>
      <c r="G1108" s="1">
        <v>277</v>
      </c>
      <c r="H1108" s="1" t="str">
        <f t="shared" si="70"/>
        <v>High</v>
      </c>
      <c r="I1108" s="1" t="str">
        <f t="shared" si="71"/>
        <v>Other</v>
      </c>
      <c r="J1108" s="1">
        <f t="shared" si="72"/>
        <v>442311.33</v>
      </c>
    </row>
    <row r="1109" spans="1:10" ht="12.75">
      <c r="A1109" s="1" t="s">
        <v>18</v>
      </c>
      <c r="B1109" s="1" t="s">
        <v>54</v>
      </c>
      <c r="C1109" s="1" t="s">
        <v>65</v>
      </c>
      <c r="D1109" s="2">
        <v>45135</v>
      </c>
      <c r="E1109" s="1" t="s">
        <v>906</v>
      </c>
      <c r="F1109" s="5">
        <f t="shared" si="69"/>
        <v>171.49</v>
      </c>
      <c r="G1109" s="1">
        <v>163</v>
      </c>
      <c r="H1109" s="1" t="str">
        <f t="shared" si="70"/>
        <v>Low</v>
      </c>
      <c r="I1109" s="1" t="str">
        <f t="shared" si="71"/>
        <v>Other</v>
      </c>
      <c r="J1109" s="1">
        <f t="shared" si="72"/>
        <v>440658.72000000003</v>
      </c>
    </row>
    <row r="1110" spans="1:10" ht="12.75">
      <c r="A1110" s="1" t="s">
        <v>14</v>
      </c>
      <c r="B1110" s="1" t="s">
        <v>54</v>
      </c>
      <c r="C1110" s="1" t="s">
        <v>45</v>
      </c>
      <c r="D1110" s="2">
        <v>45141</v>
      </c>
      <c r="E1110" s="1" t="s">
        <v>907</v>
      </c>
      <c r="F1110" s="5">
        <f t="shared" si="69"/>
        <v>8549.84</v>
      </c>
      <c r="G1110" s="1">
        <v>169</v>
      </c>
      <c r="H1110" s="1" t="str">
        <f t="shared" si="70"/>
        <v>High</v>
      </c>
      <c r="I1110" s="1" t="str">
        <f t="shared" si="71"/>
        <v>Other</v>
      </c>
      <c r="J1110" s="1">
        <f t="shared" si="72"/>
        <v>440658.72000000003</v>
      </c>
    </row>
    <row r="1111" spans="1:10" ht="12.75">
      <c r="A1111" s="1" t="s">
        <v>28</v>
      </c>
      <c r="B1111" s="1" t="s">
        <v>5</v>
      </c>
      <c r="C1111" s="1" t="s">
        <v>68</v>
      </c>
      <c r="D1111" s="2">
        <v>44952</v>
      </c>
      <c r="E1111" s="1" t="s">
        <v>908</v>
      </c>
      <c r="F1111" s="5">
        <f t="shared" si="69"/>
        <v>7807.74</v>
      </c>
      <c r="G1111" s="1">
        <v>355</v>
      </c>
      <c r="H1111" s="1" t="str">
        <f t="shared" si="70"/>
        <v>High</v>
      </c>
      <c r="I1111" s="1" t="str">
        <f t="shared" si="71"/>
        <v>Other</v>
      </c>
      <c r="J1111" s="1">
        <f t="shared" si="72"/>
        <v>440658.72000000003</v>
      </c>
    </row>
    <row r="1112" spans="1:10" ht="12.75">
      <c r="A1112" s="1" t="s">
        <v>10</v>
      </c>
      <c r="B1112" s="1" t="s">
        <v>62</v>
      </c>
      <c r="C1112" s="1" t="s">
        <v>68</v>
      </c>
      <c r="D1112" s="2">
        <v>44971</v>
      </c>
      <c r="E1112" s="1" t="s">
        <v>909</v>
      </c>
      <c r="F1112" s="5">
        <f t="shared" si="69"/>
        <v>4561.43</v>
      </c>
      <c r="G1112" s="1">
        <v>44</v>
      </c>
      <c r="H1112" s="1" t="str">
        <f t="shared" si="70"/>
        <v>High</v>
      </c>
      <c r="I1112" s="1" t="str">
        <f t="shared" si="71"/>
        <v>Other</v>
      </c>
      <c r="J1112" s="1">
        <f t="shared" si="72"/>
        <v>440658.72000000003</v>
      </c>
    </row>
    <row r="1113" spans="1:10" ht="12.75">
      <c r="A1113" s="1" t="s">
        <v>26</v>
      </c>
      <c r="B1113" s="1" t="s">
        <v>59</v>
      </c>
      <c r="C1113" s="1" t="s">
        <v>49</v>
      </c>
      <c r="D1113" s="2">
        <v>45021</v>
      </c>
      <c r="E1113" s="1" t="s">
        <v>910</v>
      </c>
      <c r="F1113" s="5">
        <f t="shared" si="69"/>
        <v>3041.12</v>
      </c>
      <c r="G1113" s="1">
        <v>148</v>
      </c>
      <c r="H1113" s="1" t="str">
        <f t="shared" si="70"/>
        <v>High</v>
      </c>
      <c r="I1113" s="1" t="str">
        <f t="shared" si="71"/>
        <v>Other</v>
      </c>
      <c r="J1113" s="1">
        <f t="shared" si="72"/>
        <v>440658.72000000003</v>
      </c>
    </row>
    <row r="1114" spans="1:10" ht="12.75">
      <c r="A1114" s="1" t="s">
        <v>28</v>
      </c>
      <c r="B1114" s="1" t="s">
        <v>62</v>
      </c>
      <c r="C1114" s="1" t="s">
        <v>72</v>
      </c>
      <c r="D1114" s="2">
        <v>44973</v>
      </c>
      <c r="E1114" s="1" t="s">
        <v>911</v>
      </c>
      <c r="F1114" s="5">
        <f t="shared" si="69"/>
        <v>9786.09</v>
      </c>
      <c r="G1114" s="1">
        <v>248</v>
      </c>
      <c r="H1114" s="1" t="str">
        <f t="shared" si="70"/>
        <v>High</v>
      </c>
      <c r="I1114" s="1" t="str">
        <f t="shared" si="71"/>
        <v>Other</v>
      </c>
      <c r="J1114" s="1">
        <f t="shared" si="72"/>
        <v>440658.72000000003</v>
      </c>
    </row>
    <row r="1115" spans="1:10" ht="12.75">
      <c r="A1115" s="1" t="s">
        <v>24</v>
      </c>
      <c r="B1115" s="1" t="s">
        <v>39</v>
      </c>
      <c r="C1115" s="1" t="s">
        <v>43</v>
      </c>
      <c r="D1115" s="2">
        <v>45085</v>
      </c>
      <c r="E1115" s="1" t="s">
        <v>912</v>
      </c>
      <c r="F1115" s="5">
        <f t="shared" si="69"/>
        <v>1131.25</v>
      </c>
      <c r="G1115" s="1">
        <v>175</v>
      </c>
      <c r="H1115" s="1" t="str">
        <f t="shared" si="70"/>
        <v>High</v>
      </c>
      <c r="I1115" s="1" t="str">
        <f t="shared" si="71"/>
        <v>Other</v>
      </c>
      <c r="J1115" s="1">
        <f t="shared" si="72"/>
        <v>440658.72000000003</v>
      </c>
    </row>
    <row r="1116" spans="1:10" ht="12.75">
      <c r="A1116" s="1" t="s">
        <v>7</v>
      </c>
      <c r="B1116" s="1" t="s">
        <v>5</v>
      </c>
      <c r="C1116" s="1" t="s">
        <v>63</v>
      </c>
      <c r="D1116" s="2">
        <v>45104</v>
      </c>
      <c r="E1116" s="1" t="s">
        <v>913</v>
      </c>
      <c r="F1116" s="5">
        <f t="shared" si="69"/>
        <v>7484.07</v>
      </c>
      <c r="G1116" s="1">
        <v>94</v>
      </c>
      <c r="H1116" s="1" t="str">
        <f t="shared" si="70"/>
        <v>High</v>
      </c>
      <c r="I1116" s="1" t="str">
        <f t="shared" si="71"/>
        <v>Other</v>
      </c>
      <c r="J1116" s="1">
        <f t="shared" si="72"/>
        <v>440658.72000000003</v>
      </c>
    </row>
    <row r="1117" spans="1:10" ht="12.75">
      <c r="A1117" s="1" t="s">
        <v>23</v>
      </c>
      <c r="B1117" s="1" t="s">
        <v>59</v>
      </c>
      <c r="C1117" s="1" t="s">
        <v>76</v>
      </c>
      <c r="D1117" s="2">
        <v>44974</v>
      </c>
      <c r="E1117" s="1" t="s">
        <v>914</v>
      </c>
      <c r="F1117" s="5">
        <f t="shared" si="69"/>
        <v>1339.61</v>
      </c>
      <c r="G1117" s="1">
        <v>166</v>
      </c>
      <c r="H1117" s="1" t="str">
        <f t="shared" si="70"/>
        <v>High</v>
      </c>
      <c r="I1117" s="1" t="str">
        <f t="shared" si="71"/>
        <v>Other</v>
      </c>
      <c r="J1117" s="1">
        <f t="shared" si="72"/>
        <v>440658.72000000003</v>
      </c>
    </row>
    <row r="1118" spans="1:10" ht="12.75">
      <c r="A1118" s="1" t="s">
        <v>14</v>
      </c>
      <c r="B1118" s="1" t="s">
        <v>59</v>
      </c>
      <c r="C1118" s="1" t="s">
        <v>52</v>
      </c>
      <c r="D1118" s="2">
        <v>45076</v>
      </c>
      <c r="E1118" s="1" t="s">
        <v>915</v>
      </c>
      <c r="F1118" s="5">
        <f t="shared" si="69"/>
        <v>5481.18</v>
      </c>
      <c r="G1118" s="1">
        <v>159</v>
      </c>
      <c r="H1118" s="1" t="str">
        <f t="shared" si="70"/>
        <v>High</v>
      </c>
      <c r="I1118" s="1" t="str">
        <f t="shared" si="71"/>
        <v>Other</v>
      </c>
      <c r="J1118" s="1">
        <f t="shared" si="72"/>
        <v>440658.72000000003</v>
      </c>
    </row>
    <row r="1119" spans="1:10" ht="12.75">
      <c r="A1119" s="1" t="s">
        <v>13</v>
      </c>
      <c r="B1119" s="1" t="s">
        <v>39</v>
      </c>
      <c r="C1119" s="1" t="s">
        <v>65</v>
      </c>
      <c r="D1119" s="2">
        <v>44999</v>
      </c>
      <c r="E1119" s="1" t="s">
        <v>916</v>
      </c>
      <c r="F1119" s="5">
        <f t="shared" si="69"/>
        <v>3275.4</v>
      </c>
      <c r="G1119" s="1">
        <v>120</v>
      </c>
      <c r="H1119" s="1" t="str">
        <f t="shared" si="70"/>
        <v>High</v>
      </c>
      <c r="I1119" s="1" t="str">
        <f t="shared" si="71"/>
        <v>Other</v>
      </c>
      <c r="J1119" s="1">
        <f t="shared" si="72"/>
        <v>440658.72000000003</v>
      </c>
    </row>
    <row r="1120" spans="1:10" ht="12.75">
      <c r="A1120" s="1" t="s">
        <v>8</v>
      </c>
      <c r="B1120" s="1" t="s">
        <v>5</v>
      </c>
      <c r="C1120" s="1" t="s">
        <v>63</v>
      </c>
      <c r="D1120" s="2">
        <v>44985</v>
      </c>
      <c r="E1120" s="1" t="s">
        <v>917</v>
      </c>
      <c r="F1120" s="5">
        <f t="shared" si="69"/>
        <v>7677.78</v>
      </c>
      <c r="G1120" s="1">
        <v>118</v>
      </c>
      <c r="H1120" s="1" t="str">
        <f t="shared" si="70"/>
        <v>High</v>
      </c>
      <c r="I1120" s="1" t="str">
        <f t="shared" si="71"/>
        <v>Other</v>
      </c>
      <c r="J1120" s="1">
        <f t="shared" si="72"/>
        <v>440658.72000000003</v>
      </c>
    </row>
    <row r="1121" spans="1:10" ht="12.75">
      <c r="A1121" s="1" t="s">
        <v>18</v>
      </c>
      <c r="B1121" s="1" t="s">
        <v>42</v>
      </c>
      <c r="C1121" s="1" t="s">
        <v>81</v>
      </c>
      <c r="D1121" s="2">
        <v>44952</v>
      </c>
      <c r="E1121" s="1" t="s">
        <v>918</v>
      </c>
      <c r="F1121" s="5">
        <f t="shared" si="69"/>
        <v>189.37</v>
      </c>
      <c r="G1121" s="1">
        <v>315</v>
      </c>
      <c r="H1121" s="1" t="str">
        <f t="shared" si="70"/>
        <v>Low</v>
      </c>
      <c r="I1121" s="1" t="str">
        <f t="shared" si="71"/>
        <v>Other</v>
      </c>
      <c r="J1121" s="1">
        <f t="shared" si="72"/>
        <v>440658.72000000003</v>
      </c>
    </row>
    <row r="1122" spans="1:10" ht="12.75">
      <c r="A1122" s="1" t="s">
        <v>26</v>
      </c>
      <c r="B1122" s="1" t="s">
        <v>62</v>
      </c>
      <c r="C1122" s="1" t="s">
        <v>76</v>
      </c>
      <c r="D1122" s="2">
        <v>44966</v>
      </c>
      <c r="E1122" s="1" t="s">
        <v>919</v>
      </c>
      <c r="F1122" s="5">
        <f t="shared" si="69"/>
        <v>1658.79</v>
      </c>
      <c r="G1122" s="1">
        <v>193</v>
      </c>
      <c r="H1122" s="1" t="str">
        <f t="shared" si="70"/>
        <v>High</v>
      </c>
      <c r="I1122" s="1" t="str">
        <f t="shared" si="71"/>
        <v>Other</v>
      </c>
      <c r="J1122" s="1">
        <f t="shared" si="72"/>
        <v>440658.72000000003</v>
      </c>
    </row>
    <row r="1123" spans="1:10" ht="12.75">
      <c r="A1123" s="1" t="s">
        <v>13</v>
      </c>
      <c r="B1123" s="1" t="s">
        <v>59</v>
      </c>
      <c r="C1123" s="1" t="s">
        <v>63</v>
      </c>
      <c r="D1123" s="2">
        <v>45114</v>
      </c>
      <c r="E1123" s="1" t="s">
        <v>920</v>
      </c>
      <c r="F1123" s="5">
        <f t="shared" si="69"/>
        <v>4168.93</v>
      </c>
      <c r="G1123" s="1">
        <v>122</v>
      </c>
      <c r="H1123" s="1" t="str">
        <f t="shared" si="70"/>
        <v>High</v>
      </c>
      <c r="I1123" s="1" t="str">
        <f t="shared" si="71"/>
        <v>Other</v>
      </c>
      <c r="J1123" s="1">
        <f t="shared" si="72"/>
        <v>440658.72000000003</v>
      </c>
    </row>
    <row r="1124" spans="1:10" ht="12.75">
      <c r="A1124" s="1" t="s">
        <v>6</v>
      </c>
      <c r="B1124" s="1" t="s">
        <v>54</v>
      </c>
      <c r="C1124" s="1" t="s">
        <v>84</v>
      </c>
      <c r="D1124" s="2">
        <v>45112</v>
      </c>
      <c r="E1124" s="1" t="s">
        <v>921</v>
      </c>
      <c r="F1124" s="5">
        <f t="shared" si="69"/>
        <v>10604.89</v>
      </c>
      <c r="G1124" s="1">
        <v>165</v>
      </c>
      <c r="H1124" s="1" t="str">
        <f t="shared" si="70"/>
        <v>High</v>
      </c>
      <c r="I1124" s="1" t="str">
        <f t="shared" si="71"/>
        <v>Other</v>
      </c>
      <c r="J1124" s="1">
        <f t="shared" si="72"/>
        <v>440658.72000000003</v>
      </c>
    </row>
    <row r="1125" spans="1:10" ht="12.75">
      <c r="A1125" s="1" t="s">
        <v>6</v>
      </c>
      <c r="B1125" s="1" t="s">
        <v>54</v>
      </c>
      <c r="C1125" s="1" t="s">
        <v>86</v>
      </c>
      <c r="D1125" s="2">
        <v>45092</v>
      </c>
      <c r="E1125" s="1" t="s">
        <v>922</v>
      </c>
      <c r="F1125" s="5">
        <f t="shared" si="69"/>
        <v>5773.51</v>
      </c>
      <c r="G1125" s="1">
        <v>325</v>
      </c>
      <c r="H1125" s="1" t="str">
        <f t="shared" si="70"/>
        <v>High</v>
      </c>
      <c r="I1125" s="1" t="str">
        <f t="shared" si="71"/>
        <v>Other</v>
      </c>
      <c r="J1125" s="1">
        <f t="shared" si="72"/>
        <v>440658.72000000003</v>
      </c>
    </row>
    <row r="1126" spans="1:10" ht="12.75">
      <c r="A1126" s="1" t="s">
        <v>10</v>
      </c>
      <c r="B1126" s="1" t="s">
        <v>54</v>
      </c>
      <c r="C1126" s="1" t="s">
        <v>43</v>
      </c>
      <c r="D1126" s="2">
        <v>45070</v>
      </c>
      <c r="E1126" s="1" t="s">
        <v>923</v>
      </c>
      <c r="F1126" s="5">
        <f t="shared" si="69"/>
        <v>1838.78</v>
      </c>
      <c r="G1126" s="1">
        <v>121</v>
      </c>
      <c r="H1126" s="1" t="str">
        <f t="shared" si="70"/>
        <v>High</v>
      </c>
      <c r="I1126" s="1" t="str">
        <f t="shared" si="71"/>
        <v>Other</v>
      </c>
      <c r="J1126" s="1">
        <f t="shared" si="72"/>
        <v>440658.72000000003</v>
      </c>
    </row>
    <row r="1127" spans="1:10" ht="12.75">
      <c r="A1127" s="1" t="s">
        <v>19</v>
      </c>
      <c r="B1127" s="1" t="s">
        <v>39</v>
      </c>
      <c r="C1127" s="1" t="s">
        <v>51</v>
      </c>
      <c r="D1127" s="2">
        <v>45106</v>
      </c>
      <c r="E1127" s="1" t="s">
        <v>924</v>
      </c>
      <c r="F1127" s="5">
        <f t="shared" si="69"/>
        <v>12643.1</v>
      </c>
      <c r="G1127" s="1">
        <v>150</v>
      </c>
      <c r="H1127" s="1" t="str">
        <f t="shared" si="70"/>
        <v>High</v>
      </c>
      <c r="I1127" s="1" t="str">
        <f t="shared" si="71"/>
        <v>Other</v>
      </c>
      <c r="J1127" s="1">
        <f t="shared" si="72"/>
        <v>440658.72000000003</v>
      </c>
    </row>
    <row r="1128" spans="1:10" ht="12.75">
      <c r="A1128" s="1" t="s">
        <v>29</v>
      </c>
      <c r="B1128" s="1" t="s">
        <v>5</v>
      </c>
      <c r="C1128" s="1" t="s">
        <v>86</v>
      </c>
      <c r="D1128" s="2">
        <v>45057</v>
      </c>
      <c r="E1128" s="1" t="s">
        <v>925</v>
      </c>
      <c r="F1128" s="5">
        <f t="shared" si="69"/>
        <v>4439.5200000000004</v>
      </c>
      <c r="G1128" s="1">
        <v>95</v>
      </c>
      <c r="H1128" s="1" t="str">
        <f t="shared" si="70"/>
        <v>High</v>
      </c>
      <c r="I1128" s="1" t="str">
        <f t="shared" si="71"/>
        <v>Other</v>
      </c>
      <c r="J1128" s="1">
        <f t="shared" si="72"/>
        <v>440658.72000000003</v>
      </c>
    </row>
    <row r="1129" spans="1:10" ht="12.75">
      <c r="A1129" s="1" t="s">
        <v>18</v>
      </c>
      <c r="B1129" s="1" t="s">
        <v>39</v>
      </c>
      <c r="C1129" s="1" t="s">
        <v>91</v>
      </c>
      <c r="D1129" s="2">
        <v>45107</v>
      </c>
      <c r="E1129" s="1" t="s">
        <v>926</v>
      </c>
      <c r="F1129" s="5">
        <f t="shared" si="69"/>
        <v>7698.6</v>
      </c>
      <c r="G1129" s="1">
        <v>126</v>
      </c>
      <c r="H1129" s="1" t="str">
        <f t="shared" si="70"/>
        <v>High</v>
      </c>
      <c r="I1129" s="1" t="str">
        <f t="shared" si="71"/>
        <v>Other</v>
      </c>
      <c r="J1129" s="1">
        <f t="shared" si="72"/>
        <v>440658.72000000003</v>
      </c>
    </row>
    <row r="1130" spans="1:10" ht="12.75">
      <c r="A1130" s="1" t="s">
        <v>27</v>
      </c>
      <c r="B1130" s="1" t="s">
        <v>62</v>
      </c>
      <c r="C1130" s="1" t="s">
        <v>52</v>
      </c>
      <c r="D1130" s="2">
        <v>45057</v>
      </c>
      <c r="E1130" s="1" t="s">
        <v>927</v>
      </c>
      <c r="F1130" s="5">
        <f t="shared" si="69"/>
        <v>2222.3000000000002</v>
      </c>
      <c r="G1130" s="1">
        <v>77</v>
      </c>
      <c r="H1130" s="1" t="str">
        <f t="shared" si="70"/>
        <v>High</v>
      </c>
      <c r="I1130" s="1" t="str">
        <f t="shared" si="71"/>
        <v>Other</v>
      </c>
      <c r="J1130" s="1">
        <f t="shared" si="72"/>
        <v>440658.72000000003</v>
      </c>
    </row>
    <row r="1131" spans="1:10" ht="12.75">
      <c r="A1131" s="1" t="s">
        <v>26</v>
      </c>
      <c r="B1131" s="1" t="s">
        <v>59</v>
      </c>
      <c r="C1131" s="1" t="s">
        <v>86</v>
      </c>
      <c r="D1131" s="2">
        <v>45129</v>
      </c>
      <c r="E1131" s="1" t="s">
        <v>928</v>
      </c>
      <c r="F1131" s="5">
        <f t="shared" si="69"/>
        <v>10959.02</v>
      </c>
      <c r="G1131" s="1">
        <v>302</v>
      </c>
      <c r="H1131" s="1" t="str">
        <f t="shared" si="70"/>
        <v>High</v>
      </c>
      <c r="I1131" s="1" t="str">
        <f t="shared" si="71"/>
        <v>Other</v>
      </c>
      <c r="J1131" s="1">
        <f t="shared" si="72"/>
        <v>440658.72000000003</v>
      </c>
    </row>
    <row r="1132" spans="1:10" ht="12.75">
      <c r="A1132" s="1" t="s">
        <v>27</v>
      </c>
      <c r="B1132" s="1" t="s">
        <v>39</v>
      </c>
      <c r="C1132" s="1" t="s">
        <v>55</v>
      </c>
      <c r="D1132" s="2">
        <v>45162</v>
      </c>
      <c r="E1132" s="1" t="s">
        <v>929</v>
      </c>
      <c r="F1132" s="5">
        <f t="shared" si="69"/>
        <v>2854.85</v>
      </c>
      <c r="G1132" s="1">
        <v>337</v>
      </c>
      <c r="H1132" s="1" t="str">
        <f t="shared" si="70"/>
        <v>High</v>
      </c>
      <c r="I1132" s="1" t="str">
        <f t="shared" si="71"/>
        <v>Other</v>
      </c>
      <c r="J1132" s="1">
        <f t="shared" si="72"/>
        <v>440658.72000000003</v>
      </c>
    </row>
    <row r="1133" spans="1:10" ht="12.75">
      <c r="A1133" s="1" t="s">
        <v>12</v>
      </c>
      <c r="B1133" s="1" t="s">
        <v>54</v>
      </c>
      <c r="C1133" s="1" t="s">
        <v>52</v>
      </c>
      <c r="D1133" s="2">
        <v>45114</v>
      </c>
      <c r="E1133" s="1" t="s">
        <v>930</v>
      </c>
      <c r="F1133" s="5">
        <f t="shared" si="69"/>
        <v>147.82</v>
      </c>
      <c r="G1133" s="1">
        <v>74</v>
      </c>
      <c r="H1133" s="1" t="str">
        <f t="shared" si="70"/>
        <v>Low</v>
      </c>
      <c r="I1133" s="1" t="str">
        <f t="shared" si="71"/>
        <v>Other</v>
      </c>
      <c r="J1133" s="1">
        <f t="shared" si="72"/>
        <v>440658.72000000003</v>
      </c>
    </row>
    <row r="1134" spans="1:10" ht="12.75">
      <c r="A1134" s="1" t="s">
        <v>25</v>
      </c>
      <c r="B1134" s="1" t="s">
        <v>5</v>
      </c>
      <c r="C1134" s="1" t="s">
        <v>43</v>
      </c>
      <c r="D1134" s="2">
        <v>45065</v>
      </c>
      <c r="E1134" s="1" t="s">
        <v>931</v>
      </c>
      <c r="F1134" s="5">
        <f t="shared" si="69"/>
        <v>3790.51</v>
      </c>
      <c r="G1134" s="1">
        <v>14</v>
      </c>
      <c r="H1134" s="1" t="str">
        <f t="shared" si="70"/>
        <v>High</v>
      </c>
      <c r="I1134" s="1" t="str">
        <f t="shared" si="71"/>
        <v>Other</v>
      </c>
      <c r="J1134" s="1">
        <f t="shared" si="72"/>
        <v>440658.72000000003</v>
      </c>
    </row>
    <row r="1135" spans="1:10" ht="12.75">
      <c r="A1135" s="1" t="s">
        <v>18</v>
      </c>
      <c r="B1135" s="1" t="s">
        <v>42</v>
      </c>
      <c r="C1135" s="1" t="s">
        <v>86</v>
      </c>
      <c r="D1135" s="2">
        <v>45111</v>
      </c>
      <c r="E1135" s="1" t="s">
        <v>932</v>
      </c>
      <c r="F1135" s="5">
        <f t="shared" si="69"/>
        <v>2487.19</v>
      </c>
      <c r="G1135" s="1">
        <v>583</v>
      </c>
      <c r="H1135" s="1" t="str">
        <f t="shared" si="70"/>
        <v>High</v>
      </c>
      <c r="I1135" s="1" t="str">
        <f t="shared" si="71"/>
        <v>Other</v>
      </c>
      <c r="J1135" s="1">
        <f t="shared" si="72"/>
        <v>440658.72000000003</v>
      </c>
    </row>
    <row r="1136" spans="1:10" ht="12.75">
      <c r="A1136" s="1" t="s">
        <v>12</v>
      </c>
      <c r="B1136" s="1" t="s">
        <v>59</v>
      </c>
      <c r="C1136" s="1" t="s">
        <v>52</v>
      </c>
      <c r="D1136" s="2">
        <v>45079</v>
      </c>
      <c r="E1136" s="1" t="s">
        <v>933</v>
      </c>
      <c r="F1136" s="5">
        <f t="shared" si="69"/>
        <v>1021.27</v>
      </c>
      <c r="G1136" s="1">
        <v>17</v>
      </c>
      <c r="H1136" s="1" t="str">
        <f t="shared" si="70"/>
        <v>High</v>
      </c>
      <c r="I1136" s="1" t="str">
        <f t="shared" si="71"/>
        <v>Other</v>
      </c>
      <c r="J1136" s="1">
        <f t="shared" si="72"/>
        <v>440658.72000000003</v>
      </c>
    </row>
    <row r="1137" spans="1:10" ht="12.75">
      <c r="A1137" s="1" t="s">
        <v>18</v>
      </c>
      <c r="B1137" s="1" t="s">
        <v>59</v>
      </c>
      <c r="C1137" s="1" t="s">
        <v>100</v>
      </c>
      <c r="D1137" s="2">
        <v>45031</v>
      </c>
      <c r="E1137" s="1" t="s">
        <v>934</v>
      </c>
      <c r="F1137" s="5">
        <f t="shared" si="69"/>
        <v>15370.06</v>
      </c>
      <c r="G1137" s="1">
        <v>353</v>
      </c>
      <c r="H1137" s="1" t="str">
        <f t="shared" si="70"/>
        <v>High</v>
      </c>
      <c r="I1137" s="1" t="str">
        <f t="shared" si="71"/>
        <v>Other</v>
      </c>
      <c r="J1137" s="1">
        <f t="shared" si="72"/>
        <v>440658.72000000003</v>
      </c>
    </row>
    <row r="1138" spans="1:10" ht="12.75">
      <c r="A1138" s="1" t="s">
        <v>2</v>
      </c>
      <c r="B1138" s="1" t="s">
        <v>62</v>
      </c>
      <c r="C1138" s="1" t="s">
        <v>102</v>
      </c>
      <c r="D1138" s="2">
        <v>45118</v>
      </c>
      <c r="E1138" s="1" t="s">
        <v>935</v>
      </c>
      <c r="F1138" s="5">
        <f t="shared" si="69"/>
        <v>5345.58</v>
      </c>
      <c r="G1138" s="1">
        <v>250</v>
      </c>
      <c r="H1138" s="1" t="str">
        <f t="shared" si="70"/>
        <v>High</v>
      </c>
      <c r="I1138" s="1" t="str">
        <f t="shared" si="71"/>
        <v>Other</v>
      </c>
      <c r="J1138" s="1">
        <f t="shared" si="72"/>
        <v>440658.72000000003</v>
      </c>
    </row>
    <row r="1139" spans="1:10" ht="12.75">
      <c r="A1139" s="1" t="s">
        <v>27</v>
      </c>
      <c r="B1139" s="1" t="s">
        <v>42</v>
      </c>
      <c r="C1139" s="1" t="s">
        <v>76</v>
      </c>
      <c r="D1139" s="2">
        <v>44980</v>
      </c>
      <c r="E1139" s="1" t="s">
        <v>936</v>
      </c>
      <c r="F1139" s="5">
        <f t="shared" si="69"/>
        <v>6559.44</v>
      </c>
      <c r="G1139" s="1">
        <v>154</v>
      </c>
      <c r="H1139" s="1" t="str">
        <f t="shared" si="70"/>
        <v>High</v>
      </c>
      <c r="I1139" s="1" t="str">
        <f t="shared" si="71"/>
        <v>Other</v>
      </c>
      <c r="J1139" s="1">
        <f t="shared" si="72"/>
        <v>435313.14</v>
      </c>
    </row>
    <row r="1140" spans="1:10" ht="12.75">
      <c r="A1140" s="1" t="s">
        <v>9</v>
      </c>
      <c r="B1140" s="1" t="s">
        <v>62</v>
      </c>
      <c r="C1140" s="1" t="s">
        <v>91</v>
      </c>
      <c r="D1140" s="2">
        <v>45160</v>
      </c>
      <c r="E1140" s="1" t="s">
        <v>937</v>
      </c>
      <c r="F1140" s="5">
        <f t="shared" si="69"/>
        <v>8282.93</v>
      </c>
      <c r="G1140" s="1">
        <v>107</v>
      </c>
      <c r="H1140" s="1" t="str">
        <f t="shared" si="70"/>
        <v>High</v>
      </c>
      <c r="I1140" s="1" t="str">
        <f t="shared" si="71"/>
        <v>Other</v>
      </c>
      <c r="J1140" s="1">
        <f t="shared" si="72"/>
        <v>435313.14</v>
      </c>
    </row>
    <row r="1141" spans="1:10" ht="12.75">
      <c r="A1141" s="1" t="s">
        <v>8</v>
      </c>
      <c r="B1141" s="1" t="s">
        <v>59</v>
      </c>
      <c r="C1141" s="1" t="s">
        <v>45</v>
      </c>
      <c r="D1141" s="2">
        <v>44973</v>
      </c>
      <c r="E1141" s="1" t="s">
        <v>938</v>
      </c>
      <c r="F1141" s="5">
        <f t="shared" si="69"/>
        <v>6981.4</v>
      </c>
      <c r="G1141" s="1">
        <v>189</v>
      </c>
      <c r="H1141" s="1" t="str">
        <f t="shared" si="70"/>
        <v>High</v>
      </c>
      <c r="I1141" s="1" t="str">
        <f t="shared" si="71"/>
        <v>Other</v>
      </c>
      <c r="J1141" s="1">
        <f t="shared" si="72"/>
        <v>435313.14</v>
      </c>
    </row>
    <row r="1142" spans="1:10" ht="12.75">
      <c r="A1142" s="1" t="s">
        <v>10</v>
      </c>
      <c r="B1142" s="1" t="s">
        <v>59</v>
      </c>
      <c r="C1142" s="1" t="s">
        <v>55</v>
      </c>
      <c r="D1142" s="2">
        <v>44939</v>
      </c>
      <c r="E1142" s="1" t="s">
        <v>939</v>
      </c>
      <c r="F1142" s="5">
        <f t="shared" si="69"/>
        <v>10280.17</v>
      </c>
      <c r="G1142" s="1">
        <v>155</v>
      </c>
      <c r="H1142" s="1" t="str">
        <f t="shared" si="70"/>
        <v>High</v>
      </c>
      <c r="I1142" s="1" t="str">
        <f t="shared" si="71"/>
        <v>Other</v>
      </c>
      <c r="J1142" s="1">
        <f t="shared" si="72"/>
        <v>435313.14</v>
      </c>
    </row>
    <row r="1143" spans="1:10" ht="12.75">
      <c r="A1143" s="1" t="s">
        <v>24</v>
      </c>
      <c r="B1143" s="1" t="s">
        <v>5</v>
      </c>
      <c r="C1143" s="1" t="s">
        <v>72</v>
      </c>
      <c r="D1143" s="2">
        <v>44971</v>
      </c>
      <c r="E1143" s="1" t="s">
        <v>940</v>
      </c>
      <c r="F1143" s="5">
        <f t="shared" si="69"/>
        <v>7703.62</v>
      </c>
      <c r="G1143" s="1">
        <v>20</v>
      </c>
      <c r="H1143" s="1" t="str">
        <f t="shared" si="70"/>
        <v>High</v>
      </c>
      <c r="I1143" s="1" t="str">
        <f t="shared" si="71"/>
        <v>Other</v>
      </c>
      <c r="J1143" s="1">
        <f t="shared" si="72"/>
        <v>435313.14</v>
      </c>
    </row>
    <row r="1144" spans="1:10" ht="12.75">
      <c r="A1144" s="1" t="s">
        <v>26</v>
      </c>
      <c r="B1144" s="1" t="s">
        <v>42</v>
      </c>
      <c r="C1144" s="1" t="s">
        <v>63</v>
      </c>
      <c r="D1144" s="2">
        <v>45087</v>
      </c>
      <c r="E1144" s="1" t="s">
        <v>941</v>
      </c>
      <c r="F1144" s="5">
        <f t="shared" si="69"/>
        <v>4489.8100000000004</v>
      </c>
      <c r="G1144" s="1">
        <v>310</v>
      </c>
      <c r="H1144" s="1" t="str">
        <f t="shared" si="70"/>
        <v>High</v>
      </c>
      <c r="I1144" s="1" t="str">
        <f t="shared" si="71"/>
        <v>Other</v>
      </c>
      <c r="J1144" s="1">
        <f t="shared" si="72"/>
        <v>435313.14</v>
      </c>
    </row>
    <row r="1145" spans="1:10" ht="12.75">
      <c r="A1145" s="1" t="s">
        <v>24</v>
      </c>
      <c r="B1145" s="1" t="s">
        <v>42</v>
      </c>
      <c r="C1145" s="1" t="s">
        <v>81</v>
      </c>
      <c r="D1145" s="2">
        <v>45114</v>
      </c>
      <c r="E1145" s="1" t="s">
        <v>942</v>
      </c>
      <c r="F1145" s="5">
        <f t="shared" si="69"/>
        <v>5806.11</v>
      </c>
      <c r="G1145" s="1">
        <v>190</v>
      </c>
      <c r="H1145" s="1" t="str">
        <f t="shared" si="70"/>
        <v>High</v>
      </c>
      <c r="I1145" s="1" t="str">
        <f t="shared" si="71"/>
        <v>Other</v>
      </c>
      <c r="J1145" s="1">
        <f t="shared" si="72"/>
        <v>435313.14</v>
      </c>
    </row>
    <row r="1146" spans="1:10" ht="12.75">
      <c r="A1146" s="1" t="s">
        <v>24</v>
      </c>
      <c r="B1146" s="1" t="s">
        <v>62</v>
      </c>
      <c r="C1146" s="1" t="s">
        <v>91</v>
      </c>
      <c r="D1146" s="2">
        <v>45009</v>
      </c>
      <c r="E1146" s="1" t="s">
        <v>943</v>
      </c>
      <c r="F1146" s="5">
        <f t="shared" si="69"/>
        <v>5148.7</v>
      </c>
      <c r="G1146" s="1">
        <v>76</v>
      </c>
      <c r="H1146" s="1" t="str">
        <f t="shared" si="70"/>
        <v>High</v>
      </c>
      <c r="I1146" s="1" t="str">
        <f t="shared" si="71"/>
        <v>Other</v>
      </c>
      <c r="J1146" s="1">
        <f t="shared" si="72"/>
        <v>435313.14</v>
      </c>
    </row>
    <row r="1147" spans="1:10" ht="12.75">
      <c r="A1147" s="1" t="s">
        <v>7</v>
      </c>
      <c r="B1147" s="1" t="s">
        <v>5</v>
      </c>
      <c r="C1147" s="1" t="s">
        <v>81</v>
      </c>
      <c r="D1147" s="2">
        <v>45083</v>
      </c>
      <c r="E1147" s="1" t="s">
        <v>944</v>
      </c>
      <c r="F1147" s="5">
        <f t="shared" si="69"/>
        <v>8558.59</v>
      </c>
      <c r="G1147" s="1">
        <v>24</v>
      </c>
      <c r="H1147" s="1" t="str">
        <f t="shared" si="70"/>
        <v>High</v>
      </c>
      <c r="I1147" s="1" t="str">
        <f t="shared" si="71"/>
        <v>Other</v>
      </c>
      <c r="J1147" s="1">
        <f t="shared" si="72"/>
        <v>435313.14</v>
      </c>
    </row>
    <row r="1148" spans="1:10" ht="12.75">
      <c r="A1148" s="1" t="s">
        <v>21</v>
      </c>
      <c r="B1148" s="1" t="s">
        <v>5</v>
      </c>
      <c r="C1148" s="1" t="s">
        <v>65</v>
      </c>
      <c r="D1148" s="2">
        <v>45126</v>
      </c>
      <c r="E1148" s="1" t="s">
        <v>945</v>
      </c>
      <c r="F1148" s="5">
        <f t="shared" si="69"/>
        <v>94.19</v>
      </c>
      <c r="G1148" s="1">
        <v>145</v>
      </c>
      <c r="H1148" s="1" t="str">
        <f t="shared" si="70"/>
        <v>Low</v>
      </c>
      <c r="I1148" s="1" t="str">
        <f t="shared" si="71"/>
        <v>Other</v>
      </c>
      <c r="J1148" s="1">
        <f t="shared" si="72"/>
        <v>435313.14</v>
      </c>
    </row>
    <row r="1149" spans="1:10" ht="12.75">
      <c r="A1149" s="1" t="s">
        <v>28</v>
      </c>
      <c r="B1149" s="1" t="s">
        <v>59</v>
      </c>
      <c r="C1149" s="1" t="s">
        <v>100</v>
      </c>
      <c r="D1149" s="2">
        <v>45035</v>
      </c>
      <c r="E1149" s="1" t="s">
        <v>946</v>
      </c>
      <c r="F1149" s="5">
        <f t="shared" si="69"/>
        <v>16223.83</v>
      </c>
      <c r="G1149" s="1">
        <v>87</v>
      </c>
      <c r="H1149" s="1" t="str">
        <f t="shared" si="70"/>
        <v>High</v>
      </c>
      <c r="I1149" s="1" t="str">
        <f t="shared" si="71"/>
        <v>Other</v>
      </c>
      <c r="J1149" s="1">
        <f t="shared" si="72"/>
        <v>435313.14</v>
      </c>
    </row>
    <row r="1150" spans="1:10" ht="12.75">
      <c r="A1150" s="1" t="s">
        <v>14</v>
      </c>
      <c r="B1150" s="1" t="s">
        <v>42</v>
      </c>
      <c r="C1150" s="1" t="s">
        <v>43</v>
      </c>
      <c r="D1150" s="2">
        <v>45126</v>
      </c>
      <c r="E1150" s="1" t="s">
        <v>947</v>
      </c>
      <c r="F1150" s="5">
        <f t="shared" si="69"/>
        <v>2439.06</v>
      </c>
      <c r="G1150" s="1">
        <v>175</v>
      </c>
      <c r="H1150" s="1" t="str">
        <f t="shared" si="70"/>
        <v>High</v>
      </c>
      <c r="I1150" s="1" t="str">
        <f t="shared" si="71"/>
        <v>Other</v>
      </c>
      <c r="J1150" s="1">
        <f t="shared" si="72"/>
        <v>435313.14</v>
      </c>
    </row>
    <row r="1151" spans="1:10" ht="12.75">
      <c r="A1151" s="1" t="s">
        <v>11</v>
      </c>
      <c r="B1151" s="1" t="s">
        <v>62</v>
      </c>
      <c r="C1151" s="1" t="s">
        <v>65</v>
      </c>
      <c r="D1151" s="2">
        <v>45122</v>
      </c>
      <c r="E1151" s="1" t="s">
        <v>948</v>
      </c>
      <c r="F1151" s="5">
        <f t="shared" si="69"/>
        <v>466.65</v>
      </c>
      <c r="G1151" s="1">
        <v>23</v>
      </c>
      <c r="H1151" s="1" t="str">
        <f t="shared" si="70"/>
        <v>Low</v>
      </c>
      <c r="I1151" s="1" t="str">
        <f t="shared" si="71"/>
        <v>Other</v>
      </c>
      <c r="J1151" s="1">
        <f t="shared" si="72"/>
        <v>435313.14</v>
      </c>
    </row>
    <row r="1152" spans="1:10" ht="12.75">
      <c r="A1152" s="1" t="s">
        <v>17</v>
      </c>
      <c r="B1152" s="1" t="s">
        <v>54</v>
      </c>
      <c r="C1152" s="1" t="s">
        <v>76</v>
      </c>
      <c r="D1152" s="2">
        <v>44971</v>
      </c>
      <c r="E1152" s="1" t="s">
        <v>949</v>
      </c>
      <c r="F1152" s="5">
        <f t="shared" si="69"/>
        <v>4044.24</v>
      </c>
      <c r="G1152" s="1">
        <v>18</v>
      </c>
      <c r="H1152" s="1" t="str">
        <f t="shared" si="70"/>
        <v>High</v>
      </c>
      <c r="I1152" s="1" t="str">
        <f t="shared" si="71"/>
        <v>Other</v>
      </c>
      <c r="J1152" s="1">
        <f t="shared" si="72"/>
        <v>435313.14</v>
      </c>
    </row>
    <row r="1153" spans="1:10" ht="12.75">
      <c r="A1153" s="1" t="s">
        <v>7</v>
      </c>
      <c r="B1153" s="1" t="s">
        <v>62</v>
      </c>
      <c r="C1153" s="1" t="s">
        <v>51</v>
      </c>
      <c r="D1153" s="2">
        <v>45064</v>
      </c>
      <c r="E1153" s="1" t="s">
        <v>950</v>
      </c>
      <c r="F1153" s="5">
        <f t="shared" si="69"/>
        <v>17675.28</v>
      </c>
      <c r="G1153" s="1">
        <v>446</v>
      </c>
      <c r="H1153" s="1" t="str">
        <f t="shared" si="70"/>
        <v>High</v>
      </c>
      <c r="I1153" s="1" t="str">
        <f t="shared" si="71"/>
        <v>Other</v>
      </c>
      <c r="J1153" s="1">
        <f t="shared" si="72"/>
        <v>435313.14</v>
      </c>
    </row>
    <row r="1154" spans="1:10" ht="12.75">
      <c r="A1154" s="1" t="s">
        <v>16</v>
      </c>
      <c r="B1154" s="1" t="s">
        <v>5</v>
      </c>
      <c r="C1154" s="1" t="s">
        <v>81</v>
      </c>
      <c r="D1154" s="2">
        <v>45107</v>
      </c>
      <c r="E1154" s="1" t="s">
        <v>951</v>
      </c>
      <c r="F1154" s="5">
        <f t="shared" ref="F1154:F1217" si="73">VALUE(SUBSTITUTE(E1154,"$",""))</f>
        <v>17280.98</v>
      </c>
      <c r="G1154" s="1">
        <v>58</v>
      </c>
      <c r="H1154" s="1" t="str">
        <f t="shared" ref="H1154:H1217" si="74">IF(F1154&gt;800,"High",IF(F1154&gt;500,"Medium","Low"))</f>
        <v>High</v>
      </c>
      <c r="I1154" s="1" t="str">
        <f t="shared" ref="I1154:I1217" si="75">IF(AND(B1154="Australia",A1154="Mallorie Waber"),"Top Local","Other")</f>
        <v>Other</v>
      </c>
      <c r="J1154" s="1">
        <f t="shared" ref="J1154:J1217" si="76">SUMIF(A1154:A4434,"Mallorie Waber",F1154:F4434)</f>
        <v>435313.14</v>
      </c>
    </row>
    <row r="1155" spans="1:10" ht="12.75">
      <c r="A1155" s="1" t="s">
        <v>27</v>
      </c>
      <c r="B1155" s="1" t="s">
        <v>5</v>
      </c>
      <c r="C1155" s="1" t="s">
        <v>55</v>
      </c>
      <c r="D1155" s="2">
        <v>45079</v>
      </c>
      <c r="E1155" s="1" t="s">
        <v>952</v>
      </c>
      <c r="F1155" s="5">
        <f t="shared" si="73"/>
        <v>5091.78</v>
      </c>
      <c r="G1155" s="1">
        <v>219</v>
      </c>
      <c r="H1155" s="1" t="str">
        <f t="shared" si="74"/>
        <v>High</v>
      </c>
      <c r="I1155" s="1" t="str">
        <f t="shared" si="75"/>
        <v>Other</v>
      </c>
      <c r="J1155" s="1">
        <f t="shared" si="76"/>
        <v>435313.14</v>
      </c>
    </row>
    <row r="1156" spans="1:10" ht="12.75">
      <c r="A1156" s="1" t="s">
        <v>27</v>
      </c>
      <c r="B1156" s="1" t="s">
        <v>5</v>
      </c>
      <c r="C1156" s="1" t="s">
        <v>65</v>
      </c>
      <c r="D1156" s="2">
        <v>45105</v>
      </c>
      <c r="E1156" s="1" t="s">
        <v>953</v>
      </c>
      <c r="F1156" s="5">
        <f t="shared" si="73"/>
        <v>1657.2</v>
      </c>
      <c r="G1156" s="1">
        <v>49</v>
      </c>
      <c r="H1156" s="1" t="str">
        <f t="shared" si="74"/>
        <v>High</v>
      </c>
      <c r="I1156" s="1" t="str">
        <f t="shared" si="75"/>
        <v>Other</v>
      </c>
      <c r="J1156" s="1">
        <f t="shared" si="76"/>
        <v>435313.14</v>
      </c>
    </row>
    <row r="1157" spans="1:10" ht="12.75">
      <c r="A1157" s="1" t="s">
        <v>14</v>
      </c>
      <c r="B1157" s="1" t="s">
        <v>5</v>
      </c>
      <c r="C1157" s="1" t="s">
        <v>68</v>
      </c>
      <c r="D1157" s="2">
        <v>45062</v>
      </c>
      <c r="E1157" s="1" t="s">
        <v>954</v>
      </c>
      <c r="F1157" s="5">
        <f t="shared" si="73"/>
        <v>305.79000000000002</v>
      </c>
      <c r="G1157" s="1">
        <v>189</v>
      </c>
      <c r="H1157" s="1" t="str">
        <f t="shared" si="74"/>
        <v>Low</v>
      </c>
      <c r="I1157" s="1" t="str">
        <f t="shared" si="75"/>
        <v>Other</v>
      </c>
      <c r="J1157" s="1">
        <f t="shared" si="76"/>
        <v>435313.14</v>
      </c>
    </row>
    <row r="1158" spans="1:10" ht="12.75">
      <c r="A1158" s="1" t="s">
        <v>12</v>
      </c>
      <c r="B1158" s="1" t="s">
        <v>62</v>
      </c>
      <c r="C1158" s="1" t="s">
        <v>122</v>
      </c>
      <c r="D1158" s="2">
        <v>45072</v>
      </c>
      <c r="E1158" s="1" t="s">
        <v>955</v>
      </c>
      <c r="F1158" s="5">
        <f t="shared" si="73"/>
        <v>3377.41</v>
      </c>
      <c r="G1158" s="1">
        <v>325</v>
      </c>
      <c r="H1158" s="1" t="str">
        <f t="shared" si="74"/>
        <v>High</v>
      </c>
      <c r="I1158" s="1" t="str">
        <f t="shared" si="75"/>
        <v>Other</v>
      </c>
      <c r="J1158" s="1">
        <f t="shared" si="76"/>
        <v>435313.14</v>
      </c>
    </row>
    <row r="1159" spans="1:10" ht="12.75">
      <c r="A1159" s="1" t="s">
        <v>18</v>
      </c>
      <c r="B1159" s="1" t="s">
        <v>42</v>
      </c>
      <c r="C1159" s="1" t="s">
        <v>91</v>
      </c>
      <c r="D1159" s="2">
        <v>45113</v>
      </c>
      <c r="E1159" s="1" t="s">
        <v>956</v>
      </c>
      <c r="F1159" s="5">
        <f t="shared" si="73"/>
        <v>6188.62</v>
      </c>
      <c r="G1159" s="1">
        <v>157</v>
      </c>
      <c r="H1159" s="1" t="str">
        <f t="shared" si="74"/>
        <v>High</v>
      </c>
      <c r="I1159" s="1" t="str">
        <f t="shared" si="75"/>
        <v>Other</v>
      </c>
      <c r="J1159" s="1">
        <f t="shared" si="76"/>
        <v>435313.14</v>
      </c>
    </row>
    <row r="1160" spans="1:10" ht="12.75">
      <c r="A1160" s="1" t="s">
        <v>22</v>
      </c>
      <c r="B1160" s="1" t="s">
        <v>42</v>
      </c>
      <c r="C1160" s="1" t="s">
        <v>51</v>
      </c>
      <c r="D1160" s="2">
        <v>45073</v>
      </c>
      <c r="E1160" s="1" t="s">
        <v>957</v>
      </c>
      <c r="F1160" s="5">
        <f t="shared" si="73"/>
        <v>10914.36</v>
      </c>
      <c r="G1160" s="1">
        <v>11</v>
      </c>
      <c r="H1160" s="1" t="str">
        <f t="shared" si="74"/>
        <v>High</v>
      </c>
      <c r="I1160" s="1" t="str">
        <f t="shared" si="75"/>
        <v>Other</v>
      </c>
      <c r="J1160" s="1">
        <f t="shared" si="76"/>
        <v>435313.14</v>
      </c>
    </row>
    <row r="1161" spans="1:10" ht="12.75">
      <c r="A1161" s="1" t="s">
        <v>29</v>
      </c>
      <c r="B1161" s="1" t="s">
        <v>5</v>
      </c>
      <c r="C1161" s="1" t="s">
        <v>126</v>
      </c>
      <c r="D1161" s="2">
        <v>45030</v>
      </c>
      <c r="E1161" s="1" t="s">
        <v>958</v>
      </c>
      <c r="F1161" s="5">
        <f t="shared" si="73"/>
        <v>2342.0700000000002</v>
      </c>
      <c r="G1161" s="1">
        <v>12</v>
      </c>
      <c r="H1161" s="1" t="str">
        <f t="shared" si="74"/>
        <v>High</v>
      </c>
      <c r="I1161" s="1" t="str">
        <f t="shared" si="75"/>
        <v>Other</v>
      </c>
      <c r="J1161" s="1">
        <f t="shared" si="76"/>
        <v>435313.14</v>
      </c>
    </row>
    <row r="1162" spans="1:10" ht="12.75">
      <c r="A1162" s="1" t="s">
        <v>10</v>
      </c>
      <c r="B1162" s="1" t="s">
        <v>5</v>
      </c>
      <c r="C1162" s="1" t="s">
        <v>68</v>
      </c>
      <c r="D1162" s="2">
        <v>45148</v>
      </c>
      <c r="E1162" s="1" t="s">
        <v>959</v>
      </c>
      <c r="F1162" s="5">
        <f t="shared" si="73"/>
        <v>21762.799999999999</v>
      </c>
      <c r="G1162" s="1">
        <v>15</v>
      </c>
      <c r="H1162" s="1" t="str">
        <f t="shared" si="74"/>
        <v>High</v>
      </c>
      <c r="I1162" s="1" t="str">
        <f t="shared" si="75"/>
        <v>Other</v>
      </c>
      <c r="J1162" s="1">
        <f t="shared" si="76"/>
        <v>435313.14</v>
      </c>
    </row>
    <row r="1163" spans="1:10" ht="12.75">
      <c r="A1163" s="1" t="s">
        <v>25</v>
      </c>
      <c r="B1163" s="1" t="s">
        <v>42</v>
      </c>
      <c r="C1163" s="1" t="s">
        <v>55</v>
      </c>
      <c r="D1163" s="2">
        <v>45111</v>
      </c>
      <c r="E1163" s="1" t="s">
        <v>960</v>
      </c>
      <c r="F1163" s="5">
        <f t="shared" si="73"/>
        <v>10539.54</v>
      </c>
      <c r="G1163" s="1">
        <v>398</v>
      </c>
      <c r="H1163" s="1" t="str">
        <f t="shared" si="74"/>
        <v>High</v>
      </c>
      <c r="I1163" s="1" t="str">
        <f t="shared" si="75"/>
        <v>Other</v>
      </c>
      <c r="J1163" s="1">
        <f t="shared" si="76"/>
        <v>435313.14</v>
      </c>
    </row>
    <row r="1164" spans="1:10" ht="12.75">
      <c r="A1164" s="1" t="s">
        <v>22</v>
      </c>
      <c r="B1164" s="1" t="s">
        <v>42</v>
      </c>
      <c r="C1164" s="1" t="s">
        <v>68</v>
      </c>
      <c r="D1164" s="2">
        <v>45115</v>
      </c>
      <c r="E1164" s="1" t="s">
        <v>961</v>
      </c>
      <c r="F1164" s="5">
        <f t="shared" si="73"/>
        <v>6665.87</v>
      </c>
      <c r="G1164" s="1">
        <v>60</v>
      </c>
      <c r="H1164" s="1" t="str">
        <f t="shared" si="74"/>
        <v>High</v>
      </c>
      <c r="I1164" s="1" t="str">
        <f t="shared" si="75"/>
        <v>Other</v>
      </c>
      <c r="J1164" s="1">
        <f t="shared" si="76"/>
        <v>435313.14</v>
      </c>
    </row>
    <row r="1165" spans="1:10" ht="12.75">
      <c r="A1165" s="1" t="s">
        <v>15</v>
      </c>
      <c r="B1165" s="1" t="s">
        <v>59</v>
      </c>
      <c r="C1165" s="1" t="s">
        <v>45</v>
      </c>
      <c r="D1165" s="2">
        <v>45129</v>
      </c>
      <c r="E1165" s="1" t="s">
        <v>962</v>
      </c>
      <c r="F1165" s="5">
        <f t="shared" si="73"/>
        <v>9605.11</v>
      </c>
      <c r="G1165" s="1">
        <v>98</v>
      </c>
      <c r="H1165" s="1" t="str">
        <f t="shared" si="74"/>
        <v>High</v>
      </c>
      <c r="I1165" s="1" t="str">
        <f t="shared" si="75"/>
        <v>Other</v>
      </c>
      <c r="J1165" s="1">
        <f t="shared" si="76"/>
        <v>435313.14</v>
      </c>
    </row>
    <row r="1166" spans="1:10" ht="12.75">
      <c r="A1166" s="1" t="s">
        <v>20</v>
      </c>
      <c r="B1166" s="1" t="s">
        <v>59</v>
      </c>
      <c r="C1166" s="1" t="s">
        <v>102</v>
      </c>
      <c r="D1166" s="2">
        <v>44987</v>
      </c>
      <c r="E1166" s="1" t="s">
        <v>963</v>
      </c>
      <c r="F1166" s="5">
        <f t="shared" si="73"/>
        <v>13018</v>
      </c>
      <c r="G1166" s="1">
        <v>103</v>
      </c>
      <c r="H1166" s="1" t="str">
        <f t="shared" si="74"/>
        <v>High</v>
      </c>
      <c r="I1166" s="1" t="str">
        <f t="shared" si="75"/>
        <v>Other</v>
      </c>
      <c r="J1166" s="1">
        <f t="shared" si="76"/>
        <v>435313.14</v>
      </c>
    </row>
    <row r="1167" spans="1:10" ht="12.75">
      <c r="A1167" s="1" t="s">
        <v>20</v>
      </c>
      <c r="B1167" s="1" t="s">
        <v>39</v>
      </c>
      <c r="C1167" s="1" t="s">
        <v>91</v>
      </c>
      <c r="D1167" s="2">
        <v>44936</v>
      </c>
      <c r="E1167" s="1" t="s">
        <v>964</v>
      </c>
      <c r="F1167" s="5">
        <f t="shared" si="73"/>
        <v>6046.4</v>
      </c>
      <c r="G1167" s="1">
        <v>10</v>
      </c>
      <c r="H1167" s="1" t="str">
        <f t="shared" si="74"/>
        <v>High</v>
      </c>
      <c r="I1167" s="1" t="str">
        <f t="shared" si="75"/>
        <v>Other</v>
      </c>
      <c r="J1167" s="1">
        <f t="shared" si="76"/>
        <v>435313.14</v>
      </c>
    </row>
    <row r="1168" spans="1:10" ht="12.75">
      <c r="A1168" s="1" t="s">
        <v>11</v>
      </c>
      <c r="B1168" s="1" t="s">
        <v>54</v>
      </c>
      <c r="C1168" s="1" t="s">
        <v>84</v>
      </c>
      <c r="D1168" s="2">
        <v>44996</v>
      </c>
      <c r="E1168" s="1" t="s">
        <v>965</v>
      </c>
      <c r="F1168" s="5">
        <f t="shared" si="73"/>
        <v>3078.33</v>
      </c>
      <c r="G1168" s="1">
        <v>231</v>
      </c>
      <c r="H1168" s="1" t="str">
        <f t="shared" si="74"/>
        <v>High</v>
      </c>
      <c r="I1168" s="1" t="str">
        <f t="shared" si="75"/>
        <v>Other</v>
      </c>
      <c r="J1168" s="1">
        <f t="shared" si="76"/>
        <v>435313.14</v>
      </c>
    </row>
    <row r="1169" spans="1:10" ht="12.75">
      <c r="A1169" s="1" t="s">
        <v>27</v>
      </c>
      <c r="B1169" s="1" t="s">
        <v>54</v>
      </c>
      <c r="C1169" s="1" t="s">
        <v>45</v>
      </c>
      <c r="D1169" s="2">
        <v>45097</v>
      </c>
      <c r="E1169" s="1" t="s">
        <v>966</v>
      </c>
      <c r="F1169" s="5">
        <f t="shared" si="73"/>
        <v>970.96</v>
      </c>
      <c r="G1169" s="1">
        <v>291</v>
      </c>
      <c r="H1169" s="1" t="str">
        <f t="shared" si="74"/>
        <v>High</v>
      </c>
      <c r="I1169" s="1" t="str">
        <f t="shared" si="75"/>
        <v>Other</v>
      </c>
      <c r="J1169" s="1">
        <f t="shared" si="76"/>
        <v>435313.14</v>
      </c>
    </row>
    <row r="1170" spans="1:10" ht="12.75">
      <c r="A1170" s="1" t="s">
        <v>10</v>
      </c>
      <c r="B1170" s="1" t="s">
        <v>39</v>
      </c>
      <c r="C1170" s="1" t="s">
        <v>68</v>
      </c>
      <c r="D1170" s="2">
        <v>45164</v>
      </c>
      <c r="E1170" s="1" t="s">
        <v>967</v>
      </c>
      <c r="F1170" s="5">
        <f t="shared" si="73"/>
        <v>2064.71</v>
      </c>
      <c r="G1170" s="1">
        <v>208</v>
      </c>
      <c r="H1170" s="1" t="str">
        <f t="shared" si="74"/>
        <v>High</v>
      </c>
      <c r="I1170" s="1" t="str">
        <f t="shared" si="75"/>
        <v>Other</v>
      </c>
      <c r="J1170" s="1">
        <f t="shared" si="76"/>
        <v>435313.14</v>
      </c>
    </row>
    <row r="1171" spans="1:10" ht="12.75">
      <c r="A1171" s="1" t="s">
        <v>26</v>
      </c>
      <c r="B1171" s="1" t="s">
        <v>62</v>
      </c>
      <c r="C1171" s="1" t="s">
        <v>72</v>
      </c>
      <c r="D1171" s="2">
        <v>45120</v>
      </c>
      <c r="E1171" s="1" t="s">
        <v>968</v>
      </c>
      <c r="F1171" s="5">
        <f t="shared" si="73"/>
        <v>679.94</v>
      </c>
      <c r="G1171" s="1">
        <v>34</v>
      </c>
      <c r="H1171" s="1" t="str">
        <f t="shared" si="74"/>
        <v>Medium</v>
      </c>
      <c r="I1171" s="1" t="str">
        <f t="shared" si="75"/>
        <v>Other</v>
      </c>
      <c r="J1171" s="1">
        <f t="shared" si="76"/>
        <v>435313.14</v>
      </c>
    </row>
    <row r="1172" spans="1:10" ht="12.75">
      <c r="A1172" s="1" t="s">
        <v>25</v>
      </c>
      <c r="B1172" s="1" t="s">
        <v>59</v>
      </c>
      <c r="C1172" s="1" t="s">
        <v>76</v>
      </c>
      <c r="D1172" s="2">
        <v>44968</v>
      </c>
      <c r="E1172" s="1" t="s">
        <v>969</v>
      </c>
      <c r="F1172" s="5">
        <f t="shared" si="73"/>
        <v>1311.25</v>
      </c>
      <c r="G1172" s="1">
        <v>251</v>
      </c>
      <c r="H1172" s="1" t="str">
        <f t="shared" si="74"/>
        <v>High</v>
      </c>
      <c r="I1172" s="1" t="str">
        <f t="shared" si="75"/>
        <v>Other</v>
      </c>
      <c r="J1172" s="1">
        <f t="shared" si="76"/>
        <v>435313.14</v>
      </c>
    </row>
    <row r="1173" spans="1:10" ht="12.75">
      <c r="A1173" s="1" t="s">
        <v>14</v>
      </c>
      <c r="B1173" s="1" t="s">
        <v>59</v>
      </c>
      <c r="C1173" s="1" t="s">
        <v>60</v>
      </c>
      <c r="D1173" s="2">
        <v>44953</v>
      </c>
      <c r="E1173" s="1" t="s">
        <v>970</v>
      </c>
      <c r="F1173" s="5">
        <f t="shared" si="73"/>
        <v>8692.64</v>
      </c>
      <c r="G1173" s="1">
        <v>184</v>
      </c>
      <c r="H1173" s="1" t="str">
        <f t="shared" si="74"/>
        <v>High</v>
      </c>
      <c r="I1173" s="1" t="str">
        <f t="shared" si="75"/>
        <v>Other</v>
      </c>
      <c r="J1173" s="1">
        <f t="shared" si="76"/>
        <v>435313.14</v>
      </c>
    </row>
    <row r="1174" spans="1:10" ht="12.75">
      <c r="A1174" s="1" t="s">
        <v>10</v>
      </c>
      <c r="B1174" s="1" t="s">
        <v>39</v>
      </c>
      <c r="C1174" s="1" t="s">
        <v>51</v>
      </c>
      <c r="D1174" s="2">
        <v>44957</v>
      </c>
      <c r="E1174" s="1" t="s">
        <v>971</v>
      </c>
      <c r="F1174" s="5">
        <f t="shared" si="73"/>
        <v>4993.21</v>
      </c>
      <c r="G1174" s="1">
        <v>145</v>
      </c>
      <c r="H1174" s="1" t="str">
        <f t="shared" si="74"/>
        <v>High</v>
      </c>
      <c r="I1174" s="1" t="str">
        <f t="shared" si="75"/>
        <v>Other</v>
      </c>
      <c r="J1174" s="1">
        <f t="shared" si="76"/>
        <v>435313.14</v>
      </c>
    </row>
    <row r="1175" spans="1:10" ht="12.75">
      <c r="A1175" s="1" t="s">
        <v>25</v>
      </c>
      <c r="B1175" s="1" t="s">
        <v>59</v>
      </c>
      <c r="C1175" s="1" t="s">
        <v>84</v>
      </c>
      <c r="D1175" s="2">
        <v>45156</v>
      </c>
      <c r="E1175" s="1" t="s">
        <v>972</v>
      </c>
      <c r="F1175" s="5">
        <f t="shared" si="73"/>
        <v>10898.19</v>
      </c>
      <c r="G1175" s="1">
        <v>24</v>
      </c>
      <c r="H1175" s="1" t="str">
        <f t="shared" si="74"/>
        <v>High</v>
      </c>
      <c r="I1175" s="1" t="str">
        <f t="shared" si="75"/>
        <v>Other</v>
      </c>
      <c r="J1175" s="1">
        <f t="shared" si="76"/>
        <v>435313.14</v>
      </c>
    </row>
    <row r="1176" spans="1:10" ht="12.75">
      <c r="A1176" s="1" t="s">
        <v>27</v>
      </c>
      <c r="B1176" s="1" t="s">
        <v>59</v>
      </c>
      <c r="C1176" s="1" t="s">
        <v>100</v>
      </c>
      <c r="D1176" s="2">
        <v>45107</v>
      </c>
      <c r="E1176" s="1" t="s">
        <v>973</v>
      </c>
      <c r="F1176" s="5">
        <f t="shared" si="73"/>
        <v>15565.91</v>
      </c>
      <c r="G1176" s="1">
        <v>21</v>
      </c>
      <c r="H1176" s="1" t="str">
        <f t="shared" si="74"/>
        <v>High</v>
      </c>
      <c r="I1176" s="1" t="str">
        <f t="shared" si="75"/>
        <v>Other</v>
      </c>
      <c r="J1176" s="1">
        <f t="shared" si="76"/>
        <v>435313.14</v>
      </c>
    </row>
    <row r="1177" spans="1:10" ht="12.75">
      <c r="A1177" s="1" t="s">
        <v>21</v>
      </c>
      <c r="B1177" s="1" t="s">
        <v>5</v>
      </c>
      <c r="C1177" s="1" t="s">
        <v>81</v>
      </c>
      <c r="D1177" s="2">
        <v>45161</v>
      </c>
      <c r="E1177" s="1" t="s">
        <v>974</v>
      </c>
      <c r="F1177" s="5">
        <f t="shared" si="73"/>
        <v>280.58999999999997</v>
      </c>
      <c r="G1177" s="1">
        <v>328</v>
      </c>
      <c r="H1177" s="1" t="str">
        <f t="shared" si="74"/>
        <v>Low</v>
      </c>
      <c r="I1177" s="1" t="str">
        <f t="shared" si="75"/>
        <v>Other</v>
      </c>
      <c r="J1177" s="1">
        <f t="shared" si="76"/>
        <v>435313.14</v>
      </c>
    </row>
    <row r="1178" spans="1:10" ht="12.75">
      <c r="A1178" s="1" t="s">
        <v>7</v>
      </c>
      <c r="B1178" s="1" t="s">
        <v>54</v>
      </c>
      <c r="C1178" s="1" t="s">
        <v>40</v>
      </c>
      <c r="D1178" s="2">
        <v>45139</v>
      </c>
      <c r="E1178" s="1" t="s">
        <v>975</v>
      </c>
      <c r="F1178" s="5">
        <f t="shared" si="73"/>
        <v>66.349999999999994</v>
      </c>
      <c r="G1178" s="1">
        <v>197</v>
      </c>
      <c r="H1178" s="1" t="str">
        <f t="shared" si="74"/>
        <v>Low</v>
      </c>
      <c r="I1178" s="1" t="str">
        <f t="shared" si="75"/>
        <v>Other</v>
      </c>
      <c r="J1178" s="1">
        <f t="shared" si="76"/>
        <v>435313.14</v>
      </c>
    </row>
    <row r="1179" spans="1:10" ht="12.75">
      <c r="A1179" s="1" t="s">
        <v>26</v>
      </c>
      <c r="B1179" s="1" t="s">
        <v>54</v>
      </c>
      <c r="C1179" s="1" t="s">
        <v>52</v>
      </c>
      <c r="D1179" s="2">
        <v>45071</v>
      </c>
      <c r="E1179" s="1" t="s">
        <v>976</v>
      </c>
      <c r="F1179" s="5">
        <f t="shared" si="73"/>
        <v>8766.4500000000007</v>
      </c>
      <c r="G1179" s="1">
        <v>10</v>
      </c>
      <c r="H1179" s="1" t="str">
        <f t="shared" si="74"/>
        <v>High</v>
      </c>
      <c r="I1179" s="1" t="str">
        <f t="shared" si="75"/>
        <v>Other</v>
      </c>
      <c r="J1179" s="1">
        <f t="shared" si="76"/>
        <v>435313.14</v>
      </c>
    </row>
    <row r="1180" spans="1:10" ht="12.75">
      <c r="A1180" s="1" t="s">
        <v>26</v>
      </c>
      <c r="B1180" s="1" t="s">
        <v>62</v>
      </c>
      <c r="C1180" s="1" t="s">
        <v>68</v>
      </c>
      <c r="D1180" s="2">
        <v>44936</v>
      </c>
      <c r="E1180" s="1" t="s">
        <v>977</v>
      </c>
      <c r="F1180" s="5">
        <f t="shared" si="73"/>
        <v>4265.4799999999996</v>
      </c>
      <c r="G1180" s="1">
        <v>85</v>
      </c>
      <c r="H1180" s="1" t="str">
        <f t="shared" si="74"/>
        <v>High</v>
      </c>
      <c r="I1180" s="1" t="str">
        <f t="shared" si="75"/>
        <v>Other</v>
      </c>
      <c r="J1180" s="1">
        <f t="shared" si="76"/>
        <v>435313.14</v>
      </c>
    </row>
    <row r="1181" spans="1:10" ht="12.75">
      <c r="A1181" s="1" t="s">
        <v>6</v>
      </c>
      <c r="B1181" s="1" t="s">
        <v>5</v>
      </c>
      <c r="C1181" s="1" t="s">
        <v>147</v>
      </c>
      <c r="D1181" s="2">
        <v>44964</v>
      </c>
      <c r="E1181" s="1" t="s">
        <v>978</v>
      </c>
      <c r="F1181" s="5">
        <f t="shared" si="73"/>
        <v>6087.53</v>
      </c>
      <c r="G1181" s="1">
        <v>113</v>
      </c>
      <c r="H1181" s="1" t="str">
        <f t="shared" si="74"/>
        <v>High</v>
      </c>
      <c r="I1181" s="1" t="str">
        <f t="shared" si="75"/>
        <v>Other</v>
      </c>
      <c r="J1181" s="1">
        <f t="shared" si="76"/>
        <v>435313.14</v>
      </c>
    </row>
    <row r="1182" spans="1:10" ht="12.75">
      <c r="A1182" s="1" t="s">
        <v>18</v>
      </c>
      <c r="B1182" s="1" t="s">
        <v>59</v>
      </c>
      <c r="C1182" s="1" t="s">
        <v>60</v>
      </c>
      <c r="D1182" s="2">
        <v>45058</v>
      </c>
      <c r="E1182" s="1" t="s">
        <v>979</v>
      </c>
      <c r="F1182" s="5">
        <f t="shared" si="73"/>
        <v>11694.48</v>
      </c>
      <c r="G1182" s="1">
        <v>425</v>
      </c>
      <c r="H1182" s="1" t="str">
        <f t="shared" si="74"/>
        <v>High</v>
      </c>
      <c r="I1182" s="1" t="str">
        <f t="shared" si="75"/>
        <v>Other</v>
      </c>
      <c r="J1182" s="1">
        <f t="shared" si="76"/>
        <v>435313.14</v>
      </c>
    </row>
    <row r="1183" spans="1:10" ht="12.75">
      <c r="A1183" s="1" t="s">
        <v>9</v>
      </c>
      <c r="B1183" s="1" t="s">
        <v>5</v>
      </c>
      <c r="C1183" s="1" t="s">
        <v>76</v>
      </c>
      <c r="D1183" s="2">
        <v>44992</v>
      </c>
      <c r="E1183" s="1" t="s">
        <v>980</v>
      </c>
      <c r="F1183" s="5">
        <f t="shared" si="73"/>
        <v>7616.38</v>
      </c>
      <c r="G1183" s="1">
        <v>392</v>
      </c>
      <c r="H1183" s="1" t="str">
        <f t="shared" si="74"/>
        <v>High</v>
      </c>
      <c r="I1183" s="1" t="str">
        <f t="shared" si="75"/>
        <v>Other</v>
      </c>
      <c r="J1183" s="1">
        <f t="shared" si="76"/>
        <v>435313.14</v>
      </c>
    </row>
    <row r="1184" spans="1:10" ht="12.75">
      <c r="A1184" s="1" t="s">
        <v>6</v>
      </c>
      <c r="B1184" s="1" t="s">
        <v>5</v>
      </c>
      <c r="C1184" s="1" t="s">
        <v>43</v>
      </c>
      <c r="D1184" s="2">
        <v>45021</v>
      </c>
      <c r="E1184" s="1" t="s">
        <v>981</v>
      </c>
      <c r="F1184" s="5">
        <f t="shared" si="73"/>
        <v>7807.02</v>
      </c>
      <c r="G1184" s="1">
        <v>419</v>
      </c>
      <c r="H1184" s="1" t="str">
        <f t="shared" si="74"/>
        <v>High</v>
      </c>
      <c r="I1184" s="1" t="str">
        <f t="shared" si="75"/>
        <v>Other</v>
      </c>
      <c r="J1184" s="1">
        <f t="shared" si="76"/>
        <v>435313.14</v>
      </c>
    </row>
    <row r="1185" spans="1:10" ht="12.75">
      <c r="A1185" s="1" t="s">
        <v>27</v>
      </c>
      <c r="B1185" s="1" t="s">
        <v>62</v>
      </c>
      <c r="C1185" s="1" t="s">
        <v>126</v>
      </c>
      <c r="D1185" s="2">
        <v>44929</v>
      </c>
      <c r="E1185" s="1" t="s">
        <v>982</v>
      </c>
      <c r="F1185" s="5">
        <f t="shared" si="73"/>
        <v>7990.91</v>
      </c>
      <c r="G1185" s="1">
        <v>343</v>
      </c>
      <c r="H1185" s="1" t="str">
        <f t="shared" si="74"/>
        <v>High</v>
      </c>
      <c r="I1185" s="1" t="str">
        <f t="shared" si="75"/>
        <v>Other</v>
      </c>
      <c r="J1185" s="1">
        <f t="shared" si="76"/>
        <v>435313.14</v>
      </c>
    </row>
    <row r="1186" spans="1:10" ht="12.75">
      <c r="A1186" s="1" t="s">
        <v>6</v>
      </c>
      <c r="B1186" s="1" t="s">
        <v>39</v>
      </c>
      <c r="C1186" s="1" t="s">
        <v>63</v>
      </c>
      <c r="D1186" s="2">
        <v>45009</v>
      </c>
      <c r="E1186" s="1" t="s">
        <v>983</v>
      </c>
      <c r="F1186" s="5">
        <f t="shared" si="73"/>
        <v>6757.17</v>
      </c>
      <c r="G1186" s="1">
        <v>276</v>
      </c>
      <c r="H1186" s="1" t="str">
        <f t="shared" si="74"/>
        <v>High</v>
      </c>
      <c r="I1186" s="1" t="str">
        <f t="shared" si="75"/>
        <v>Other</v>
      </c>
      <c r="J1186" s="1">
        <f t="shared" si="76"/>
        <v>435313.14</v>
      </c>
    </row>
    <row r="1187" spans="1:10" ht="12.75">
      <c r="A1187" s="1" t="s">
        <v>9</v>
      </c>
      <c r="B1187" s="1" t="s">
        <v>42</v>
      </c>
      <c r="C1187" s="1" t="s">
        <v>100</v>
      </c>
      <c r="D1187" s="2">
        <v>45114</v>
      </c>
      <c r="E1187" s="1" t="s">
        <v>984</v>
      </c>
      <c r="F1187" s="5">
        <f t="shared" si="73"/>
        <v>4409.21</v>
      </c>
      <c r="G1187" s="1">
        <v>10</v>
      </c>
      <c r="H1187" s="1" t="str">
        <f t="shared" si="74"/>
        <v>High</v>
      </c>
      <c r="I1187" s="1" t="str">
        <f t="shared" si="75"/>
        <v>Other</v>
      </c>
      <c r="J1187" s="1">
        <f t="shared" si="76"/>
        <v>435313.14</v>
      </c>
    </row>
    <row r="1188" spans="1:10" ht="12.75">
      <c r="A1188" s="1" t="s">
        <v>10</v>
      </c>
      <c r="B1188" s="1" t="s">
        <v>59</v>
      </c>
      <c r="C1188" s="1" t="s">
        <v>52</v>
      </c>
      <c r="D1188" s="2">
        <v>45133</v>
      </c>
      <c r="E1188" s="1" t="s">
        <v>985</v>
      </c>
      <c r="F1188" s="5">
        <f t="shared" si="73"/>
        <v>722.25</v>
      </c>
      <c r="G1188" s="1">
        <v>255</v>
      </c>
      <c r="H1188" s="1" t="str">
        <f t="shared" si="74"/>
        <v>Medium</v>
      </c>
      <c r="I1188" s="1" t="str">
        <f t="shared" si="75"/>
        <v>Other</v>
      </c>
      <c r="J1188" s="1">
        <f t="shared" si="76"/>
        <v>435313.14</v>
      </c>
    </row>
    <row r="1189" spans="1:10" ht="12.75">
      <c r="A1189" s="1" t="s">
        <v>29</v>
      </c>
      <c r="B1189" s="1" t="s">
        <v>5</v>
      </c>
      <c r="C1189" s="1" t="s">
        <v>68</v>
      </c>
      <c r="D1189" s="2">
        <v>45114</v>
      </c>
      <c r="E1189" s="1" t="s">
        <v>986</v>
      </c>
      <c r="F1189" s="5">
        <f t="shared" si="73"/>
        <v>1896.24</v>
      </c>
      <c r="G1189" s="1">
        <v>115</v>
      </c>
      <c r="H1189" s="1" t="str">
        <f t="shared" si="74"/>
        <v>High</v>
      </c>
      <c r="I1189" s="1" t="str">
        <f t="shared" si="75"/>
        <v>Other</v>
      </c>
      <c r="J1189" s="1">
        <f t="shared" si="76"/>
        <v>435313.14</v>
      </c>
    </row>
    <row r="1190" spans="1:10" ht="12.75">
      <c r="A1190" s="1" t="s">
        <v>18</v>
      </c>
      <c r="B1190" s="1" t="s">
        <v>62</v>
      </c>
      <c r="C1190" s="1" t="s">
        <v>55</v>
      </c>
      <c r="D1190" s="2">
        <v>45122</v>
      </c>
      <c r="E1190" s="1" t="s">
        <v>987</v>
      </c>
      <c r="F1190" s="5">
        <f t="shared" si="73"/>
        <v>2966.83</v>
      </c>
      <c r="G1190" s="1">
        <v>65</v>
      </c>
      <c r="H1190" s="1" t="str">
        <f t="shared" si="74"/>
        <v>High</v>
      </c>
      <c r="I1190" s="1" t="str">
        <f t="shared" si="75"/>
        <v>Other</v>
      </c>
      <c r="J1190" s="1">
        <f t="shared" si="76"/>
        <v>435313.14</v>
      </c>
    </row>
    <row r="1191" spans="1:10" ht="12.75">
      <c r="A1191" s="1" t="s">
        <v>26</v>
      </c>
      <c r="B1191" s="1" t="s">
        <v>54</v>
      </c>
      <c r="C1191" s="1" t="s">
        <v>60</v>
      </c>
      <c r="D1191" s="2">
        <v>45017</v>
      </c>
      <c r="E1191" s="1" t="s">
        <v>988</v>
      </c>
      <c r="F1191" s="5">
        <f t="shared" si="73"/>
        <v>51.29</v>
      </c>
      <c r="G1191" s="1">
        <v>100</v>
      </c>
      <c r="H1191" s="1" t="str">
        <f t="shared" si="74"/>
        <v>Low</v>
      </c>
      <c r="I1191" s="1" t="str">
        <f t="shared" si="75"/>
        <v>Other</v>
      </c>
      <c r="J1191" s="1">
        <f t="shared" si="76"/>
        <v>435313.14</v>
      </c>
    </row>
    <row r="1192" spans="1:10" ht="12.75">
      <c r="A1192" s="1" t="s">
        <v>28</v>
      </c>
      <c r="B1192" s="1" t="s">
        <v>5</v>
      </c>
      <c r="C1192" s="1" t="s">
        <v>63</v>
      </c>
      <c r="D1192" s="2">
        <v>45097</v>
      </c>
      <c r="E1192" s="1" t="s">
        <v>989</v>
      </c>
      <c r="F1192" s="5">
        <f t="shared" si="73"/>
        <v>1835.42</v>
      </c>
      <c r="G1192" s="1">
        <v>6</v>
      </c>
      <c r="H1192" s="1" t="str">
        <f t="shared" si="74"/>
        <v>High</v>
      </c>
      <c r="I1192" s="1" t="str">
        <f t="shared" si="75"/>
        <v>Other</v>
      </c>
      <c r="J1192" s="1">
        <f t="shared" si="76"/>
        <v>435313.14</v>
      </c>
    </row>
    <row r="1193" spans="1:10" ht="12.75">
      <c r="A1193" s="1" t="s">
        <v>12</v>
      </c>
      <c r="B1193" s="1" t="s">
        <v>39</v>
      </c>
      <c r="C1193" s="1" t="s">
        <v>81</v>
      </c>
      <c r="D1193" s="2">
        <v>45106</v>
      </c>
      <c r="E1193" s="1" t="s">
        <v>990</v>
      </c>
      <c r="F1193" s="5">
        <f t="shared" si="73"/>
        <v>14592.11</v>
      </c>
      <c r="G1193" s="1">
        <v>509</v>
      </c>
      <c r="H1193" s="1" t="str">
        <f t="shared" si="74"/>
        <v>High</v>
      </c>
      <c r="I1193" s="1" t="str">
        <f t="shared" si="75"/>
        <v>Other</v>
      </c>
      <c r="J1193" s="1">
        <f t="shared" si="76"/>
        <v>435313.14</v>
      </c>
    </row>
    <row r="1194" spans="1:10" ht="12.75">
      <c r="A1194" s="1" t="s">
        <v>14</v>
      </c>
      <c r="B1194" s="1" t="s">
        <v>59</v>
      </c>
      <c r="C1194" s="1" t="s">
        <v>55</v>
      </c>
      <c r="D1194" s="2">
        <v>45092</v>
      </c>
      <c r="E1194" s="1" t="s">
        <v>991</v>
      </c>
      <c r="F1194" s="5">
        <f t="shared" si="73"/>
        <v>1114.1300000000001</v>
      </c>
      <c r="G1194" s="1">
        <v>106</v>
      </c>
      <c r="H1194" s="1" t="str">
        <f t="shared" si="74"/>
        <v>High</v>
      </c>
      <c r="I1194" s="1" t="str">
        <f t="shared" si="75"/>
        <v>Other</v>
      </c>
      <c r="J1194" s="1">
        <f t="shared" si="76"/>
        <v>435313.14</v>
      </c>
    </row>
    <row r="1195" spans="1:10" ht="12.75">
      <c r="A1195" s="1" t="s">
        <v>13</v>
      </c>
      <c r="B1195" s="1" t="s">
        <v>59</v>
      </c>
      <c r="C1195" s="1" t="s">
        <v>52</v>
      </c>
      <c r="D1195" s="2">
        <v>45024</v>
      </c>
      <c r="E1195" s="1" t="s">
        <v>992</v>
      </c>
      <c r="F1195" s="5">
        <f t="shared" si="73"/>
        <v>13051.75</v>
      </c>
      <c r="G1195" s="1">
        <v>193</v>
      </c>
      <c r="H1195" s="1" t="str">
        <f t="shared" si="74"/>
        <v>High</v>
      </c>
      <c r="I1195" s="1" t="str">
        <f t="shared" si="75"/>
        <v>Other</v>
      </c>
      <c r="J1195" s="1">
        <f t="shared" si="76"/>
        <v>435313.14</v>
      </c>
    </row>
    <row r="1196" spans="1:10" ht="12.75">
      <c r="A1196" s="1" t="s">
        <v>6</v>
      </c>
      <c r="B1196" s="1" t="s">
        <v>5</v>
      </c>
      <c r="C1196" s="1" t="s">
        <v>100</v>
      </c>
      <c r="D1196" s="2">
        <v>44999</v>
      </c>
      <c r="E1196" s="1" t="s">
        <v>993</v>
      </c>
      <c r="F1196" s="5">
        <f t="shared" si="73"/>
        <v>5997.71</v>
      </c>
      <c r="G1196" s="1">
        <v>31</v>
      </c>
      <c r="H1196" s="1" t="str">
        <f t="shared" si="74"/>
        <v>High</v>
      </c>
      <c r="I1196" s="1" t="str">
        <f t="shared" si="75"/>
        <v>Other</v>
      </c>
      <c r="J1196" s="1">
        <f t="shared" si="76"/>
        <v>435313.14</v>
      </c>
    </row>
    <row r="1197" spans="1:10" ht="12.75">
      <c r="A1197" s="1" t="s">
        <v>27</v>
      </c>
      <c r="B1197" s="1" t="s">
        <v>59</v>
      </c>
      <c r="C1197" s="1" t="s">
        <v>81</v>
      </c>
      <c r="D1197" s="2">
        <v>45122</v>
      </c>
      <c r="E1197" s="1" t="s">
        <v>994</v>
      </c>
      <c r="F1197" s="5">
        <f t="shared" si="73"/>
        <v>1588.28</v>
      </c>
      <c r="G1197" s="1">
        <v>352</v>
      </c>
      <c r="H1197" s="1" t="str">
        <f t="shared" si="74"/>
        <v>High</v>
      </c>
      <c r="I1197" s="1" t="str">
        <f t="shared" si="75"/>
        <v>Other</v>
      </c>
      <c r="J1197" s="1">
        <f t="shared" si="76"/>
        <v>435313.14</v>
      </c>
    </row>
    <row r="1198" spans="1:10" ht="12.75">
      <c r="A1198" s="1" t="s">
        <v>12</v>
      </c>
      <c r="B1198" s="1" t="s">
        <v>42</v>
      </c>
      <c r="C1198" s="1" t="s">
        <v>63</v>
      </c>
      <c r="D1198" s="2">
        <v>45035</v>
      </c>
      <c r="E1198" s="1" t="s">
        <v>995</v>
      </c>
      <c r="F1198" s="5">
        <f t="shared" si="73"/>
        <v>5344.21</v>
      </c>
      <c r="G1198" s="1">
        <v>80</v>
      </c>
      <c r="H1198" s="1" t="str">
        <f t="shared" si="74"/>
        <v>High</v>
      </c>
      <c r="I1198" s="1" t="str">
        <f t="shared" si="75"/>
        <v>Other</v>
      </c>
      <c r="J1198" s="1">
        <f t="shared" si="76"/>
        <v>435313.14</v>
      </c>
    </row>
    <row r="1199" spans="1:10" ht="12.75">
      <c r="A1199" s="1" t="s">
        <v>14</v>
      </c>
      <c r="B1199" s="1" t="s">
        <v>59</v>
      </c>
      <c r="C1199" s="1" t="s">
        <v>51</v>
      </c>
      <c r="D1199" s="2">
        <v>45013</v>
      </c>
      <c r="E1199" s="1" t="s">
        <v>996</v>
      </c>
      <c r="F1199" s="5">
        <f t="shared" si="73"/>
        <v>4646.91</v>
      </c>
      <c r="G1199" s="1">
        <v>317</v>
      </c>
      <c r="H1199" s="1" t="str">
        <f t="shared" si="74"/>
        <v>High</v>
      </c>
      <c r="I1199" s="1" t="str">
        <f t="shared" si="75"/>
        <v>Other</v>
      </c>
      <c r="J1199" s="1">
        <f t="shared" si="76"/>
        <v>435313.14</v>
      </c>
    </row>
    <row r="1200" spans="1:10" ht="12.75">
      <c r="A1200" s="1" t="s">
        <v>7</v>
      </c>
      <c r="B1200" s="1" t="s">
        <v>62</v>
      </c>
      <c r="C1200" s="1" t="s">
        <v>76</v>
      </c>
      <c r="D1200" s="2">
        <v>44989</v>
      </c>
      <c r="E1200" s="1" t="s">
        <v>997</v>
      </c>
      <c r="F1200" s="5">
        <f t="shared" si="73"/>
        <v>8929.8799999999992</v>
      </c>
      <c r="G1200" s="1">
        <v>100</v>
      </c>
      <c r="H1200" s="1" t="str">
        <f t="shared" si="74"/>
        <v>High</v>
      </c>
      <c r="I1200" s="1" t="str">
        <f t="shared" si="75"/>
        <v>Other</v>
      </c>
      <c r="J1200" s="1">
        <f t="shared" si="76"/>
        <v>435313.14</v>
      </c>
    </row>
    <row r="1201" spans="1:10" ht="12.75">
      <c r="A1201" s="1" t="s">
        <v>18</v>
      </c>
      <c r="B1201" s="1" t="s">
        <v>54</v>
      </c>
      <c r="C1201" s="1" t="s">
        <v>147</v>
      </c>
      <c r="D1201" s="2">
        <v>45140</v>
      </c>
      <c r="E1201" s="1" t="s">
        <v>998</v>
      </c>
      <c r="F1201" s="5">
        <f t="shared" si="73"/>
        <v>141.22999999999999</v>
      </c>
      <c r="G1201" s="1">
        <v>38</v>
      </c>
      <c r="H1201" s="1" t="str">
        <f t="shared" si="74"/>
        <v>Low</v>
      </c>
      <c r="I1201" s="1" t="str">
        <f t="shared" si="75"/>
        <v>Other</v>
      </c>
      <c r="J1201" s="1">
        <f t="shared" si="76"/>
        <v>435313.14</v>
      </c>
    </row>
    <row r="1202" spans="1:10" ht="12.75">
      <c r="A1202" s="1" t="s">
        <v>13</v>
      </c>
      <c r="B1202" s="1" t="s">
        <v>39</v>
      </c>
      <c r="C1202" s="1" t="s">
        <v>76</v>
      </c>
      <c r="D1202" s="2">
        <v>45163</v>
      </c>
      <c r="E1202" s="1" t="s">
        <v>999</v>
      </c>
      <c r="F1202" s="5">
        <f t="shared" si="73"/>
        <v>5068.99</v>
      </c>
      <c r="G1202" s="1">
        <v>45</v>
      </c>
      <c r="H1202" s="1" t="str">
        <f t="shared" si="74"/>
        <v>High</v>
      </c>
      <c r="I1202" s="1" t="str">
        <f t="shared" si="75"/>
        <v>Other</v>
      </c>
      <c r="J1202" s="1">
        <f t="shared" si="76"/>
        <v>435313.14</v>
      </c>
    </row>
    <row r="1203" spans="1:10" ht="12.75">
      <c r="A1203" s="1" t="s">
        <v>14</v>
      </c>
      <c r="B1203" s="1" t="s">
        <v>59</v>
      </c>
      <c r="C1203" s="1" t="s">
        <v>91</v>
      </c>
      <c r="D1203" s="2">
        <v>44982</v>
      </c>
      <c r="E1203" s="1" t="s">
        <v>1000</v>
      </c>
      <c r="F1203" s="5">
        <f t="shared" si="73"/>
        <v>8012.72</v>
      </c>
      <c r="G1203" s="1">
        <v>163</v>
      </c>
      <c r="H1203" s="1" t="str">
        <f t="shared" si="74"/>
        <v>High</v>
      </c>
      <c r="I1203" s="1" t="str">
        <f t="shared" si="75"/>
        <v>Other</v>
      </c>
      <c r="J1203" s="1">
        <f t="shared" si="76"/>
        <v>435313.14</v>
      </c>
    </row>
    <row r="1204" spans="1:10" ht="12.75">
      <c r="A1204" s="1" t="s">
        <v>12</v>
      </c>
      <c r="B1204" s="1" t="s">
        <v>42</v>
      </c>
      <c r="C1204" s="1" t="s">
        <v>60</v>
      </c>
      <c r="D1204" s="2">
        <v>45084</v>
      </c>
      <c r="E1204" s="1" t="s">
        <v>1001</v>
      </c>
      <c r="F1204" s="5">
        <f t="shared" si="73"/>
        <v>10587.71</v>
      </c>
      <c r="G1204" s="1">
        <v>134</v>
      </c>
      <c r="H1204" s="1" t="str">
        <f t="shared" si="74"/>
        <v>High</v>
      </c>
      <c r="I1204" s="1" t="str">
        <f t="shared" si="75"/>
        <v>Other</v>
      </c>
      <c r="J1204" s="1">
        <f t="shared" si="76"/>
        <v>435313.14</v>
      </c>
    </row>
    <row r="1205" spans="1:10" ht="12.75">
      <c r="A1205" s="1" t="s">
        <v>15</v>
      </c>
      <c r="B1205" s="1" t="s">
        <v>42</v>
      </c>
      <c r="C1205" s="1" t="s">
        <v>76</v>
      </c>
      <c r="D1205" s="2">
        <v>45028</v>
      </c>
      <c r="E1205" s="1" t="s">
        <v>1002</v>
      </c>
      <c r="F1205" s="5">
        <f t="shared" si="73"/>
        <v>2155.62</v>
      </c>
      <c r="G1205" s="1">
        <v>495</v>
      </c>
      <c r="H1205" s="1" t="str">
        <f t="shared" si="74"/>
        <v>High</v>
      </c>
      <c r="I1205" s="1" t="str">
        <f t="shared" si="75"/>
        <v>Other</v>
      </c>
      <c r="J1205" s="1">
        <f t="shared" si="76"/>
        <v>435313.14</v>
      </c>
    </row>
    <row r="1206" spans="1:10" ht="12.75">
      <c r="A1206" s="1" t="s">
        <v>17</v>
      </c>
      <c r="B1206" s="1" t="s">
        <v>42</v>
      </c>
      <c r="C1206" s="1" t="s">
        <v>76</v>
      </c>
      <c r="D1206" s="2">
        <v>45113</v>
      </c>
      <c r="E1206" s="1" t="s">
        <v>1003</v>
      </c>
      <c r="F1206" s="5">
        <f t="shared" si="73"/>
        <v>11010.43</v>
      </c>
      <c r="G1206" s="1">
        <v>103</v>
      </c>
      <c r="H1206" s="1" t="str">
        <f t="shared" si="74"/>
        <v>High</v>
      </c>
      <c r="I1206" s="1" t="str">
        <f t="shared" si="75"/>
        <v>Other</v>
      </c>
      <c r="J1206" s="1">
        <f t="shared" si="76"/>
        <v>435313.14</v>
      </c>
    </row>
    <row r="1207" spans="1:10" ht="12.75">
      <c r="A1207" s="1" t="s">
        <v>12</v>
      </c>
      <c r="B1207" s="1" t="s">
        <v>39</v>
      </c>
      <c r="C1207" s="1" t="s">
        <v>49</v>
      </c>
      <c r="D1207" s="2">
        <v>44945</v>
      </c>
      <c r="E1207" s="1" t="s">
        <v>1004</v>
      </c>
      <c r="F1207" s="5">
        <f t="shared" si="73"/>
        <v>6787.72</v>
      </c>
      <c r="G1207" s="1">
        <v>192</v>
      </c>
      <c r="H1207" s="1" t="str">
        <f t="shared" si="74"/>
        <v>High</v>
      </c>
      <c r="I1207" s="1" t="str">
        <f t="shared" si="75"/>
        <v>Other</v>
      </c>
      <c r="J1207" s="1">
        <f t="shared" si="76"/>
        <v>435313.14</v>
      </c>
    </row>
    <row r="1208" spans="1:10" ht="12.75">
      <c r="A1208" s="1" t="s">
        <v>9</v>
      </c>
      <c r="B1208" s="1" t="s">
        <v>5</v>
      </c>
      <c r="C1208" s="1" t="s">
        <v>81</v>
      </c>
      <c r="D1208" s="2">
        <v>44931</v>
      </c>
      <c r="E1208" s="1" t="s">
        <v>1005</v>
      </c>
      <c r="F1208" s="5">
        <f t="shared" si="73"/>
        <v>5715.07</v>
      </c>
      <c r="G1208" s="1">
        <v>90</v>
      </c>
      <c r="H1208" s="1" t="str">
        <f t="shared" si="74"/>
        <v>High</v>
      </c>
      <c r="I1208" s="1" t="str">
        <f t="shared" si="75"/>
        <v>Other</v>
      </c>
      <c r="J1208" s="1">
        <f t="shared" si="76"/>
        <v>435313.14</v>
      </c>
    </row>
    <row r="1209" spans="1:10" ht="12.75">
      <c r="A1209" s="1" t="s">
        <v>9</v>
      </c>
      <c r="B1209" s="1" t="s">
        <v>62</v>
      </c>
      <c r="C1209" s="1" t="s">
        <v>147</v>
      </c>
      <c r="D1209" s="2">
        <v>44950</v>
      </c>
      <c r="E1209" s="1" t="s">
        <v>1006</v>
      </c>
      <c r="F1209" s="5">
        <f t="shared" si="73"/>
        <v>12100.65</v>
      </c>
      <c r="G1209" s="1">
        <v>142</v>
      </c>
      <c r="H1209" s="1" t="str">
        <f t="shared" si="74"/>
        <v>High</v>
      </c>
      <c r="I1209" s="1" t="str">
        <f t="shared" si="75"/>
        <v>Other</v>
      </c>
      <c r="J1209" s="1">
        <f t="shared" si="76"/>
        <v>435313.14</v>
      </c>
    </row>
    <row r="1210" spans="1:10" ht="12.75">
      <c r="A1210" s="1" t="s">
        <v>29</v>
      </c>
      <c r="B1210" s="1" t="s">
        <v>5</v>
      </c>
      <c r="C1210" s="1" t="s">
        <v>65</v>
      </c>
      <c r="D1210" s="2">
        <v>45022</v>
      </c>
      <c r="E1210" s="1" t="s">
        <v>1007</v>
      </c>
      <c r="F1210" s="5">
        <f t="shared" si="73"/>
        <v>623.75</v>
      </c>
      <c r="G1210" s="1">
        <v>285</v>
      </c>
      <c r="H1210" s="1" t="str">
        <f t="shared" si="74"/>
        <v>Medium</v>
      </c>
      <c r="I1210" s="1" t="str">
        <f t="shared" si="75"/>
        <v>Other</v>
      </c>
      <c r="J1210" s="1">
        <f t="shared" si="76"/>
        <v>435313.14</v>
      </c>
    </row>
    <row r="1211" spans="1:10" ht="12.75">
      <c r="A1211" s="1" t="s">
        <v>23</v>
      </c>
      <c r="B1211" s="1" t="s">
        <v>5</v>
      </c>
      <c r="C1211" s="1" t="s">
        <v>81</v>
      </c>
      <c r="D1211" s="2">
        <v>45092</v>
      </c>
      <c r="E1211" s="1" t="s">
        <v>1008</v>
      </c>
      <c r="F1211" s="5">
        <f t="shared" si="73"/>
        <v>6528.42</v>
      </c>
      <c r="G1211" s="1">
        <v>22</v>
      </c>
      <c r="H1211" s="1" t="str">
        <f t="shared" si="74"/>
        <v>High</v>
      </c>
      <c r="I1211" s="1" t="str">
        <f t="shared" si="75"/>
        <v>Other</v>
      </c>
      <c r="J1211" s="1">
        <f t="shared" si="76"/>
        <v>435313.14</v>
      </c>
    </row>
    <row r="1212" spans="1:10" ht="12.75">
      <c r="A1212" s="1" t="s">
        <v>20</v>
      </c>
      <c r="B1212" s="1" t="s">
        <v>62</v>
      </c>
      <c r="C1212" s="1" t="s">
        <v>122</v>
      </c>
      <c r="D1212" s="2">
        <v>44954</v>
      </c>
      <c r="E1212" s="1" t="s">
        <v>1009</v>
      </c>
      <c r="F1212" s="5">
        <f t="shared" si="73"/>
        <v>1540.55</v>
      </c>
      <c r="G1212" s="1">
        <v>47</v>
      </c>
      <c r="H1212" s="1" t="str">
        <f t="shared" si="74"/>
        <v>High</v>
      </c>
      <c r="I1212" s="1" t="str">
        <f t="shared" si="75"/>
        <v>Other</v>
      </c>
      <c r="J1212" s="1">
        <f t="shared" si="76"/>
        <v>435313.14</v>
      </c>
    </row>
    <row r="1213" spans="1:10" ht="12.75">
      <c r="A1213" s="1" t="s">
        <v>12</v>
      </c>
      <c r="B1213" s="1" t="s">
        <v>42</v>
      </c>
      <c r="C1213" s="1" t="s">
        <v>126</v>
      </c>
      <c r="D1213" s="2">
        <v>45001</v>
      </c>
      <c r="E1213" s="1" t="s">
        <v>1010</v>
      </c>
      <c r="F1213" s="5">
        <f t="shared" si="73"/>
        <v>487.06</v>
      </c>
      <c r="G1213" s="1">
        <v>123</v>
      </c>
      <c r="H1213" s="1" t="str">
        <f t="shared" si="74"/>
        <v>Low</v>
      </c>
      <c r="I1213" s="1" t="str">
        <f t="shared" si="75"/>
        <v>Other</v>
      </c>
      <c r="J1213" s="1">
        <f t="shared" si="76"/>
        <v>435313.14</v>
      </c>
    </row>
    <row r="1214" spans="1:10" ht="12.75">
      <c r="A1214" s="1" t="s">
        <v>19</v>
      </c>
      <c r="B1214" s="1" t="s">
        <v>5</v>
      </c>
      <c r="C1214" s="1" t="s">
        <v>65</v>
      </c>
      <c r="D1214" s="2">
        <v>44978</v>
      </c>
      <c r="E1214" s="1" t="s">
        <v>1011</v>
      </c>
      <c r="F1214" s="5">
        <f t="shared" si="73"/>
        <v>11630.38</v>
      </c>
      <c r="G1214" s="1">
        <v>431</v>
      </c>
      <c r="H1214" s="1" t="str">
        <f t="shared" si="74"/>
        <v>High</v>
      </c>
      <c r="I1214" s="1" t="str">
        <f t="shared" si="75"/>
        <v>Other</v>
      </c>
      <c r="J1214" s="1">
        <f t="shared" si="76"/>
        <v>435313.14</v>
      </c>
    </row>
    <row r="1215" spans="1:10" ht="12.75">
      <c r="A1215" s="1" t="s">
        <v>12</v>
      </c>
      <c r="B1215" s="1" t="s">
        <v>59</v>
      </c>
      <c r="C1215" s="1" t="s">
        <v>86</v>
      </c>
      <c r="D1215" s="2">
        <v>44973</v>
      </c>
      <c r="E1215" s="1" t="s">
        <v>1012</v>
      </c>
      <c r="F1215" s="5">
        <f t="shared" si="73"/>
        <v>17297.66</v>
      </c>
      <c r="G1215" s="1">
        <v>96</v>
      </c>
      <c r="H1215" s="1" t="str">
        <f t="shared" si="74"/>
        <v>High</v>
      </c>
      <c r="I1215" s="1" t="str">
        <f t="shared" si="75"/>
        <v>Other</v>
      </c>
      <c r="J1215" s="1">
        <f t="shared" si="76"/>
        <v>435313.14</v>
      </c>
    </row>
    <row r="1216" spans="1:10" ht="12.75">
      <c r="A1216" s="1" t="s">
        <v>11</v>
      </c>
      <c r="B1216" s="1" t="s">
        <v>62</v>
      </c>
      <c r="C1216" s="1" t="s">
        <v>76</v>
      </c>
      <c r="D1216" s="2">
        <v>44939</v>
      </c>
      <c r="E1216" s="1" t="s">
        <v>1013</v>
      </c>
      <c r="F1216" s="5">
        <f t="shared" si="73"/>
        <v>2043.55</v>
      </c>
      <c r="G1216" s="1">
        <v>28</v>
      </c>
      <c r="H1216" s="1" t="str">
        <f t="shared" si="74"/>
        <v>High</v>
      </c>
      <c r="I1216" s="1" t="str">
        <f t="shared" si="75"/>
        <v>Other</v>
      </c>
      <c r="J1216" s="1">
        <f t="shared" si="76"/>
        <v>435313.14</v>
      </c>
    </row>
    <row r="1217" spans="1:10" ht="12.75">
      <c r="A1217" s="1" t="s">
        <v>12</v>
      </c>
      <c r="B1217" s="1" t="s">
        <v>5</v>
      </c>
      <c r="C1217" s="1" t="s">
        <v>63</v>
      </c>
      <c r="D1217" s="2">
        <v>45008</v>
      </c>
      <c r="E1217" s="1" t="s">
        <v>1014</v>
      </c>
      <c r="F1217" s="5">
        <f t="shared" si="73"/>
        <v>8168.86</v>
      </c>
      <c r="G1217" s="1">
        <v>570</v>
      </c>
      <c r="H1217" s="1" t="str">
        <f t="shared" si="74"/>
        <v>High</v>
      </c>
      <c r="I1217" s="1" t="str">
        <f t="shared" si="75"/>
        <v>Other</v>
      </c>
      <c r="J1217" s="1">
        <f t="shared" si="76"/>
        <v>435313.14</v>
      </c>
    </row>
    <row r="1218" spans="1:10" ht="12.75">
      <c r="A1218" s="1" t="s">
        <v>24</v>
      </c>
      <c r="B1218" s="1" t="s">
        <v>62</v>
      </c>
      <c r="C1218" s="1" t="s">
        <v>76</v>
      </c>
      <c r="D1218" s="2">
        <v>45093</v>
      </c>
      <c r="E1218" s="1" t="s">
        <v>1015</v>
      </c>
      <c r="F1218" s="5">
        <f t="shared" ref="F1218:F1281" si="77">VALUE(SUBSTITUTE(E1218,"$",""))</f>
        <v>933.45</v>
      </c>
      <c r="G1218" s="1">
        <v>122</v>
      </c>
      <c r="H1218" s="1" t="str">
        <f t="shared" ref="H1218:H1281" si="78">IF(F1218&gt;800,"High",IF(F1218&gt;500,"Medium","Low"))</f>
        <v>High</v>
      </c>
      <c r="I1218" s="1" t="str">
        <f t="shared" ref="I1218:I1281" si="79">IF(AND(B1218="Australia",A1218="Mallorie Waber"),"Top Local","Other")</f>
        <v>Other</v>
      </c>
      <c r="J1218" s="1">
        <f t="shared" ref="J1218:J1281" si="80">SUMIF(A1218:A4498,"Mallorie Waber",F1218:F4498)</f>
        <v>435313.14</v>
      </c>
    </row>
    <row r="1219" spans="1:10" ht="12.75">
      <c r="A1219" s="1" t="s">
        <v>22</v>
      </c>
      <c r="B1219" s="1" t="s">
        <v>42</v>
      </c>
      <c r="C1219" s="1" t="s">
        <v>100</v>
      </c>
      <c r="D1219" s="2">
        <v>45030</v>
      </c>
      <c r="E1219" s="1" t="s">
        <v>1016</v>
      </c>
      <c r="F1219" s="5">
        <f t="shared" si="77"/>
        <v>6826.32</v>
      </c>
      <c r="G1219" s="1">
        <v>44</v>
      </c>
      <c r="H1219" s="1" t="str">
        <f t="shared" si="78"/>
        <v>High</v>
      </c>
      <c r="I1219" s="1" t="str">
        <f t="shared" si="79"/>
        <v>Other</v>
      </c>
      <c r="J1219" s="1">
        <f t="shared" si="80"/>
        <v>435313.14</v>
      </c>
    </row>
    <row r="1220" spans="1:10" ht="12.75">
      <c r="A1220" s="1" t="s">
        <v>12</v>
      </c>
      <c r="B1220" s="1" t="s">
        <v>39</v>
      </c>
      <c r="C1220" s="1" t="s">
        <v>63</v>
      </c>
      <c r="D1220" s="2">
        <v>44951</v>
      </c>
      <c r="E1220" s="1" t="s">
        <v>1017</v>
      </c>
      <c r="F1220" s="5">
        <f t="shared" si="77"/>
        <v>5029.3500000000004</v>
      </c>
      <c r="G1220" s="1">
        <v>61</v>
      </c>
      <c r="H1220" s="1" t="str">
        <f t="shared" si="78"/>
        <v>High</v>
      </c>
      <c r="I1220" s="1" t="str">
        <f t="shared" si="79"/>
        <v>Other</v>
      </c>
      <c r="J1220" s="1">
        <f t="shared" si="80"/>
        <v>435313.14</v>
      </c>
    </row>
    <row r="1221" spans="1:10" ht="12.75">
      <c r="A1221" s="1" t="s">
        <v>15</v>
      </c>
      <c r="B1221" s="1" t="s">
        <v>42</v>
      </c>
      <c r="C1221" s="1" t="s">
        <v>91</v>
      </c>
      <c r="D1221" s="2">
        <v>44996</v>
      </c>
      <c r="E1221" s="1" t="s">
        <v>1018</v>
      </c>
      <c r="F1221" s="5">
        <f t="shared" si="77"/>
        <v>5143.49</v>
      </c>
      <c r="G1221" s="1">
        <v>21</v>
      </c>
      <c r="H1221" s="1" t="str">
        <f t="shared" si="78"/>
        <v>High</v>
      </c>
      <c r="I1221" s="1" t="str">
        <f t="shared" si="79"/>
        <v>Other</v>
      </c>
      <c r="J1221" s="1">
        <f t="shared" si="80"/>
        <v>435313.14</v>
      </c>
    </row>
    <row r="1222" spans="1:10" ht="12.75">
      <c r="A1222" s="1" t="s">
        <v>21</v>
      </c>
      <c r="B1222" s="1" t="s">
        <v>39</v>
      </c>
      <c r="C1222" s="1" t="s">
        <v>91</v>
      </c>
      <c r="D1222" s="2">
        <v>45135</v>
      </c>
      <c r="E1222" s="1" t="s">
        <v>1019</v>
      </c>
      <c r="F1222" s="5">
        <f t="shared" si="77"/>
        <v>16707.88</v>
      </c>
      <c r="G1222" s="1">
        <v>102</v>
      </c>
      <c r="H1222" s="1" t="str">
        <f t="shared" si="78"/>
        <v>High</v>
      </c>
      <c r="I1222" s="1" t="str">
        <f t="shared" si="79"/>
        <v>Other</v>
      </c>
      <c r="J1222" s="1">
        <f t="shared" si="80"/>
        <v>435313.14</v>
      </c>
    </row>
    <row r="1223" spans="1:10" ht="12.75">
      <c r="A1223" s="1" t="s">
        <v>14</v>
      </c>
      <c r="B1223" s="1" t="s">
        <v>54</v>
      </c>
      <c r="C1223" s="1" t="s">
        <v>52</v>
      </c>
      <c r="D1223" s="2">
        <v>44994</v>
      </c>
      <c r="E1223" s="1" t="s">
        <v>1020</v>
      </c>
      <c r="F1223" s="5">
        <f t="shared" si="77"/>
        <v>1558.87</v>
      </c>
      <c r="G1223" s="1">
        <v>46</v>
      </c>
      <c r="H1223" s="1" t="str">
        <f t="shared" si="78"/>
        <v>High</v>
      </c>
      <c r="I1223" s="1" t="str">
        <f t="shared" si="79"/>
        <v>Other</v>
      </c>
      <c r="J1223" s="1">
        <f t="shared" si="80"/>
        <v>435313.14</v>
      </c>
    </row>
    <row r="1224" spans="1:10" ht="12.75">
      <c r="A1224" s="1" t="s">
        <v>13</v>
      </c>
      <c r="B1224" s="1" t="s">
        <v>5</v>
      </c>
      <c r="C1224" s="1" t="s">
        <v>60</v>
      </c>
      <c r="D1224" s="2">
        <v>45105</v>
      </c>
      <c r="E1224" s="1" t="s">
        <v>1021</v>
      </c>
      <c r="F1224" s="5">
        <f t="shared" si="77"/>
        <v>9332.76</v>
      </c>
      <c r="G1224" s="1">
        <v>196</v>
      </c>
      <c r="H1224" s="1" t="str">
        <f t="shared" si="78"/>
        <v>High</v>
      </c>
      <c r="I1224" s="1" t="str">
        <f t="shared" si="79"/>
        <v>Other</v>
      </c>
      <c r="J1224" s="1">
        <f t="shared" si="80"/>
        <v>435313.14</v>
      </c>
    </row>
    <row r="1225" spans="1:10" ht="12.75">
      <c r="A1225" s="1" t="s">
        <v>14</v>
      </c>
      <c r="B1225" s="1" t="s">
        <v>5</v>
      </c>
      <c r="C1225" s="1" t="s">
        <v>72</v>
      </c>
      <c r="D1225" s="2">
        <v>45135</v>
      </c>
      <c r="E1225" s="1" t="s">
        <v>1022</v>
      </c>
      <c r="F1225" s="5">
        <f t="shared" si="77"/>
        <v>2673.47</v>
      </c>
      <c r="G1225" s="1">
        <v>375</v>
      </c>
      <c r="H1225" s="1" t="str">
        <f t="shared" si="78"/>
        <v>High</v>
      </c>
      <c r="I1225" s="1" t="str">
        <f t="shared" si="79"/>
        <v>Other</v>
      </c>
      <c r="J1225" s="1">
        <f t="shared" si="80"/>
        <v>435313.14</v>
      </c>
    </row>
    <row r="1226" spans="1:10" ht="12.75">
      <c r="A1226" s="1" t="s">
        <v>12</v>
      </c>
      <c r="B1226" s="1" t="s">
        <v>62</v>
      </c>
      <c r="C1226" s="1" t="s">
        <v>51</v>
      </c>
      <c r="D1226" s="2">
        <v>45153</v>
      </c>
      <c r="E1226" s="1" t="s">
        <v>1023</v>
      </c>
      <c r="F1226" s="5">
        <f t="shared" si="77"/>
        <v>4950.21</v>
      </c>
      <c r="G1226" s="1">
        <v>54</v>
      </c>
      <c r="H1226" s="1" t="str">
        <f t="shared" si="78"/>
        <v>High</v>
      </c>
      <c r="I1226" s="1" t="str">
        <f t="shared" si="79"/>
        <v>Other</v>
      </c>
      <c r="J1226" s="1">
        <f t="shared" si="80"/>
        <v>435313.14</v>
      </c>
    </row>
    <row r="1227" spans="1:10" ht="12.75">
      <c r="A1227" s="1" t="s">
        <v>8</v>
      </c>
      <c r="B1227" s="1" t="s">
        <v>5</v>
      </c>
      <c r="C1227" s="1" t="s">
        <v>86</v>
      </c>
      <c r="D1227" s="2">
        <v>44938</v>
      </c>
      <c r="E1227" s="1" t="s">
        <v>1024</v>
      </c>
      <c r="F1227" s="5">
        <f t="shared" si="77"/>
        <v>2919.11</v>
      </c>
      <c r="G1227" s="1">
        <v>271</v>
      </c>
      <c r="H1227" s="1" t="str">
        <f t="shared" si="78"/>
        <v>High</v>
      </c>
      <c r="I1227" s="1" t="str">
        <f t="shared" si="79"/>
        <v>Other</v>
      </c>
      <c r="J1227" s="1">
        <f t="shared" si="80"/>
        <v>435313.14</v>
      </c>
    </row>
    <row r="1228" spans="1:10" ht="12.75">
      <c r="A1228" s="1" t="s">
        <v>28</v>
      </c>
      <c r="B1228" s="1" t="s">
        <v>54</v>
      </c>
      <c r="C1228" s="1" t="s">
        <v>84</v>
      </c>
      <c r="D1228" s="2">
        <v>45009</v>
      </c>
      <c r="E1228" s="1" t="s">
        <v>1025</v>
      </c>
      <c r="F1228" s="5">
        <f t="shared" si="77"/>
        <v>8003.23</v>
      </c>
      <c r="G1228" s="1">
        <v>7</v>
      </c>
      <c r="H1228" s="1" t="str">
        <f t="shared" si="78"/>
        <v>High</v>
      </c>
      <c r="I1228" s="1" t="str">
        <f t="shared" si="79"/>
        <v>Other</v>
      </c>
      <c r="J1228" s="1">
        <f t="shared" si="80"/>
        <v>435313.14</v>
      </c>
    </row>
    <row r="1229" spans="1:10" ht="12.75">
      <c r="A1229" s="1" t="s">
        <v>10</v>
      </c>
      <c r="B1229" s="1" t="s">
        <v>39</v>
      </c>
      <c r="C1229" s="1" t="s">
        <v>72</v>
      </c>
      <c r="D1229" s="2">
        <v>45132</v>
      </c>
      <c r="E1229" s="1" t="s">
        <v>1026</v>
      </c>
      <c r="F1229" s="5">
        <f t="shared" si="77"/>
        <v>4902.78</v>
      </c>
      <c r="G1229" s="1">
        <v>91</v>
      </c>
      <c r="H1229" s="1" t="str">
        <f t="shared" si="78"/>
        <v>High</v>
      </c>
      <c r="I1229" s="1" t="str">
        <f t="shared" si="79"/>
        <v>Other</v>
      </c>
      <c r="J1229" s="1">
        <f t="shared" si="80"/>
        <v>435313.14</v>
      </c>
    </row>
    <row r="1230" spans="1:10" ht="12.75">
      <c r="A1230" s="1" t="s">
        <v>22</v>
      </c>
      <c r="B1230" s="1" t="s">
        <v>62</v>
      </c>
      <c r="C1230" s="1" t="s">
        <v>51</v>
      </c>
      <c r="D1230" s="2">
        <v>45139</v>
      </c>
      <c r="E1230" s="1" t="s">
        <v>1027</v>
      </c>
      <c r="F1230" s="5">
        <f t="shared" si="77"/>
        <v>4033.53</v>
      </c>
      <c r="G1230" s="1">
        <v>430</v>
      </c>
      <c r="H1230" s="1" t="str">
        <f t="shared" si="78"/>
        <v>High</v>
      </c>
      <c r="I1230" s="1" t="str">
        <f t="shared" si="79"/>
        <v>Other</v>
      </c>
      <c r="J1230" s="1">
        <f t="shared" si="80"/>
        <v>435313.14</v>
      </c>
    </row>
    <row r="1231" spans="1:10" ht="12.75">
      <c r="A1231" s="1" t="s">
        <v>10</v>
      </c>
      <c r="B1231" s="1" t="s">
        <v>42</v>
      </c>
      <c r="C1231" s="1" t="s">
        <v>68</v>
      </c>
      <c r="D1231" s="2">
        <v>45062</v>
      </c>
      <c r="E1231" s="1" t="s">
        <v>1028</v>
      </c>
      <c r="F1231" s="5">
        <f t="shared" si="77"/>
        <v>22751.18</v>
      </c>
      <c r="G1231" s="1">
        <v>182</v>
      </c>
      <c r="H1231" s="1" t="str">
        <f t="shared" si="78"/>
        <v>High</v>
      </c>
      <c r="I1231" s="1" t="str">
        <f t="shared" si="79"/>
        <v>Other</v>
      </c>
      <c r="J1231" s="1">
        <f t="shared" si="80"/>
        <v>435313.14</v>
      </c>
    </row>
    <row r="1232" spans="1:10" ht="12.75">
      <c r="A1232" s="1" t="s">
        <v>26</v>
      </c>
      <c r="B1232" s="1" t="s">
        <v>42</v>
      </c>
      <c r="C1232" s="1" t="s">
        <v>49</v>
      </c>
      <c r="D1232" s="2">
        <v>45148</v>
      </c>
      <c r="E1232" s="1" t="s">
        <v>1029</v>
      </c>
      <c r="F1232" s="5">
        <f t="shared" si="77"/>
        <v>5118.1099999999997</v>
      </c>
      <c r="G1232" s="1">
        <v>137</v>
      </c>
      <c r="H1232" s="1" t="str">
        <f t="shared" si="78"/>
        <v>High</v>
      </c>
      <c r="I1232" s="1" t="str">
        <f t="shared" si="79"/>
        <v>Other</v>
      </c>
      <c r="J1232" s="1">
        <f t="shared" si="80"/>
        <v>435313.14</v>
      </c>
    </row>
    <row r="1233" spans="1:10" ht="12.75">
      <c r="A1233" s="1" t="s">
        <v>15</v>
      </c>
      <c r="B1233" s="1" t="s">
        <v>42</v>
      </c>
      <c r="C1233" s="1" t="s">
        <v>63</v>
      </c>
      <c r="D1233" s="2">
        <v>44931</v>
      </c>
      <c r="E1233" s="1" t="s">
        <v>1030</v>
      </c>
      <c r="F1233" s="5">
        <f t="shared" si="77"/>
        <v>2835.9</v>
      </c>
      <c r="G1233" s="1">
        <v>26</v>
      </c>
      <c r="H1233" s="1" t="str">
        <f t="shared" si="78"/>
        <v>High</v>
      </c>
      <c r="I1233" s="1" t="str">
        <f t="shared" si="79"/>
        <v>Other</v>
      </c>
      <c r="J1233" s="1">
        <f t="shared" si="80"/>
        <v>435313.14</v>
      </c>
    </row>
    <row r="1234" spans="1:10" ht="12.75">
      <c r="A1234" s="1" t="s">
        <v>17</v>
      </c>
      <c r="B1234" s="1" t="s">
        <v>39</v>
      </c>
      <c r="C1234" s="1" t="s">
        <v>49</v>
      </c>
      <c r="D1234" s="2">
        <v>45118</v>
      </c>
      <c r="E1234" s="1" t="s">
        <v>1031</v>
      </c>
      <c r="F1234" s="5">
        <f t="shared" si="77"/>
        <v>5828.22</v>
      </c>
      <c r="G1234" s="1">
        <v>121</v>
      </c>
      <c r="H1234" s="1" t="str">
        <f t="shared" si="78"/>
        <v>High</v>
      </c>
      <c r="I1234" s="1" t="str">
        <f t="shared" si="79"/>
        <v>Other</v>
      </c>
      <c r="J1234" s="1">
        <f t="shared" si="80"/>
        <v>435313.14</v>
      </c>
    </row>
    <row r="1235" spans="1:10" ht="12.75">
      <c r="A1235" s="1" t="s">
        <v>29</v>
      </c>
      <c r="B1235" s="1" t="s">
        <v>59</v>
      </c>
      <c r="C1235" s="1" t="s">
        <v>52</v>
      </c>
      <c r="D1235" s="2">
        <v>45041</v>
      </c>
      <c r="E1235" s="1" t="s">
        <v>1032</v>
      </c>
      <c r="F1235" s="5">
        <f t="shared" si="77"/>
        <v>396.19</v>
      </c>
      <c r="G1235" s="1">
        <v>32</v>
      </c>
      <c r="H1235" s="1" t="str">
        <f t="shared" si="78"/>
        <v>Low</v>
      </c>
      <c r="I1235" s="1" t="str">
        <f t="shared" si="79"/>
        <v>Other</v>
      </c>
      <c r="J1235" s="1">
        <f t="shared" si="80"/>
        <v>435313.14</v>
      </c>
    </row>
    <row r="1236" spans="1:10" ht="12.75">
      <c r="A1236" s="1" t="s">
        <v>20</v>
      </c>
      <c r="B1236" s="1" t="s">
        <v>54</v>
      </c>
      <c r="C1236" s="1" t="s">
        <v>81</v>
      </c>
      <c r="D1236" s="2">
        <v>45020</v>
      </c>
      <c r="E1236" s="1" t="s">
        <v>1033</v>
      </c>
      <c r="F1236" s="5">
        <f t="shared" si="77"/>
        <v>11226.5</v>
      </c>
      <c r="G1236" s="1">
        <v>118</v>
      </c>
      <c r="H1236" s="1" t="str">
        <f t="shared" si="78"/>
        <v>High</v>
      </c>
      <c r="I1236" s="1" t="str">
        <f t="shared" si="79"/>
        <v>Other</v>
      </c>
      <c r="J1236" s="1">
        <f t="shared" si="80"/>
        <v>435313.14</v>
      </c>
    </row>
    <row r="1237" spans="1:10" ht="12.75">
      <c r="A1237" s="1" t="s">
        <v>16</v>
      </c>
      <c r="B1237" s="1" t="s">
        <v>59</v>
      </c>
      <c r="C1237" s="1" t="s">
        <v>100</v>
      </c>
      <c r="D1237" s="2">
        <v>45028</v>
      </c>
      <c r="E1237" s="1" t="s">
        <v>1034</v>
      </c>
      <c r="F1237" s="5">
        <f t="shared" si="77"/>
        <v>10102.86</v>
      </c>
      <c r="G1237" s="1">
        <v>107</v>
      </c>
      <c r="H1237" s="1" t="str">
        <f t="shared" si="78"/>
        <v>High</v>
      </c>
      <c r="I1237" s="1" t="str">
        <f t="shared" si="79"/>
        <v>Other</v>
      </c>
      <c r="J1237" s="1">
        <f t="shared" si="80"/>
        <v>435313.14</v>
      </c>
    </row>
    <row r="1238" spans="1:10" ht="12.75">
      <c r="A1238" s="1" t="s">
        <v>29</v>
      </c>
      <c r="B1238" s="1" t="s">
        <v>54</v>
      </c>
      <c r="C1238" s="1" t="s">
        <v>43</v>
      </c>
      <c r="D1238" s="2">
        <v>45140</v>
      </c>
      <c r="E1238" s="1" t="s">
        <v>1035</v>
      </c>
      <c r="F1238" s="5">
        <f t="shared" si="77"/>
        <v>2084.86</v>
      </c>
      <c r="G1238" s="1">
        <v>119</v>
      </c>
      <c r="H1238" s="1" t="str">
        <f t="shared" si="78"/>
        <v>High</v>
      </c>
      <c r="I1238" s="1" t="str">
        <f t="shared" si="79"/>
        <v>Other</v>
      </c>
      <c r="J1238" s="1">
        <f t="shared" si="80"/>
        <v>435313.14</v>
      </c>
    </row>
    <row r="1239" spans="1:10" ht="12.75">
      <c r="A1239" s="1" t="s">
        <v>20</v>
      </c>
      <c r="B1239" s="1" t="s">
        <v>54</v>
      </c>
      <c r="C1239" s="1" t="s">
        <v>86</v>
      </c>
      <c r="D1239" s="2">
        <v>45105</v>
      </c>
      <c r="E1239" s="1" t="s">
        <v>1036</v>
      </c>
      <c r="F1239" s="5">
        <f t="shared" si="77"/>
        <v>8495.7900000000009</v>
      </c>
      <c r="G1239" s="1">
        <v>268</v>
      </c>
      <c r="H1239" s="1" t="str">
        <f t="shared" si="78"/>
        <v>High</v>
      </c>
      <c r="I1239" s="1" t="str">
        <f t="shared" si="79"/>
        <v>Other</v>
      </c>
      <c r="J1239" s="1">
        <f t="shared" si="80"/>
        <v>435313.14</v>
      </c>
    </row>
    <row r="1240" spans="1:10" ht="12.75">
      <c r="A1240" s="1" t="s">
        <v>17</v>
      </c>
      <c r="B1240" s="1" t="s">
        <v>5</v>
      </c>
      <c r="C1240" s="1" t="s">
        <v>63</v>
      </c>
      <c r="D1240" s="2">
        <v>45112</v>
      </c>
      <c r="E1240" s="1" t="s">
        <v>1037</v>
      </c>
      <c r="F1240" s="5">
        <f t="shared" si="77"/>
        <v>4248.34</v>
      </c>
      <c r="G1240" s="1">
        <v>130</v>
      </c>
      <c r="H1240" s="1" t="str">
        <f t="shared" si="78"/>
        <v>High</v>
      </c>
      <c r="I1240" s="1" t="str">
        <f t="shared" si="79"/>
        <v>Other</v>
      </c>
      <c r="J1240" s="1">
        <f t="shared" si="80"/>
        <v>435313.14</v>
      </c>
    </row>
    <row r="1241" spans="1:10" ht="12.75">
      <c r="A1241" s="1" t="s">
        <v>19</v>
      </c>
      <c r="B1241" s="1" t="s">
        <v>54</v>
      </c>
      <c r="C1241" s="1" t="s">
        <v>102</v>
      </c>
      <c r="D1241" s="2">
        <v>45084</v>
      </c>
      <c r="E1241" s="1" t="s">
        <v>1038</v>
      </c>
      <c r="F1241" s="5">
        <f t="shared" si="77"/>
        <v>2236.11</v>
      </c>
      <c r="G1241" s="1">
        <v>46</v>
      </c>
      <c r="H1241" s="1" t="str">
        <f t="shared" si="78"/>
        <v>High</v>
      </c>
      <c r="I1241" s="1" t="str">
        <f t="shared" si="79"/>
        <v>Other</v>
      </c>
      <c r="J1241" s="1">
        <f t="shared" si="80"/>
        <v>435313.14</v>
      </c>
    </row>
    <row r="1242" spans="1:10" ht="12.75">
      <c r="A1242" s="1" t="s">
        <v>7</v>
      </c>
      <c r="B1242" s="1" t="s">
        <v>54</v>
      </c>
      <c r="C1242" s="1" t="s">
        <v>49</v>
      </c>
      <c r="D1242" s="2">
        <v>44944</v>
      </c>
      <c r="E1242" s="1" t="s">
        <v>1039</v>
      </c>
      <c r="F1242" s="5">
        <f t="shared" si="77"/>
        <v>1124.27</v>
      </c>
      <c r="G1242" s="1">
        <v>26</v>
      </c>
      <c r="H1242" s="1" t="str">
        <f t="shared" si="78"/>
        <v>High</v>
      </c>
      <c r="I1242" s="1" t="str">
        <f t="shared" si="79"/>
        <v>Other</v>
      </c>
      <c r="J1242" s="1">
        <f t="shared" si="80"/>
        <v>435313.14</v>
      </c>
    </row>
    <row r="1243" spans="1:10" ht="12.75">
      <c r="A1243" s="1" t="s">
        <v>7</v>
      </c>
      <c r="B1243" s="1" t="s">
        <v>5</v>
      </c>
      <c r="C1243" s="1" t="s">
        <v>122</v>
      </c>
      <c r="D1243" s="2">
        <v>44930</v>
      </c>
      <c r="E1243" s="1" t="s">
        <v>1040</v>
      </c>
      <c r="F1243" s="5">
        <f t="shared" si="77"/>
        <v>12870.47</v>
      </c>
      <c r="G1243" s="1">
        <v>227</v>
      </c>
      <c r="H1243" s="1" t="str">
        <f t="shared" si="78"/>
        <v>High</v>
      </c>
      <c r="I1243" s="1" t="str">
        <f t="shared" si="79"/>
        <v>Other</v>
      </c>
      <c r="J1243" s="1">
        <f t="shared" si="80"/>
        <v>435313.14</v>
      </c>
    </row>
    <row r="1244" spans="1:10" ht="12.75">
      <c r="A1244" s="1" t="s">
        <v>6</v>
      </c>
      <c r="B1244" s="1" t="s">
        <v>5</v>
      </c>
      <c r="C1244" s="1" t="s">
        <v>51</v>
      </c>
      <c r="D1244" s="2">
        <v>44957</v>
      </c>
      <c r="E1244" s="1" t="s">
        <v>1041</v>
      </c>
      <c r="F1244" s="5">
        <f t="shared" si="77"/>
        <v>3017.66</v>
      </c>
      <c r="G1244" s="1">
        <v>19</v>
      </c>
      <c r="H1244" s="1" t="str">
        <f t="shared" si="78"/>
        <v>High</v>
      </c>
      <c r="I1244" s="1" t="str">
        <f t="shared" si="79"/>
        <v>Other</v>
      </c>
      <c r="J1244" s="1">
        <f t="shared" si="80"/>
        <v>435313.14</v>
      </c>
    </row>
    <row r="1245" spans="1:10" ht="12.75">
      <c r="A1245" s="1" t="s">
        <v>12</v>
      </c>
      <c r="B1245" s="1" t="s">
        <v>42</v>
      </c>
      <c r="C1245" s="1" t="s">
        <v>91</v>
      </c>
      <c r="D1245" s="2">
        <v>44999</v>
      </c>
      <c r="E1245" s="1" t="s">
        <v>1042</v>
      </c>
      <c r="F1245" s="5">
        <f t="shared" si="77"/>
        <v>3574.12</v>
      </c>
      <c r="G1245" s="1">
        <v>149</v>
      </c>
      <c r="H1245" s="1" t="str">
        <f t="shared" si="78"/>
        <v>High</v>
      </c>
      <c r="I1245" s="1" t="str">
        <f t="shared" si="79"/>
        <v>Other</v>
      </c>
      <c r="J1245" s="1">
        <f t="shared" si="80"/>
        <v>435313.14</v>
      </c>
    </row>
    <row r="1246" spans="1:10" ht="12.75">
      <c r="A1246" s="1" t="s">
        <v>25</v>
      </c>
      <c r="B1246" s="1" t="s">
        <v>5</v>
      </c>
      <c r="C1246" s="1" t="s">
        <v>147</v>
      </c>
      <c r="D1246" s="2">
        <v>45045</v>
      </c>
      <c r="E1246" s="1" t="s">
        <v>1043</v>
      </c>
      <c r="F1246" s="5">
        <f t="shared" si="77"/>
        <v>6249.31</v>
      </c>
      <c r="G1246" s="1">
        <v>509</v>
      </c>
      <c r="H1246" s="1" t="str">
        <f t="shared" si="78"/>
        <v>High</v>
      </c>
      <c r="I1246" s="1" t="str">
        <f t="shared" si="79"/>
        <v>Other</v>
      </c>
      <c r="J1246" s="1">
        <f t="shared" si="80"/>
        <v>435313.14</v>
      </c>
    </row>
    <row r="1247" spans="1:10" ht="12.75">
      <c r="A1247" s="1" t="s">
        <v>22</v>
      </c>
      <c r="B1247" s="1" t="s">
        <v>42</v>
      </c>
      <c r="C1247" s="1" t="s">
        <v>49</v>
      </c>
      <c r="D1247" s="2">
        <v>44964</v>
      </c>
      <c r="E1247" s="1" t="s">
        <v>1044</v>
      </c>
      <c r="F1247" s="5">
        <f t="shared" si="77"/>
        <v>10759.61</v>
      </c>
      <c r="G1247" s="1">
        <v>107</v>
      </c>
      <c r="H1247" s="1" t="str">
        <f t="shared" si="78"/>
        <v>High</v>
      </c>
      <c r="I1247" s="1" t="str">
        <f t="shared" si="79"/>
        <v>Other</v>
      </c>
      <c r="J1247" s="1">
        <f t="shared" si="80"/>
        <v>435313.14</v>
      </c>
    </row>
    <row r="1248" spans="1:10" ht="12.75">
      <c r="A1248" s="1" t="s">
        <v>8</v>
      </c>
      <c r="B1248" s="1" t="s">
        <v>39</v>
      </c>
      <c r="C1248" s="1" t="s">
        <v>68</v>
      </c>
      <c r="D1248" s="2">
        <v>45016</v>
      </c>
      <c r="E1248" s="1" t="s">
        <v>1045</v>
      </c>
      <c r="F1248" s="5">
        <f t="shared" si="77"/>
        <v>2508.0300000000002</v>
      </c>
      <c r="G1248" s="1">
        <v>175</v>
      </c>
      <c r="H1248" s="1" t="str">
        <f t="shared" si="78"/>
        <v>High</v>
      </c>
      <c r="I1248" s="1" t="str">
        <f t="shared" si="79"/>
        <v>Other</v>
      </c>
      <c r="J1248" s="1">
        <f t="shared" si="80"/>
        <v>435313.14</v>
      </c>
    </row>
    <row r="1249" spans="1:10" ht="12.75">
      <c r="A1249" s="1" t="s">
        <v>14</v>
      </c>
      <c r="B1249" s="1" t="s">
        <v>42</v>
      </c>
      <c r="C1249" s="1" t="s">
        <v>126</v>
      </c>
      <c r="D1249" s="2">
        <v>45001</v>
      </c>
      <c r="E1249" s="1" t="s">
        <v>1046</v>
      </c>
      <c r="F1249" s="5">
        <f t="shared" si="77"/>
        <v>4997.82</v>
      </c>
      <c r="G1249" s="1">
        <v>83</v>
      </c>
      <c r="H1249" s="1" t="str">
        <f t="shared" si="78"/>
        <v>High</v>
      </c>
      <c r="I1249" s="1" t="str">
        <f t="shared" si="79"/>
        <v>Other</v>
      </c>
      <c r="J1249" s="1">
        <f t="shared" si="80"/>
        <v>435313.14</v>
      </c>
    </row>
    <row r="1250" spans="1:10" ht="12.75">
      <c r="A1250" s="1" t="s">
        <v>18</v>
      </c>
      <c r="B1250" s="1" t="s">
        <v>39</v>
      </c>
      <c r="C1250" s="1" t="s">
        <v>63</v>
      </c>
      <c r="D1250" s="2">
        <v>44951</v>
      </c>
      <c r="E1250" s="1" t="s">
        <v>1047</v>
      </c>
      <c r="F1250" s="5">
        <f t="shared" si="77"/>
        <v>7901.09</v>
      </c>
      <c r="G1250" s="1">
        <v>200</v>
      </c>
      <c r="H1250" s="1" t="str">
        <f t="shared" si="78"/>
        <v>High</v>
      </c>
      <c r="I1250" s="1" t="str">
        <f t="shared" si="79"/>
        <v>Other</v>
      </c>
      <c r="J1250" s="1">
        <f t="shared" si="80"/>
        <v>435313.14</v>
      </c>
    </row>
    <row r="1251" spans="1:10" ht="12.75">
      <c r="A1251" s="1" t="s">
        <v>10</v>
      </c>
      <c r="B1251" s="1" t="s">
        <v>42</v>
      </c>
      <c r="C1251" s="1" t="s">
        <v>122</v>
      </c>
      <c r="D1251" s="2">
        <v>45097</v>
      </c>
      <c r="E1251" s="1" t="s">
        <v>1048</v>
      </c>
      <c r="F1251" s="5">
        <f t="shared" si="77"/>
        <v>3133.42</v>
      </c>
      <c r="G1251" s="1">
        <v>479</v>
      </c>
      <c r="H1251" s="1" t="str">
        <f t="shared" si="78"/>
        <v>High</v>
      </c>
      <c r="I1251" s="1" t="str">
        <f t="shared" si="79"/>
        <v>Other</v>
      </c>
      <c r="J1251" s="1">
        <f t="shared" si="80"/>
        <v>435313.14</v>
      </c>
    </row>
    <row r="1252" spans="1:10" ht="12.75">
      <c r="A1252" s="1" t="s">
        <v>20</v>
      </c>
      <c r="B1252" s="1" t="s">
        <v>39</v>
      </c>
      <c r="C1252" s="1" t="s">
        <v>52</v>
      </c>
      <c r="D1252" s="2">
        <v>45014</v>
      </c>
      <c r="E1252" s="1" t="s">
        <v>1049</v>
      </c>
      <c r="F1252" s="5">
        <f t="shared" si="77"/>
        <v>8320.2900000000009</v>
      </c>
      <c r="G1252" s="1">
        <v>171</v>
      </c>
      <c r="H1252" s="1" t="str">
        <f t="shared" si="78"/>
        <v>High</v>
      </c>
      <c r="I1252" s="1" t="str">
        <f t="shared" si="79"/>
        <v>Other</v>
      </c>
      <c r="J1252" s="1">
        <f t="shared" si="80"/>
        <v>435313.14</v>
      </c>
    </row>
    <row r="1253" spans="1:10" ht="12.75">
      <c r="A1253" s="1" t="s">
        <v>24</v>
      </c>
      <c r="B1253" s="1" t="s">
        <v>5</v>
      </c>
      <c r="C1253" s="1" t="s">
        <v>60</v>
      </c>
      <c r="D1253" s="2">
        <v>45119</v>
      </c>
      <c r="E1253" s="1" t="s">
        <v>1050</v>
      </c>
      <c r="F1253" s="5">
        <f t="shared" si="77"/>
        <v>909.93</v>
      </c>
      <c r="G1253" s="1">
        <v>132</v>
      </c>
      <c r="H1253" s="1" t="str">
        <f t="shared" si="78"/>
        <v>High</v>
      </c>
      <c r="I1253" s="1" t="str">
        <f t="shared" si="79"/>
        <v>Other</v>
      </c>
      <c r="J1253" s="1">
        <f t="shared" si="80"/>
        <v>435313.14</v>
      </c>
    </row>
    <row r="1254" spans="1:10" ht="12.75">
      <c r="A1254" s="1" t="s">
        <v>11</v>
      </c>
      <c r="B1254" s="1" t="s">
        <v>62</v>
      </c>
      <c r="C1254" s="1" t="s">
        <v>49</v>
      </c>
      <c r="D1254" s="2">
        <v>45118</v>
      </c>
      <c r="E1254" s="1" t="s">
        <v>1051</v>
      </c>
      <c r="F1254" s="5">
        <f t="shared" si="77"/>
        <v>5631.26</v>
      </c>
      <c r="G1254" s="1">
        <v>142</v>
      </c>
      <c r="H1254" s="1" t="str">
        <f t="shared" si="78"/>
        <v>High</v>
      </c>
      <c r="I1254" s="1" t="str">
        <f t="shared" si="79"/>
        <v>Other</v>
      </c>
      <c r="J1254" s="1">
        <f t="shared" si="80"/>
        <v>435313.14</v>
      </c>
    </row>
    <row r="1255" spans="1:10" ht="12.75">
      <c r="A1255" s="1" t="s">
        <v>18</v>
      </c>
      <c r="B1255" s="1" t="s">
        <v>62</v>
      </c>
      <c r="C1255" s="1" t="s">
        <v>49</v>
      </c>
      <c r="D1255" s="2">
        <v>44945</v>
      </c>
      <c r="E1255" s="1" t="s">
        <v>1052</v>
      </c>
      <c r="F1255" s="5">
        <f t="shared" si="77"/>
        <v>3283.44</v>
      </c>
      <c r="G1255" s="1">
        <v>186</v>
      </c>
      <c r="H1255" s="1" t="str">
        <f t="shared" si="78"/>
        <v>High</v>
      </c>
      <c r="I1255" s="1" t="str">
        <f t="shared" si="79"/>
        <v>Other</v>
      </c>
      <c r="J1255" s="1">
        <f t="shared" si="80"/>
        <v>435313.14</v>
      </c>
    </row>
    <row r="1256" spans="1:10" ht="12.75">
      <c r="A1256" s="1" t="s">
        <v>27</v>
      </c>
      <c r="B1256" s="1" t="s">
        <v>59</v>
      </c>
      <c r="C1256" s="1" t="s">
        <v>43</v>
      </c>
      <c r="D1256" s="2">
        <v>45021</v>
      </c>
      <c r="E1256" s="1" t="s">
        <v>1053</v>
      </c>
      <c r="F1256" s="5">
        <f t="shared" si="77"/>
        <v>9458.0300000000007</v>
      </c>
      <c r="G1256" s="1">
        <v>87</v>
      </c>
      <c r="H1256" s="1" t="str">
        <f t="shared" si="78"/>
        <v>High</v>
      </c>
      <c r="I1256" s="1" t="str">
        <f t="shared" si="79"/>
        <v>Other</v>
      </c>
      <c r="J1256" s="1">
        <f t="shared" si="80"/>
        <v>435313.14</v>
      </c>
    </row>
    <row r="1257" spans="1:10" ht="12.75">
      <c r="A1257" s="1" t="s">
        <v>11</v>
      </c>
      <c r="B1257" s="1" t="s">
        <v>62</v>
      </c>
      <c r="C1257" s="1" t="s">
        <v>72</v>
      </c>
      <c r="D1257" s="2">
        <v>44978</v>
      </c>
      <c r="E1257" s="1" t="s">
        <v>1054</v>
      </c>
      <c r="F1257" s="5">
        <f t="shared" si="77"/>
        <v>7726.25</v>
      </c>
      <c r="G1257" s="1">
        <v>12</v>
      </c>
      <c r="H1257" s="1" t="str">
        <f t="shared" si="78"/>
        <v>High</v>
      </c>
      <c r="I1257" s="1" t="str">
        <f t="shared" si="79"/>
        <v>Other</v>
      </c>
      <c r="J1257" s="1">
        <f t="shared" si="80"/>
        <v>435313.14</v>
      </c>
    </row>
    <row r="1258" spans="1:10" ht="12.75">
      <c r="A1258" s="1" t="s">
        <v>19</v>
      </c>
      <c r="B1258" s="1" t="s">
        <v>54</v>
      </c>
      <c r="C1258" s="1" t="s">
        <v>126</v>
      </c>
      <c r="D1258" s="2">
        <v>45066</v>
      </c>
      <c r="E1258" s="1" t="s">
        <v>1055</v>
      </c>
      <c r="F1258" s="5">
        <f t="shared" si="77"/>
        <v>14369.4</v>
      </c>
      <c r="G1258" s="1">
        <v>15</v>
      </c>
      <c r="H1258" s="1" t="str">
        <f t="shared" si="78"/>
        <v>High</v>
      </c>
      <c r="I1258" s="1" t="str">
        <f t="shared" si="79"/>
        <v>Other</v>
      </c>
      <c r="J1258" s="1">
        <f t="shared" si="80"/>
        <v>435313.14</v>
      </c>
    </row>
    <row r="1259" spans="1:10" ht="12.75">
      <c r="A1259" s="1" t="s">
        <v>2</v>
      </c>
      <c r="B1259" s="1" t="s">
        <v>5</v>
      </c>
      <c r="C1259" s="1" t="s">
        <v>72</v>
      </c>
      <c r="D1259" s="2">
        <v>45136</v>
      </c>
      <c r="E1259" s="1" t="s">
        <v>1056</v>
      </c>
      <c r="F1259" s="5">
        <f t="shared" si="77"/>
        <v>2829.57</v>
      </c>
      <c r="G1259" s="1">
        <v>106</v>
      </c>
      <c r="H1259" s="1" t="str">
        <f t="shared" si="78"/>
        <v>High</v>
      </c>
      <c r="I1259" s="1" t="str">
        <f t="shared" si="79"/>
        <v>Top Local</v>
      </c>
      <c r="J1259" s="1">
        <f t="shared" si="80"/>
        <v>435313.14</v>
      </c>
    </row>
    <row r="1260" spans="1:10" ht="12.75">
      <c r="A1260" s="1" t="s">
        <v>16</v>
      </c>
      <c r="B1260" s="1" t="s">
        <v>59</v>
      </c>
      <c r="C1260" s="1" t="s">
        <v>81</v>
      </c>
      <c r="D1260" s="2">
        <v>44954</v>
      </c>
      <c r="E1260" s="1" t="s">
        <v>1057</v>
      </c>
      <c r="F1260" s="5">
        <f t="shared" si="77"/>
        <v>9370.61</v>
      </c>
      <c r="G1260" s="1">
        <v>45</v>
      </c>
      <c r="H1260" s="1" t="str">
        <f t="shared" si="78"/>
        <v>High</v>
      </c>
      <c r="I1260" s="1" t="str">
        <f t="shared" si="79"/>
        <v>Other</v>
      </c>
      <c r="J1260" s="1">
        <f t="shared" si="80"/>
        <v>432483.57</v>
      </c>
    </row>
    <row r="1261" spans="1:10" ht="12.75">
      <c r="A1261" s="1" t="s">
        <v>14</v>
      </c>
      <c r="B1261" s="1" t="s">
        <v>39</v>
      </c>
      <c r="C1261" s="1" t="s">
        <v>126</v>
      </c>
      <c r="D1261" s="2">
        <v>45126</v>
      </c>
      <c r="E1261" s="1" t="s">
        <v>1058</v>
      </c>
      <c r="F1261" s="5">
        <f t="shared" si="77"/>
        <v>3651.49</v>
      </c>
      <c r="G1261" s="1">
        <v>112</v>
      </c>
      <c r="H1261" s="1" t="str">
        <f t="shared" si="78"/>
        <v>High</v>
      </c>
      <c r="I1261" s="1" t="str">
        <f t="shared" si="79"/>
        <v>Other</v>
      </c>
      <c r="J1261" s="1">
        <f t="shared" si="80"/>
        <v>432483.57</v>
      </c>
    </row>
    <row r="1262" spans="1:10" ht="12.75">
      <c r="A1262" s="1" t="s">
        <v>2</v>
      </c>
      <c r="B1262" s="1" t="s">
        <v>54</v>
      </c>
      <c r="C1262" s="1" t="s">
        <v>86</v>
      </c>
      <c r="D1262" s="2">
        <v>45029</v>
      </c>
      <c r="E1262" s="1" t="s">
        <v>1059</v>
      </c>
      <c r="F1262" s="5">
        <f t="shared" si="77"/>
        <v>10229.99</v>
      </c>
      <c r="G1262" s="1">
        <v>12</v>
      </c>
      <c r="H1262" s="1" t="str">
        <f t="shared" si="78"/>
        <v>High</v>
      </c>
      <c r="I1262" s="1" t="str">
        <f t="shared" si="79"/>
        <v>Other</v>
      </c>
      <c r="J1262" s="1">
        <f t="shared" si="80"/>
        <v>432483.57</v>
      </c>
    </row>
    <row r="1263" spans="1:10" ht="12.75">
      <c r="A1263" s="1" t="s">
        <v>26</v>
      </c>
      <c r="B1263" s="1" t="s">
        <v>42</v>
      </c>
      <c r="C1263" s="1" t="s">
        <v>45</v>
      </c>
      <c r="D1263" s="2">
        <v>44968</v>
      </c>
      <c r="E1263" s="1" t="s">
        <v>1060</v>
      </c>
      <c r="F1263" s="5">
        <f t="shared" si="77"/>
        <v>11596.89</v>
      </c>
      <c r="G1263" s="1">
        <v>22</v>
      </c>
      <c r="H1263" s="1" t="str">
        <f t="shared" si="78"/>
        <v>High</v>
      </c>
      <c r="I1263" s="1" t="str">
        <f t="shared" si="79"/>
        <v>Other</v>
      </c>
      <c r="J1263" s="1">
        <f t="shared" si="80"/>
        <v>422253.58</v>
      </c>
    </row>
    <row r="1264" spans="1:10" ht="12.75">
      <c r="A1264" s="1" t="s">
        <v>26</v>
      </c>
      <c r="B1264" s="1" t="s">
        <v>54</v>
      </c>
      <c r="C1264" s="1" t="s">
        <v>72</v>
      </c>
      <c r="D1264" s="2">
        <v>44987</v>
      </c>
      <c r="E1264" s="1" t="s">
        <v>1061</v>
      </c>
      <c r="F1264" s="5">
        <f t="shared" si="77"/>
        <v>5857.9</v>
      </c>
      <c r="G1264" s="1">
        <v>111</v>
      </c>
      <c r="H1264" s="1" t="str">
        <f t="shared" si="78"/>
        <v>High</v>
      </c>
      <c r="I1264" s="1" t="str">
        <f t="shared" si="79"/>
        <v>Other</v>
      </c>
      <c r="J1264" s="1">
        <f t="shared" si="80"/>
        <v>422253.58</v>
      </c>
    </row>
    <row r="1265" spans="1:10" ht="12.75">
      <c r="A1265" s="1" t="s">
        <v>17</v>
      </c>
      <c r="B1265" s="1" t="s">
        <v>5</v>
      </c>
      <c r="C1265" s="1" t="s">
        <v>84</v>
      </c>
      <c r="D1265" s="2">
        <v>44987</v>
      </c>
      <c r="E1265" s="1" t="s">
        <v>1062</v>
      </c>
      <c r="F1265" s="5">
        <f t="shared" si="77"/>
        <v>1177.6400000000001</v>
      </c>
      <c r="G1265" s="1">
        <v>206</v>
      </c>
      <c r="H1265" s="1" t="str">
        <f t="shared" si="78"/>
        <v>High</v>
      </c>
      <c r="I1265" s="1" t="str">
        <f t="shared" si="79"/>
        <v>Other</v>
      </c>
      <c r="J1265" s="1">
        <f t="shared" si="80"/>
        <v>422253.58</v>
      </c>
    </row>
    <row r="1266" spans="1:10" ht="12.75">
      <c r="A1266" s="1" t="s">
        <v>10</v>
      </c>
      <c r="B1266" s="1" t="s">
        <v>59</v>
      </c>
      <c r="C1266" s="1" t="s">
        <v>51</v>
      </c>
      <c r="D1266" s="2">
        <v>45135</v>
      </c>
      <c r="E1266" s="1" t="s">
        <v>1063</v>
      </c>
      <c r="F1266" s="5">
        <f t="shared" si="77"/>
        <v>12930.11</v>
      </c>
      <c r="G1266" s="1">
        <v>6</v>
      </c>
      <c r="H1266" s="1" t="str">
        <f t="shared" si="78"/>
        <v>High</v>
      </c>
      <c r="I1266" s="1" t="str">
        <f t="shared" si="79"/>
        <v>Other</v>
      </c>
      <c r="J1266" s="1">
        <f t="shared" si="80"/>
        <v>422253.58</v>
      </c>
    </row>
    <row r="1267" spans="1:10" ht="12.75">
      <c r="A1267" s="1" t="s">
        <v>12</v>
      </c>
      <c r="B1267" s="1" t="s">
        <v>42</v>
      </c>
      <c r="C1267" s="1" t="s">
        <v>52</v>
      </c>
      <c r="D1267" s="2">
        <v>44933</v>
      </c>
      <c r="E1267" s="1" t="s">
        <v>1064</v>
      </c>
      <c r="F1267" s="5">
        <f t="shared" si="77"/>
        <v>1732.04</v>
      </c>
      <c r="G1267" s="1">
        <v>531</v>
      </c>
      <c r="H1267" s="1" t="str">
        <f t="shared" si="78"/>
        <v>High</v>
      </c>
      <c r="I1267" s="1" t="str">
        <f t="shared" si="79"/>
        <v>Other</v>
      </c>
      <c r="J1267" s="1">
        <f t="shared" si="80"/>
        <v>422253.58</v>
      </c>
    </row>
    <row r="1268" spans="1:10" ht="12.75">
      <c r="A1268" s="1" t="s">
        <v>7</v>
      </c>
      <c r="B1268" s="1" t="s">
        <v>39</v>
      </c>
      <c r="C1268" s="1" t="s">
        <v>84</v>
      </c>
      <c r="D1268" s="2">
        <v>45028</v>
      </c>
      <c r="E1268" s="1" t="s">
        <v>1065</v>
      </c>
      <c r="F1268" s="5">
        <f t="shared" si="77"/>
        <v>5837.17</v>
      </c>
      <c r="G1268" s="1">
        <v>173</v>
      </c>
      <c r="H1268" s="1" t="str">
        <f t="shared" si="78"/>
        <v>High</v>
      </c>
      <c r="I1268" s="1" t="str">
        <f t="shared" si="79"/>
        <v>Other</v>
      </c>
      <c r="J1268" s="1">
        <f t="shared" si="80"/>
        <v>422253.58</v>
      </c>
    </row>
    <row r="1269" spans="1:10" ht="12.75">
      <c r="A1269" s="1" t="s">
        <v>10</v>
      </c>
      <c r="B1269" s="1" t="s">
        <v>62</v>
      </c>
      <c r="C1269" s="1" t="s">
        <v>91</v>
      </c>
      <c r="D1269" s="2">
        <v>45104</v>
      </c>
      <c r="E1269" s="1" t="s">
        <v>1066</v>
      </c>
      <c r="F1269" s="5">
        <f t="shared" si="77"/>
        <v>3424.66</v>
      </c>
      <c r="G1269" s="1">
        <v>70</v>
      </c>
      <c r="H1269" s="1" t="str">
        <f t="shared" si="78"/>
        <v>High</v>
      </c>
      <c r="I1269" s="1" t="str">
        <f t="shared" si="79"/>
        <v>Other</v>
      </c>
      <c r="J1269" s="1">
        <f t="shared" si="80"/>
        <v>422253.58</v>
      </c>
    </row>
    <row r="1270" spans="1:10" ht="12.75">
      <c r="A1270" s="1" t="s">
        <v>11</v>
      </c>
      <c r="B1270" s="1" t="s">
        <v>5</v>
      </c>
      <c r="C1270" s="1" t="s">
        <v>55</v>
      </c>
      <c r="D1270" s="2">
        <v>44940</v>
      </c>
      <c r="E1270" s="1" t="s">
        <v>1067</v>
      </c>
      <c r="F1270" s="5">
        <f t="shared" si="77"/>
        <v>5700.28</v>
      </c>
      <c r="G1270" s="1">
        <v>422</v>
      </c>
      <c r="H1270" s="1" t="str">
        <f t="shared" si="78"/>
        <v>High</v>
      </c>
      <c r="I1270" s="1" t="str">
        <f t="shared" si="79"/>
        <v>Other</v>
      </c>
      <c r="J1270" s="1">
        <f t="shared" si="80"/>
        <v>422253.58</v>
      </c>
    </row>
    <row r="1271" spans="1:10" ht="12.75">
      <c r="A1271" s="1" t="s">
        <v>18</v>
      </c>
      <c r="B1271" s="1" t="s">
        <v>39</v>
      </c>
      <c r="C1271" s="1" t="s">
        <v>122</v>
      </c>
      <c r="D1271" s="2">
        <v>44964</v>
      </c>
      <c r="E1271" s="1" t="s">
        <v>1068</v>
      </c>
      <c r="F1271" s="5">
        <f t="shared" si="77"/>
        <v>5094.4799999999996</v>
      </c>
      <c r="G1271" s="1">
        <v>373</v>
      </c>
      <c r="H1271" s="1" t="str">
        <f t="shared" si="78"/>
        <v>High</v>
      </c>
      <c r="I1271" s="1" t="str">
        <f t="shared" si="79"/>
        <v>Other</v>
      </c>
      <c r="J1271" s="1">
        <f t="shared" si="80"/>
        <v>422253.58</v>
      </c>
    </row>
    <row r="1272" spans="1:10" ht="12.75">
      <c r="A1272" s="1" t="s">
        <v>11</v>
      </c>
      <c r="B1272" s="1" t="s">
        <v>5</v>
      </c>
      <c r="C1272" s="1" t="s">
        <v>60</v>
      </c>
      <c r="D1272" s="2">
        <v>45008</v>
      </c>
      <c r="E1272" s="1" t="s">
        <v>1069</v>
      </c>
      <c r="F1272" s="5">
        <f t="shared" si="77"/>
        <v>14529.2</v>
      </c>
      <c r="G1272" s="1">
        <v>26</v>
      </c>
      <c r="H1272" s="1" t="str">
        <f t="shared" si="78"/>
        <v>High</v>
      </c>
      <c r="I1272" s="1" t="str">
        <f t="shared" si="79"/>
        <v>Other</v>
      </c>
      <c r="J1272" s="1">
        <f t="shared" si="80"/>
        <v>422253.58</v>
      </c>
    </row>
    <row r="1273" spans="1:10" ht="12.75">
      <c r="A1273" s="1" t="s">
        <v>14</v>
      </c>
      <c r="B1273" s="1" t="s">
        <v>42</v>
      </c>
      <c r="C1273" s="1" t="s">
        <v>45</v>
      </c>
      <c r="D1273" s="2">
        <v>44936</v>
      </c>
      <c r="E1273" s="1" t="s">
        <v>1070</v>
      </c>
      <c r="F1273" s="5">
        <f t="shared" si="77"/>
        <v>6761.28</v>
      </c>
      <c r="G1273" s="1">
        <v>145</v>
      </c>
      <c r="H1273" s="1" t="str">
        <f t="shared" si="78"/>
        <v>High</v>
      </c>
      <c r="I1273" s="1" t="str">
        <f t="shared" si="79"/>
        <v>Other</v>
      </c>
      <c r="J1273" s="1">
        <f t="shared" si="80"/>
        <v>422253.58</v>
      </c>
    </row>
    <row r="1274" spans="1:10" ht="12.75">
      <c r="A1274" s="1" t="s">
        <v>22</v>
      </c>
      <c r="B1274" s="1" t="s">
        <v>39</v>
      </c>
      <c r="C1274" s="1" t="s">
        <v>102</v>
      </c>
      <c r="D1274" s="2">
        <v>45002</v>
      </c>
      <c r="E1274" s="1" t="s">
        <v>1071</v>
      </c>
      <c r="F1274" s="5">
        <f t="shared" si="77"/>
        <v>10370.44</v>
      </c>
      <c r="G1274" s="1">
        <v>44</v>
      </c>
      <c r="H1274" s="1" t="str">
        <f t="shared" si="78"/>
        <v>High</v>
      </c>
      <c r="I1274" s="1" t="str">
        <f t="shared" si="79"/>
        <v>Other</v>
      </c>
      <c r="J1274" s="1">
        <f t="shared" si="80"/>
        <v>422253.58</v>
      </c>
    </row>
    <row r="1275" spans="1:10" ht="12.75">
      <c r="A1275" s="1" t="s">
        <v>20</v>
      </c>
      <c r="B1275" s="1" t="s">
        <v>59</v>
      </c>
      <c r="C1275" s="1" t="s">
        <v>76</v>
      </c>
      <c r="D1275" s="2">
        <v>44947</v>
      </c>
      <c r="E1275" s="1" t="s">
        <v>1072</v>
      </c>
      <c r="F1275" s="5">
        <f t="shared" si="77"/>
        <v>12450.24</v>
      </c>
      <c r="G1275" s="1">
        <v>57</v>
      </c>
      <c r="H1275" s="1" t="str">
        <f t="shared" si="78"/>
        <v>High</v>
      </c>
      <c r="I1275" s="1" t="str">
        <f t="shared" si="79"/>
        <v>Other</v>
      </c>
      <c r="J1275" s="1">
        <f t="shared" si="80"/>
        <v>422253.58</v>
      </c>
    </row>
    <row r="1276" spans="1:10" ht="12.75">
      <c r="A1276" s="1" t="s">
        <v>16</v>
      </c>
      <c r="B1276" s="1" t="s">
        <v>5</v>
      </c>
      <c r="C1276" s="1" t="s">
        <v>84</v>
      </c>
      <c r="D1276" s="2">
        <v>45111</v>
      </c>
      <c r="E1276" s="1" t="s">
        <v>1073</v>
      </c>
      <c r="F1276" s="5">
        <f t="shared" si="77"/>
        <v>8927.6299999999992</v>
      </c>
      <c r="G1276" s="1">
        <v>386</v>
      </c>
      <c r="H1276" s="1" t="str">
        <f t="shared" si="78"/>
        <v>High</v>
      </c>
      <c r="I1276" s="1" t="str">
        <f t="shared" si="79"/>
        <v>Other</v>
      </c>
      <c r="J1276" s="1">
        <f t="shared" si="80"/>
        <v>422253.58</v>
      </c>
    </row>
    <row r="1277" spans="1:10" ht="12.75">
      <c r="A1277" s="1" t="s">
        <v>8</v>
      </c>
      <c r="B1277" s="1" t="s">
        <v>62</v>
      </c>
      <c r="C1277" s="1" t="s">
        <v>45</v>
      </c>
      <c r="D1277" s="2">
        <v>45111</v>
      </c>
      <c r="E1277" s="1" t="s">
        <v>1074</v>
      </c>
      <c r="F1277" s="5">
        <f t="shared" si="77"/>
        <v>3438.7</v>
      </c>
      <c r="G1277" s="1">
        <v>191</v>
      </c>
      <c r="H1277" s="1" t="str">
        <f t="shared" si="78"/>
        <v>High</v>
      </c>
      <c r="I1277" s="1" t="str">
        <f t="shared" si="79"/>
        <v>Other</v>
      </c>
      <c r="J1277" s="1">
        <f t="shared" si="80"/>
        <v>422253.58</v>
      </c>
    </row>
    <row r="1278" spans="1:10" ht="12.75">
      <c r="A1278" s="1" t="s">
        <v>21</v>
      </c>
      <c r="B1278" s="1" t="s">
        <v>59</v>
      </c>
      <c r="C1278" s="1" t="s">
        <v>86</v>
      </c>
      <c r="D1278" s="2">
        <v>45148</v>
      </c>
      <c r="E1278" s="1" t="s">
        <v>1075</v>
      </c>
      <c r="F1278" s="5">
        <f t="shared" si="77"/>
        <v>299.70999999999998</v>
      </c>
      <c r="G1278" s="1">
        <v>207</v>
      </c>
      <c r="H1278" s="1" t="str">
        <f t="shared" si="78"/>
        <v>Low</v>
      </c>
      <c r="I1278" s="1" t="str">
        <f t="shared" si="79"/>
        <v>Other</v>
      </c>
      <c r="J1278" s="1">
        <f t="shared" si="80"/>
        <v>422253.58</v>
      </c>
    </row>
    <row r="1279" spans="1:10" ht="12.75">
      <c r="A1279" s="1" t="s">
        <v>6</v>
      </c>
      <c r="B1279" s="1" t="s">
        <v>5</v>
      </c>
      <c r="C1279" s="1" t="s">
        <v>55</v>
      </c>
      <c r="D1279" s="2">
        <v>45017</v>
      </c>
      <c r="E1279" s="1" t="s">
        <v>1076</v>
      </c>
      <c r="F1279" s="5">
        <f t="shared" si="77"/>
        <v>7374.26</v>
      </c>
      <c r="G1279" s="1">
        <v>12</v>
      </c>
      <c r="H1279" s="1" t="str">
        <f t="shared" si="78"/>
        <v>High</v>
      </c>
      <c r="I1279" s="1" t="str">
        <f t="shared" si="79"/>
        <v>Other</v>
      </c>
      <c r="J1279" s="1">
        <f t="shared" si="80"/>
        <v>422253.58</v>
      </c>
    </row>
    <row r="1280" spans="1:10" ht="12.75">
      <c r="A1280" s="1" t="s">
        <v>20</v>
      </c>
      <c r="B1280" s="1" t="s">
        <v>42</v>
      </c>
      <c r="C1280" s="1" t="s">
        <v>100</v>
      </c>
      <c r="D1280" s="2">
        <v>44979</v>
      </c>
      <c r="E1280" s="1" t="s">
        <v>1077</v>
      </c>
      <c r="F1280" s="5">
        <f t="shared" si="77"/>
        <v>2775.87</v>
      </c>
      <c r="G1280" s="1">
        <v>174</v>
      </c>
      <c r="H1280" s="1" t="str">
        <f t="shared" si="78"/>
        <v>High</v>
      </c>
      <c r="I1280" s="1" t="str">
        <f t="shared" si="79"/>
        <v>Other</v>
      </c>
      <c r="J1280" s="1">
        <f t="shared" si="80"/>
        <v>422253.58</v>
      </c>
    </row>
    <row r="1281" spans="1:10" ht="12.75">
      <c r="A1281" s="1" t="s">
        <v>25</v>
      </c>
      <c r="B1281" s="1" t="s">
        <v>39</v>
      </c>
      <c r="C1281" s="1" t="s">
        <v>84</v>
      </c>
      <c r="D1281" s="2">
        <v>44929</v>
      </c>
      <c r="E1281" s="1" t="s">
        <v>1078</v>
      </c>
      <c r="F1281" s="5">
        <f t="shared" si="77"/>
        <v>9957.66</v>
      </c>
      <c r="G1281" s="1">
        <v>194</v>
      </c>
      <c r="H1281" s="1" t="str">
        <f t="shared" si="78"/>
        <v>High</v>
      </c>
      <c r="I1281" s="1" t="str">
        <f t="shared" si="79"/>
        <v>Other</v>
      </c>
      <c r="J1281" s="1">
        <f t="shared" si="80"/>
        <v>422253.58</v>
      </c>
    </row>
    <row r="1282" spans="1:10" ht="12.75">
      <c r="A1282" s="1" t="s">
        <v>18</v>
      </c>
      <c r="B1282" s="1" t="s">
        <v>42</v>
      </c>
      <c r="C1282" s="1" t="s">
        <v>65</v>
      </c>
      <c r="D1282" s="2">
        <v>45077</v>
      </c>
      <c r="E1282" s="1" t="s">
        <v>1079</v>
      </c>
      <c r="F1282" s="5">
        <f t="shared" ref="F1282:F1345" si="81">VALUE(SUBSTITUTE(E1282,"$",""))</f>
        <v>5064.88</v>
      </c>
      <c r="G1282" s="1">
        <v>251</v>
      </c>
      <c r="H1282" s="1" t="str">
        <f t="shared" ref="H1282:H1345" si="82">IF(F1282&gt;800,"High",IF(F1282&gt;500,"Medium","Low"))</f>
        <v>High</v>
      </c>
      <c r="I1282" s="1" t="str">
        <f t="shared" ref="I1282:I1345" si="83">IF(AND(B1282="Australia",A1282="Mallorie Waber"),"Top Local","Other")</f>
        <v>Other</v>
      </c>
      <c r="J1282" s="1">
        <f t="shared" ref="J1282:J1345" si="84">SUMIF(A1282:A4562,"Mallorie Waber",F1282:F4562)</f>
        <v>422253.58</v>
      </c>
    </row>
    <row r="1283" spans="1:10" ht="12.75">
      <c r="A1283" s="1" t="s">
        <v>21</v>
      </c>
      <c r="B1283" s="1" t="s">
        <v>39</v>
      </c>
      <c r="C1283" s="1" t="s">
        <v>51</v>
      </c>
      <c r="D1283" s="2">
        <v>44929</v>
      </c>
      <c r="E1283" s="1" t="s">
        <v>1080</v>
      </c>
      <c r="F1283" s="5">
        <f t="shared" si="81"/>
        <v>9865.0499999999993</v>
      </c>
      <c r="G1283" s="1">
        <v>273</v>
      </c>
      <c r="H1283" s="1" t="str">
        <f t="shared" si="82"/>
        <v>High</v>
      </c>
      <c r="I1283" s="1" t="str">
        <f t="shared" si="83"/>
        <v>Other</v>
      </c>
      <c r="J1283" s="1">
        <f t="shared" si="84"/>
        <v>422253.58</v>
      </c>
    </row>
    <row r="1284" spans="1:10" ht="12.75">
      <c r="A1284" s="1" t="s">
        <v>13</v>
      </c>
      <c r="B1284" s="1" t="s">
        <v>54</v>
      </c>
      <c r="C1284" s="1" t="s">
        <v>126</v>
      </c>
      <c r="D1284" s="2">
        <v>44953</v>
      </c>
      <c r="E1284" s="1" t="s">
        <v>1081</v>
      </c>
      <c r="F1284" s="5">
        <f t="shared" si="81"/>
        <v>571.52</v>
      </c>
      <c r="G1284" s="1">
        <v>489</v>
      </c>
      <c r="H1284" s="1" t="str">
        <f t="shared" si="82"/>
        <v>Medium</v>
      </c>
      <c r="I1284" s="1" t="str">
        <f t="shared" si="83"/>
        <v>Other</v>
      </c>
      <c r="J1284" s="1">
        <f t="shared" si="84"/>
        <v>422253.58</v>
      </c>
    </row>
    <row r="1285" spans="1:10" ht="12.75">
      <c r="A1285" s="1" t="s">
        <v>16</v>
      </c>
      <c r="B1285" s="1" t="s">
        <v>39</v>
      </c>
      <c r="C1285" s="1" t="s">
        <v>55</v>
      </c>
      <c r="D1285" s="2">
        <v>44954</v>
      </c>
      <c r="E1285" s="1" t="s">
        <v>1082</v>
      </c>
      <c r="F1285" s="5">
        <f t="shared" si="81"/>
        <v>656.44</v>
      </c>
      <c r="G1285" s="1">
        <v>67</v>
      </c>
      <c r="H1285" s="1" t="str">
        <f t="shared" si="82"/>
        <v>Medium</v>
      </c>
      <c r="I1285" s="1" t="str">
        <f t="shared" si="83"/>
        <v>Other</v>
      </c>
      <c r="J1285" s="1">
        <f t="shared" si="84"/>
        <v>422253.58</v>
      </c>
    </row>
    <row r="1286" spans="1:10" ht="12.75">
      <c r="A1286" s="1" t="s">
        <v>24</v>
      </c>
      <c r="B1286" s="1" t="s">
        <v>5</v>
      </c>
      <c r="C1286" s="1" t="s">
        <v>68</v>
      </c>
      <c r="D1286" s="2">
        <v>45105</v>
      </c>
      <c r="E1286" s="1" t="s">
        <v>1083</v>
      </c>
      <c r="F1286" s="5">
        <f t="shared" si="81"/>
        <v>4008.93</v>
      </c>
      <c r="G1286" s="1">
        <v>301</v>
      </c>
      <c r="H1286" s="1" t="str">
        <f t="shared" si="82"/>
        <v>High</v>
      </c>
      <c r="I1286" s="1" t="str">
        <f t="shared" si="83"/>
        <v>Other</v>
      </c>
      <c r="J1286" s="1">
        <f t="shared" si="84"/>
        <v>422253.58</v>
      </c>
    </row>
    <row r="1287" spans="1:10" ht="12.75">
      <c r="A1287" s="1" t="s">
        <v>13</v>
      </c>
      <c r="B1287" s="1" t="s">
        <v>39</v>
      </c>
      <c r="C1287" s="1" t="s">
        <v>102</v>
      </c>
      <c r="D1287" s="2">
        <v>44987</v>
      </c>
      <c r="E1287" s="1" t="s">
        <v>1084</v>
      </c>
      <c r="F1287" s="5">
        <f t="shared" si="81"/>
        <v>4679.0600000000004</v>
      </c>
      <c r="G1287" s="1">
        <v>43</v>
      </c>
      <c r="H1287" s="1" t="str">
        <f t="shared" si="82"/>
        <v>High</v>
      </c>
      <c r="I1287" s="1" t="str">
        <f t="shared" si="83"/>
        <v>Other</v>
      </c>
      <c r="J1287" s="1">
        <f t="shared" si="84"/>
        <v>422253.58</v>
      </c>
    </row>
    <row r="1288" spans="1:10" ht="12.75">
      <c r="A1288" s="1" t="s">
        <v>29</v>
      </c>
      <c r="B1288" s="1" t="s">
        <v>5</v>
      </c>
      <c r="C1288" s="1" t="s">
        <v>52</v>
      </c>
      <c r="D1288" s="2">
        <v>45073</v>
      </c>
      <c r="E1288" s="1" t="s">
        <v>1085</v>
      </c>
      <c r="F1288" s="5">
        <f t="shared" si="81"/>
        <v>3446.84</v>
      </c>
      <c r="G1288" s="1">
        <v>28</v>
      </c>
      <c r="H1288" s="1" t="str">
        <f t="shared" si="82"/>
        <v>High</v>
      </c>
      <c r="I1288" s="1" t="str">
        <f t="shared" si="83"/>
        <v>Other</v>
      </c>
      <c r="J1288" s="1">
        <f t="shared" si="84"/>
        <v>422253.58</v>
      </c>
    </row>
    <row r="1289" spans="1:10" ht="12.75">
      <c r="A1289" s="1" t="s">
        <v>6</v>
      </c>
      <c r="B1289" s="1" t="s">
        <v>59</v>
      </c>
      <c r="C1289" s="1" t="s">
        <v>91</v>
      </c>
      <c r="D1289" s="2">
        <v>45107</v>
      </c>
      <c r="E1289" s="1" t="s">
        <v>1086</v>
      </c>
      <c r="F1289" s="5">
        <f t="shared" si="81"/>
        <v>11884.52</v>
      </c>
      <c r="G1289" s="1">
        <v>82</v>
      </c>
      <c r="H1289" s="1" t="str">
        <f t="shared" si="82"/>
        <v>High</v>
      </c>
      <c r="I1289" s="1" t="str">
        <f t="shared" si="83"/>
        <v>Other</v>
      </c>
      <c r="J1289" s="1">
        <f t="shared" si="84"/>
        <v>422253.58</v>
      </c>
    </row>
    <row r="1290" spans="1:10" ht="12.75">
      <c r="A1290" s="1" t="s">
        <v>16</v>
      </c>
      <c r="B1290" s="1" t="s">
        <v>62</v>
      </c>
      <c r="C1290" s="1" t="s">
        <v>45</v>
      </c>
      <c r="D1290" s="2">
        <v>45084</v>
      </c>
      <c r="E1290" s="1" t="s">
        <v>1087</v>
      </c>
      <c r="F1290" s="5">
        <f t="shared" si="81"/>
        <v>2167.19</v>
      </c>
      <c r="G1290" s="1">
        <v>85</v>
      </c>
      <c r="H1290" s="1" t="str">
        <f t="shared" si="82"/>
        <v>High</v>
      </c>
      <c r="I1290" s="1" t="str">
        <f t="shared" si="83"/>
        <v>Other</v>
      </c>
      <c r="J1290" s="1">
        <f t="shared" si="84"/>
        <v>422253.58</v>
      </c>
    </row>
    <row r="1291" spans="1:10" ht="12.75">
      <c r="A1291" s="1" t="s">
        <v>8</v>
      </c>
      <c r="B1291" s="1" t="s">
        <v>59</v>
      </c>
      <c r="C1291" s="1" t="s">
        <v>147</v>
      </c>
      <c r="D1291" s="2">
        <v>45058</v>
      </c>
      <c r="E1291" s="1" t="s">
        <v>1088</v>
      </c>
      <c r="F1291" s="5">
        <f t="shared" si="81"/>
        <v>4199.84</v>
      </c>
      <c r="G1291" s="1">
        <v>107</v>
      </c>
      <c r="H1291" s="1" t="str">
        <f t="shared" si="82"/>
        <v>High</v>
      </c>
      <c r="I1291" s="1" t="str">
        <f t="shared" si="83"/>
        <v>Other</v>
      </c>
      <c r="J1291" s="1">
        <f t="shared" si="84"/>
        <v>422253.58</v>
      </c>
    </row>
    <row r="1292" spans="1:10" ht="12.75">
      <c r="A1292" s="1" t="s">
        <v>16</v>
      </c>
      <c r="B1292" s="1" t="s">
        <v>54</v>
      </c>
      <c r="C1292" s="1" t="s">
        <v>100</v>
      </c>
      <c r="D1292" s="2">
        <v>45136</v>
      </c>
      <c r="E1292" s="1" t="s">
        <v>1089</v>
      </c>
      <c r="F1292" s="5">
        <f t="shared" si="81"/>
        <v>7358.7</v>
      </c>
      <c r="G1292" s="1">
        <v>68</v>
      </c>
      <c r="H1292" s="1" t="str">
        <f t="shared" si="82"/>
        <v>High</v>
      </c>
      <c r="I1292" s="1" t="str">
        <f t="shared" si="83"/>
        <v>Other</v>
      </c>
      <c r="J1292" s="1">
        <f t="shared" si="84"/>
        <v>422253.58</v>
      </c>
    </row>
    <row r="1293" spans="1:10" ht="12.75">
      <c r="A1293" s="1" t="s">
        <v>6</v>
      </c>
      <c r="B1293" s="1" t="s">
        <v>39</v>
      </c>
      <c r="C1293" s="1" t="s">
        <v>84</v>
      </c>
      <c r="D1293" s="2">
        <v>45141</v>
      </c>
      <c r="E1293" s="1" t="s">
        <v>1090</v>
      </c>
      <c r="F1293" s="5">
        <f t="shared" si="81"/>
        <v>7870.09</v>
      </c>
      <c r="G1293" s="1">
        <v>274</v>
      </c>
      <c r="H1293" s="1" t="str">
        <f t="shared" si="82"/>
        <v>High</v>
      </c>
      <c r="I1293" s="1" t="str">
        <f t="shared" si="83"/>
        <v>Other</v>
      </c>
      <c r="J1293" s="1">
        <f t="shared" si="84"/>
        <v>422253.58</v>
      </c>
    </row>
    <row r="1294" spans="1:10" ht="12.75">
      <c r="A1294" s="1" t="s">
        <v>16</v>
      </c>
      <c r="B1294" s="1" t="s">
        <v>42</v>
      </c>
      <c r="C1294" s="1" t="s">
        <v>122</v>
      </c>
      <c r="D1294" s="2">
        <v>45156</v>
      </c>
      <c r="E1294" s="1" t="s">
        <v>1091</v>
      </c>
      <c r="F1294" s="5">
        <f t="shared" si="81"/>
        <v>7454.25</v>
      </c>
      <c r="G1294" s="1">
        <v>148</v>
      </c>
      <c r="H1294" s="1" t="str">
        <f t="shared" si="82"/>
        <v>High</v>
      </c>
      <c r="I1294" s="1" t="str">
        <f t="shared" si="83"/>
        <v>Other</v>
      </c>
      <c r="J1294" s="1">
        <f t="shared" si="84"/>
        <v>422253.58</v>
      </c>
    </row>
    <row r="1295" spans="1:10" ht="12.75">
      <c r="A1295" s="1" t="s">
        <v>10</v>
      </c>
      <c r="B1295" s="1" t="s">
        <v>54</v>
      </c>
      <c r="C1295" s="1" t="s">
        <v>49</v>
      </c>
      <c r="D1295" s="2">
        <v>45091</v>
      </c>
      <c r="E1295" s="1" t="s">
        <v>1092</v>
      </c>
      <c r="F1295" s="5">
        <f t="shared" si="81"/>
        <v>3112.3</v>
      </c>
      <c r="G1295" s="1">
        <v>41</v>
      </c>
      <c r="H1295" s="1" t="str">
        <f t="shared" si="82"/>
        <v>High</v>
      </c>
      <c r="I1295" s="1" t="str">
        <f t="shared" si="83"/>
        <v>Other</v>
      </c>
      <c r="J1295" s="1">
        <f t="shared" si="84"/>
        <v>422253.58</v>
      </c>
    </row>
    <row r="1296" spans="1:10" ht="12.75">
      <c r="A1296" s="1" t="s">
        <v>28</v>
      </c>
      <c r="B1296" s="1" t="s">
        <v>39</v>
      </c>
      <c r="C1296" s="1" t="s">
        <v>84</v>
      </c>
      <c r="D1296" s="2">
        <v>45107</v>
      </c>
      <c r="E1296" s="1" t="s">
        <v>1093</v>
      </c>
      <c r="F1296" s="5">
        <f t="shared" si="81"/>
        <v>6901.22</v>
      </c>
      <c r="G1296" s="1">
        <v>80</v>
      </c>
      <c r="H1296" s="1" t="str">
        <f t="shared" si="82"/>
        <v>High</v>
      </c>
      <c r="I1296" s="1" t="str">
        <f t="shared" si="83"/>
        <v>Other</v>
      </c>
      <c r="J1296" s="1">
        <f t="shared" si="84"/>
        <v>422253.58</v>
      </c>
    </row>
    <row r="1297" spans="1:10" ht="12.75">
      <c r="A1297" s="1" t="s">
        <v>25</v>
      </c>
      <c r="B1297" s="1" t="s">
        <v>54</v>
      </c>
      <c r="C1297" s="1" t="s">
        <v>40</v>
      </c>
      <c r="D1297" s="2">
        <v>45090</v>
      </c>
      <c r="E1297" s="1" t="s">
        <v>1094</v>
      </c>
      <c r="F1297" s="5">
        <f t="shared" si="81"/>
        <v>1178</v>
      </c>
      <c r="G1297" s="1">
        <v>199</v>
      </c>
      <c r="H1297" s="1" t="str">
        <f t="shared" si="82"/>
        <v>High</v>
      </c>
      <c r="I1297" s="1" t="str">
        <f t="shared" si="83"/>
        <v>Other</v>
      </c>
      <c r="J1297" s="1">
        <f t="shared" si="84"/>
        <v>422253.58</v>
      </c>
    </row>
    <row r="1298" spans="1:10" ht="12.75">
      <c r="A1298" s="1" t="s">
        <v>17</v>
      </c>
      <c r="B1298" s="1" t="s">
        <v>39</v>
      </c>
      <c r="C1298" s="1" t="s">
        <v>60</v>
      </c>
      <c r="D1298" s="2">
        <v>45043</v>
      </c>
      <c r="E1298" s="1" t="s">
        <v>1095</v>
      </c>
      <c r="F1298" s="5">
        <f t="shared" si="81"/>
        <v>14953.83</v>
      </c>
      <c r="G1298" s="1">
        <v>53</v>
      </c>
      <c r="H1298" s="1" t="str">
        <f t="shared" si="82"/>
        <v>High</v>
      </c>
      <c r="I1298" s="1" t="str">
        <f t="shared" si="83"/>
        <v>Other</v>
      </c>
      <c r="J1298" s="1">
        <f t="shared" si="84"/>
        <v>422253.58</v>
      </c>
    </row>
    <row r="1299" spans="1:10" ht="12.75">
      <c r="A1299" s="1" t="s">
        <v>15</v>
      </c>
      <c r="B1299" s="1" t="s">
        <v>5</v>
      </c>
      <c r="C1299" s="1" t="s">
        <v>84</v>
      </c>
      <c r="D1299" s="2">
        <v>45134</v>
      </c>
      <c r="E1299" s="1" t="s">
        <v>1096</v>
      </c>
      <c r="F1299" s="5">
        <f t="shared" si="81"/>
        <v>3958.57</v>
      </c>
      <c r="G1299" s="1">
        <v>33</v>
      </c>
      <c r="H1299" s="1" t="str">
        <f t="shared" si="82"/>
        <v>High</v>
      </c>
      <c r="I1299" s="1" t="str">
        <f t="shared" si="83"/>
        <v>Other</v>
      </c>
      <c r="J1299" s="1">
        <f t="shared" si="84"/>
        <v>422253.58</v>
      </c>
    </row>
    <row r="1300" spans="1:10" ht="12.75">
      <c r="A1300" s="1" t="s">
        <v>2</v>
      </c>
      <c r="B1300" s="1" t="s">
        <v>62</v>
      </c>
      <c r="C1300" s="1" t="s">
        <v>43</v>
      </c>
      <c r="D1300" s="2">
        <v>45036</v>
      </c>
      <c r="E1300" s="1" t="s">
        <v>1097</v>
      </c>
      <c r="F1300" s="5">
        <f t="shared" si="81"/>
        <v>1639.01</v>
      </c>
      <c r="G1300" s="1">
        <v>430</v>
      </c>
      <c r="H1300" s="1" t="str">
        <f t="shared" si="82"/>
        <v>High</v>
      </c>
      <c r="I1300" s="1" t="str">
        <f t="shared" si="83"/>
        <v>Other</v>
      </c>
      <c r="J1300" s="1">
        <f t="shared" si="84"/>
        <v>422253.58</v>
      </c>
    </row>
    <row r="1301" spans="1:10" ht="12.75">
      <c r="A1301" s="1" t="s">
        <v>19</v>
      </c>
      <c r="B1301" s="1" t="s">
        <v>42</v>
      </c>
      <c r="C1301" s="1" t="s">
        <v>76</v>
      </c>
      <c r="D1301" s="2">
        <v>44930</v>
      </c>
      <c r="E1301" s="1" t="s">
        <v>1098</v>
      </c>
      <c r="F1301" s="5">
        <f t="shared" si="81"/>
        <v>8586.0400000000009</v>
      </c>
      <c r="G1301" s="1">
        <v>144</v>
      </c>
      <c r="H1301" s="1" t="str">
        <f t="shared" si="82"/>
        <v>High</v>
      </c>
      <c r="I1301" s="1" t="str">
        <f t="shared" si="83"/>
        <v>Other</v>
      </c>
      <c r="J1301" s="1">
        <f t="shared" si="84"/>
        <v>420614.56999999995</v>
      </c>
    </row>
    <row r="1302" spans="1:10" ht="12.75">
      <c r="A1302" s="1" t="s">
        <v>17</v>
      </c>
      <c r="B1302" s="1" t="s">
        <v>5</v>
      </c>
      <c r="C1302" s="1" t="s">
        <v>40</v>
      </c>
      <c r="D1302" s="2">
        <v>44978</v>
      </c>
      <c r="E1302" s="1" t="s">
        <v>1099</v>
      </c>
      <c r="F1302" s="5">
        <f t="shared" si="81"/>
        <v>10000.219999999999</v>
      </c>
      <c r="G1302" s="1">
        <v>98</v>
      </c>
      <c r="H1302" s="1" t="str">
        <f t="shared" si="82"/>
        <v>High</v>
      </c>
      <c r="I1302" s="1" t="str">
        <f t="shared" si="83"/>
        <v>Other</v>
      </c>
      <c r="J1302" s="1">
        <f t="shared" si="84"/>
        <v>420614.56999999995</v>
      </c>
    </row>
    <row r="1303" spans="1:10" ht="12.75">
      <c r="A1303" s="1" t="s">
        <v>18</v>
      </c>
      <c r="B1303" s="1" t="s">
        <v>5</v>
      </c>
      <c r="C1303" s="1" t="s">
        <v>84</v>
      </c>
      <c r="D1303" s="2">
        <v>44931</v>
      </c>
      <c r="E1303" s="1" t="s">
        <v>1100</v>
      </c>
      <c r="F1303" s="5">
        <f t="shared" si="81"/>
        <v>8448.39</v>
      </c>
      <c r="G1303" s="1">
        <v>52</v>
      </c>
      <c r="H1303" s="1" t="str">
        <f t="shared" si="82"/>
        <v>High</v>
      </c>
      <c r="I1303" s="1" t="str">
        <f t="shared" si="83"/>
        <v>Other</v>
      </c>
      <c r="J1303" s="1">
        <f t="shared" si="84"/>
        <v>420614.56999999995</v>
      </c>
    </row>
    <row r="1304" spans="1:10" ht="12.75">
      <c r="A1304" s="1" t="s">
        <v>28</v>
      </c>
      <c r="B1304" s="1" t="s">
        <v>42</v>
      </c>
      <c r="C1304" s="1" t="s">
        <v>65</v>
      </c>
      <c r="D1304" s="2">
        <v>45122</v>
      </c>
      <c r="E1304" s="1" t="s">
        <v>1101</v>
      </c>
      <c r="F1304" s="5">
        <f t="shared" si="81"/>
        <v>6984.74</v>
      </c>
      <c r="G1304" s="1">
        <v>51</v>
      </c>
      <c r="H1304" s="1" t="str">
        <f t="shared" si="82"/>
        <v>High</v>
      </c>
      <c r="I1304" s="1" t="str">
        <f t="shared" si="83"/>
        <v>Other</v>
      </c>
      <c r="J1304" s="1">
        <f t="shared" si="84"/>
        <v>420614.56999999995</v>
      </c>
    </row>
    <row r="1305" spans="1:10" ht="12.75">
      <c r="A1305" s="1" t="s">
        <v>7</v>
      </c>
      <c r="B1305" s="1" t="s">
        <v>5</v>
      </c>
      <c r="C1305" s="1" t="s">
        <v>102</v>
      </c>
      <c r="D1305" s="2">
        <v>45071</v>
      </c>
      <c r="E1305" s="1" t="s">
        <v>1102</v>
      </c>
      <c r="F1305" s="5">
        <f t="shared" si="81"/>
        <v>5641.54</v>
      </c>
      <c r="G1305" s="1">
        <v>61</v>
      </c>
      <c r="H1305" s="1" t="str">
        <f t="shared" si="82"/>
        <v>High</v>
      </c>
      <c r="I1305" s="1" t="str">
        <f t="shared" si="83"/>
        <v>Other</v>
      </c>
      <c r="J1305" s="1">
        <f t="shared" si="84"/>
        <v>420614.56999999995</v>
      </c>
    </row>
    <row r="1306" spans="1:10" ht="12.75">
      <c r="A1306" s="1" t="s">
        <v>18</v>
      </c>
      <c r="B1306" s="1" t="s">
        <v>62</v>
      </c>
      <c r="C1306" s="1" t="s">
        <v>63</v>
      </c>
      <c r="D1306" s="2">
        <v>45036</v>
      </c>
      <c r="E1306" s="1" t="s">
        <v>1103</v>
      </c>
      <c r="F1306" s="5">
        <f t="shared" si="81"/>
        <v>3850.87</v>
      </c>
      <c r="G1306" s="1">
        <v>372</v>
      </c>
      <c r="H1306" s="1" t="str">
        <f t="shared" si="82"/>
        <v>High</v>
      </c>
      <c r="I1306" s="1" t="str">
        <f t="shared" si="83"/>
        <v>Other</v>
      </c>
      <c r="J1306" s="1">
        <f t="shared" si="84"/>
        <v>420614.56999999995</v>
      </c>
    </row>
    <row r="1307" spans="1:10" ht="12.75">
      <c r="A1307" s="1" t="s">
        <v>20</v>
      </c>
      <c r="B1307" s="1" t="s">
        <v>59</v>
      </c>
      <c r="C1307" s="1" t="s">
        <v>51</v>
      </c>
      <c r="D1307" s="2">
        <v>45079</v>
      </c>
      <c r="E1307" s="1" t="s">
        <v>1104</v>
      </c>
      <c r="F1307" s="5">
        <f t="shared" si="81"/>
        <v>885.68</v>
      </c>
      <c r="G1307" s="1">
        <v>240</v>
      </c>
      <c r="H1307" s="1" t="str">
        <f t="shared" si="82"/>
        <v>High</v>
      </c>
      <c r="I1307" s="1" t="str">
        <f t="shared" si="83"/>
        <v>Other</v>
      </c>
      <c r="J1307" s="1">
        <f t="shared" si="84"/>
        <v>420614.56999999995</v>
      </c>
    </row>
    <row r="1308" spans="1:10" ht="12.75">
      <c r="A1308" s="1" t="s">
        <v>14</v>
      </c>
      <c r="B1308" s="1" t="s">
        <v>39</v>
      </c>
      <c r="C1308" s="1" t="s">
        <v>49</v>
      </c>
      <c r="D1308" s="2">
        <v>45059</v>
      </c>
      <c r="E1308" s="1" t="s">
        <v>1105</v>
      </c>
      <c r="F1308" s="5">
        <f t="shared" si="81"/>
        <v>21251.67</v>
      </c>
      <c r="G1308" s="1">
        <v>91</v>
      </c>
      <c r="H1308" s="1" t="str">
        <f t="shared" si="82"/>
        <v>High</v>
      </c>
      <c r="I1308" s="1" t="str">
        <f t="shared" si="83"/>
        <v>Other</v>
      </c>
      <c r="J1308" s="1">
        <f t="shared" si="84"/>
        <v>420614.56999999995</v>
      </c>
    </row>
    <row r="1309" spans="1:10" ht="12.75">
      <c r="A1309" s="1" t="s">
        <v>28</v>
      </c>
      <c r="B1309" s="1" t="s">
        <v>54</v>
      </c>
      <c r="C1309" s="1" t="s">
        <v>122</v>
      </c>
      <c r="D1309" s="2">
        <v>45141</v>
      </c>
      <c r="E1309" s="1" t="s">
        <v>1106</v>
      </c>
      <c r="F1309" s="5">
        <f t="shared" si="81"/>
        <v>1452.61</v>
      </c>
      <c r="G1309" s="1">
        <v>142</v>
      </c>
      <c r="H1309" s="1" t="str">
        <f t="shared" si="82"/>
        <v>High</v>
      </c>
      <c r="I1309" s="1" t="str">
        <f t="shared" si="83"/>
        <v>Other</v>
      </c>
      <c r="J1309" s="1">
        <f t="shared" si="84"/>
        <v>420614.56999999995</v>
      </c>
    </row>
    <row r="1310" spans="1:10" ht="12.75">
      <c r="A1310" s="1" t="s">
        <v>28</v>
      </c>
      <c r="B1310" s="1" t="s">
        <v>5</v>
      </c>
      <c r="C1310" s="1" t="s">
        <v>72</v>
      </c>
      <c r="D1310" s="2">
        <v>45071</v>
      </c>
      <c r="E1310" s="1" t="s">
        <v>1107</v>
      </c>
      <c r="F1310" s="5">
        <f t="shared" si="81"/>
        <v>793.17</v>
      </c>
      <c r="G1310" s="1">
        <v>400</v>
      </c>
      <c r="H1310" s="1" t="str">
        <f t="shared" si="82"/>
        <v>Medium</v>
      </c>
      <c r="I1310" s="1" t="str">
        <f t="shared" si="83"/>
        <v>Other</v>
      </c>
      <c r="J1310" s="1">
        <f t="shared" si="84"/>
        <v>420614.56999999995</v>
      </c>
    </row>
    <row r="1311" spans="1:10" ht="12.75">
      <c r="A1311" s="1" t="s">
        <v>10</v>
      </c>
      <c r="B1311" s="1" t="s">
        <v>39</v>
      </c>
      <c r="C1311" s="1" t="s">
        <v>100</v>
      </c>
      <c r="D1311" s="2">
        <v>45001</v>
      </c>
      <c r="E1311" s="1" t="s">
        <v>1108</v>
      </c>
      <c r="F1311" s="5">
        <f t="shared" si="81"/>
        <v>7152.22</v>
      </c>
      <c r="G1311" s="1">
        <v>83</v>
      </c>
      <c r="H1311" s="1" t="str">
        <f t="shared" si="82"/>
        <v>High</v>
      </c>
      <c r="I1311" s="1" t="str">
        <f t="shared" si="83"/>
        <v>Other</v>
      </c>
      <c r="J1311" s="1">
        <f t="shared" si="84"/>
        <v>420614.56999999995</v>
      </c>
    </row>
    <row r="1312" spans="1:10" ht="12.75">
      <c r="A1312" s="1" t="s">
        <v>15</v>
      </c>
      <c r="B1312" s="1" t="s">
        <v>5</v>
      </c>
      <c r="C1312" s="1" t="s">
        <v>60</v>
      </c>
      <c r="D1312" s="2">
        <v>45111</v>
      </c>
      <c r="E1312" s="1" t="s">
        <v>1109</v>
      </c>
      <c r="F1312" s="5">
        <f t="shared" si="81"/>
        <v>3364.44</v>
      </c>
      <c r="G1312" s="1">
        <v>126</v>
      </c>
      <c r="H1312" s="1" t="str">
        <f t="shared" si="82"/>
        <v>High</v>
      </c>
      <c r="I1312" s="1" t="str">
        <f t="shared" si="83"/>
        <v>Other</v>
      </c>
      <c r="J1312" s="1">
        <f t="shared" si="84"/>
        <v>420614.56999999995</v>
      </c>
    </row>
    <row r="1313" spans="1:10" ht="12.75">
      <c r="A1313" s="1" t="s">
        <v>11</v>
      </c>
      <c r="B1313" s="1" t="s">
        <v>42</v>
      </c>
      <c r="C1313" s="1" t="s">
        <v>55</v>
      </c>
      <c r="D1313" s="2">
        <v>45112</v>
      </c>
      <c r="E1313" s="1" t="s">
        <v>1110</v>
      </c>
      <c r="F1313" s="5">
        <f t="shared" si="81"/>
        <v>3470.6</v>
      </c>
      <c r="G1313" s="1">
        <v>129</v>
      </c>
      <c r="H1313" s="1" t="str">
        <f t="shared" si="82"/>
        <v>High</v>
      </c>
      <c r="I1313" s="1" t="str">
        <f t="shared" si="83"/>
        <v>Other</v>
      </c>
      <c r="J1313" s="1">
        <f t="shared" si="84"/>
        <v>420614.56999999995</v>
      </c>
    </row>
    <row r="1314" spans="1:10" ht="12.75">
      <c r="A1314" s="1" t="s">
        <v>9</v>
      </c>
      <c r="B1314" s="1" t="s">
        <v>59</v>
      </c>
      <c r="C1314" s="1" t="s">
        <v>52</v>
      </c>
      <c r="D1314" s="2">
        <v>45000</v>
      </c>
      <c r="E1314" s="1" t="s">
        <v>1111</v>
      </c>
      <c r="F1314" s="5">
        <f t="shared" si="81"/>
        <v>4676.32</v>
      </c>
      <c r="G1314" s="1">
        <v>440</v>
      </c>
      <c r="H1314" s="1" t="str">
        <f t="shared" si="82"/>
        <v>High</v>
      </c>
      <c r="I1314" s="1" t="str">
        <f t="shared" si="83"/>
        <v>Other</v>
      </c>
      <c r="J1314" s="1">
        <f t="shared" si="84"/>
        <v>420614.56999999995</v>
      </c>
    </row>
    <row r="1315" spans="1:10" ht="12.75">
      <c r="A1315" s="1" t="s">
        <v>16</v>
      </c>
      <c r="B1315" s="1" t="s">
        <v>39</v>
      </c>
      <c r="C1315" s="1" t="s">
        <v>100</v>
      </c>
      <c r="D1315" s="2">
        <v>45160</v>
      </c>
      <c r="E1315" s="1" t="s">
        <v>1112</v>
      </c>
      <c r="F1315" s="5">
        <f t="shared" si="81"/>
        <v>6323.45</v>
      </c>
      <c r="G1315" s="1">
        <v>70</v>
      </c>
      <c r="H1315" s="1" t="str">
        <f t="shared" si="82"/>
        <v>High</v>
      </c>
      <c r="I1315" s="1" t="str">
        <f t="shared" si="83"/>
        <v>Other</v>
      </c>
      <c r="J1315" s="1">
        <f t="shared" si="84"/>
        <v>420614.56999999995</v>
      </c>
    </row>
    <row r="1316" spans="1:10" ht="12.75">
      <c r="A1316" s="1" t="s">
        <v>17</v>
      </c>
      <c r="B1316" s="1" t="s">
        <v>5</v>
      </c>
      <c r="C1316" s="1" t="s">
        <v>147</v>
      </c>
      <c r="D1316" s="2">
        <v>44938</v>
      </c>
      <c r="E1316" s="1" t="s">
        <v>1113</v>
      </c>
      <c r="F1316" s="5">
        <f t="shared" si="81"/>
        <v>3252.7</v>
      </c>
      <c r="G1316" s="1">
        <v>119</v>
      </c>
      <c r="H1316" s="1" t="str">
        <f t="shared" si="82"/>
        <v>High</v>
      </c>
      <c r="I1316" s="1" t="str">
        <f t="shared" si="83"/>
        <v>Other</v>
      </c>
      <c r="J1316" s="1">
        <f t="shared" si="84"/>
        <v>420614.56999999995</v>
      </c>
    </row>
    <row r="1317" spans="1:10" ht="12.75">
      <c r="A1317" s="1" t="s">
        <v>14</v>
      </c>
      <c r="B1317" s="1" t="s">
        <v>39</v>
      </c>
      <c r="C1317" s="1" t="s">
        <v>122</v>
      </c>
      <c r="D1317" s="2">
        <v>45087</v>
      </c>
      <c r="E1317" s="1" t="s">
        <v>1114</v>
      </c>
      <c r="F1317" s="5">
        <f t="shared" si="81"/>
        <v>254.16</v>
      </c>
      <c r="G1317" s="1">
        <v>161</v>
      </c>
      <c r="H1317" s="1" t="str">
        <f t="shared" si="82"/>
        <v>Low</v>
      </c>
      <c r="I1317" s="1" t="str">
        <f t="shared" si="83"/>
        <v>Other</v>
      </c>
      <c r="J1317" s="1">
        <f t="shared" si="84"/>
        <v>420614.56999999995</v>
      </c>
    </row>
    <row r="1318" spans="1:10" ht="12.75">
      <c r="A1318" s="1" t="s">
        <v>8</v>
      </c>
      <c r="B1318" s="1" t="s">
        <v>5</v>
      </c>
      <c r="C1318" s="1" t="s">
        <v>45</v>
      </c>
      <c r="D1318" s="2">
        <v>45010</v>
      </c>
      <c r="E1318" s="1" t="s">
        <v>1115</v>
      </c>
      <c r="F1318" s="5">
        <f t="shared" si="81"/>
        <v>6127.37</v>
      </c>
      <c r="G1318" s="1">
        <v>299</v>
      </c>
      <c r="H1318" s="1" t="str">
        <f t="shared" si="82"/>
        <v>High</v>
      </c>
      <c r="I1318" s="1" t="str">
        <f t="shared" si="83"/>
        <v>Other</v>
      </c>
      <c r="J1318" s="1">
        <f t="shared" si="84"/>
        <v>420614.56999999995</v>
      </c>
    </row>
    <row r="1319" spans="1:10" ht="12.75">
      <c r="A1319" s="1" t="s">
        <v>19</v>
      </c>
      <c r="B1319" s="1" t="s">
        <v>42</v>
      </c>
      <c r="C1319" s="1" t="s">
        <v>91</v>
      </c>
      <c r="D1319" s="2">
        <v>45134</v>
      </c>
      <c r="E1319" s="1" t="s">
        <v>1116</v>
      </c>
      <c r="F1319" s="5">
        <f t="shared" si="81"/>
        <v>3791.66</v>
      </c>
      <c r="G1319" s="1">
        <v>100</v>
      </c>
      <c r="H1319" s="1" t="str">
        <f t="shared" si="82"/>
        <v>High</v>
      </c>
      <c r="I1319" s="1" t="str">
        <f t="shared" si="83"/>
        <v>Other</v>
      </c>
      <c r="J1319" s="1">
        <f t="shared" si="84"/>
        <v>420614.56999999995</v>
      </c>
    </row>
    <row r="1320" spans="1:10" ht="12.75">
      <c r="A1320" s="1" t="s">
        <v>13</v>
      </c>
      <c r="B1320" s="1" t="s">
        <v>39</v>
      </c>
      <c r="C1320" s="1" t="s">
        <v>126</v>
      </c>
      <c r="D1320" s="2">
        <v>45031</v>
      </c>
      <c r="E1320" s="1" t="s">
        <v>1117</v>
      </c>
      <c r="F1320" s="5">
        <f t="shared" si="81"/>
        <v>17059.689999999999</v>
      </c>
      <c r="G1320" s="1">
        <v>456</v>
      </c>
      <c r="H1320" s="1" t="str">
        <f t="shared" si="82"/>
        <v>High</v>
      </c>
      <c r="I1320" s="1" t="str">
        <f t="shared" si="83"/>
        <v>Other</v>
      </c>
      <c r="J1320" s="1">
        <f t="shared" si="84"/>
        <v>420614.56999999995</v>
      </c>
    </row>
    <row r="1321" spans="1:10" ht="12.75">
      <c r="A1321" s="1" t="s">
        <v>26</v>
      </c>
      <c r="B1321" s="1" t="s">
        <v>42</v>
      </c>
      <c r="C1321" s="1" t="s">
        <v>60</v>
      </c>
      <c r="D1321" s="2">
        <v>45104</v>
      </c>
      <c r="E1321" s="1" t="s">
        <v>1118</v>
      </c>
      <c r="F1321" s="5">
        <f t="shared" si="81"/>
        <v>4154.4399999999996</v>
      </c>
      <c r="G1321" s="1">
        <v>18</v>
      </c>
      <c r="H1321" s="1" t="str">
        <f t="shared" si="82"/>
        <v>High</v>
      </c>
      <c r="I1321" s="1" t="str">
        <f t="shared" si="83"/>
        <v>Other</v>
      </c>
      <c r="J1321" s="1">
        <f t="shared" si="84"/>
        <v>420614.56999999995</v>
      </c>
    </row>
    <row r="1322" spans="1:10" ht="12.75">
      <c r="A1322" s="1" t="s">
        <v>11</v>
      </c>
      <c r="B1322" s="1" t="s">
        <v>39</v>
      </c>
      <c r="C1322" s="1" t="s">
        <v>147</v>
      </c>
      <c r="D1322" s="2">
        <v>45030</v>
      </c>
      <c r="E1322" s="1" t="s">
        <v>1119</v>
      </c>
      <c r="F1322" s="5">
        <f t="shared" si="81"/>
        <v>6168.51</v>
      </c>
      <c r="G1322" s="1">
        <v>280</v>
      </c>
      <c r="H1322" s="1" t="str">
        <f t="shared" si="82"/>
        <v>High</v>
      </c>
      <c r="I1322" s="1" t="str">
        <f t="shared" si="83"/>
        <v>Other</v>
      </c>
      <c r="J1322" s="1">
        <f t="shared" si="84"/>
        <v>420614.56999999995</v>
      </c>
    </row>
    <row r="1323" spans="1:10" ht="12.75">
      <c r="A1323" s="1" t="s">
        <v>13</v>
      </c>
      <c r="B1323" s="1" t="s">
        <v>5</v>
      </c>
      <c r="C1323" s="1" t="s">
        <v>86</v>
      </c>
      <c r="D1323" s="2">
        <v>45000</v>
      </c>
      <c r="E1323" s="1" t="s">
        <v>1120</v>
      </c>
      <c r="F1323" s="5">
        <f t="shared" si="81"/>
        <v>7984.45</v>
      </c>
      <c r="G1323" s="1">
        <v>95</v>
      </c>
      <c r="H1323" s="1" t="str">
        <f t="shared" si="82"/>
        <v>High</v>
      </c>
      <c r="I1323" s="1" t="str">
        <f t="shared" si="83"/>
        <v>Other</v>
      </c>
      <c r="J1323" s="1">
        <f t="shared" si="84"/>
        <v>420614.56999999995</v>
      </c>
    </row>
    <row r="1324" spans="1:10" ht="12.75">
      <c r="A1324" s="1" t="s">
        <v>9</v>
      </c>
      <c r="B1324" s="1" t="s">
        <v>59</v>
      </c>
      <c r="C1324" s="1" t="s">
        <v>63</v>
      </c>
      <c r="D1324" s="2">
        <v>45003</v>
      </c>
      <c r="E1324" s="1" t="s">
        <v>1121</v>
      </c>
      <c r="F1324" s="5">
        <f t="shared" si="81"/>
        <v>9108.33</v>
      </c>
      <c r="G1324" s="1">
        <v>213</v>
      </c>
      <c r="H1324" s="1" t="str">
        <f t="shared" si="82"/>
        <v>High</v>
      </c>
      <c r="I1324" s="1" t="str">
        <f t="shared" si="83"/>
        <v>Other</v>
      </c>
      <c r="J1324" s="1">
        <f t="shared" si="84"/>
        <v>420614.56999999995</v>
      </c>
    </row>
    <row r="1325" spans="1:10" ht="12.75">
      <c r="A1325" s="1" t="s">
        <v>7</v>
      </c>
      <c r="B1325" s="1" t="s">
        <v>42</v>
      </c>
      <c r="C1325" s="1" t="s">
        <v>63</v>
      </c>
      <c r="D1325" s="2">
        <v>45045</v>
      </c>
      <c r="E1325" s="1" t="s">
        <v>1122</v>
      </c>
      <c r="F1325" s="5">
        <f t="shared" si="81"/>
        <v>1511.51</v>
      </c>
      <c r="G1325" s="1">
        <v>58</v>
      </c>
      <c r="H1325" s="1" t="str">
        <f t="shared" si="82"/>
        <v>High</v>
      </c>
      <c r="I1325" s="1" t="str">
        <f t="shared" si="83"/>
        <v>Other</v>
      </c>
      <c r="J1325" s="1">
        <f t="shared" si="84"/>
        <v>420614.56999999995</v>
      </c>
    </row>
    <row r="1326" spans="1:10" ht="12.75">
      <c r="A1326" s="1" t="s">
        <v>2</v>
      </c>
      <c r="B1326" s="1" t="s">
        <v>54</v>
      </c>
      <c r="C1326" s="1" t="s">
        <v>84</v>
      </c>
      <c r="D1326" s="2">
        <v>44982</v>
      </c>
      <c r="E1326" s="1" t="s">
        <v>1123</v>
      </c>
      <c r="F1326" s="5">
        <f t="shared" si="81"/>
        <v>3364.28</v>
      </c>
      <c r="G1326" s="1">
        <v>265</v>
      </c>
      <c r="H1326" s="1" t="str">
        <f t="shared" si="82"/>
        <v>High</v>
      </c>
      <c r="I1326" s="1" t="str">
        <f t="shared" si="83"/>
        <v>Other</v>
      </c>
      <c r="J1326" s="1">
        <f t="shared" si="84"/>
        <v>420614.56999999995</v>
      </c>
    </row>
    <row r="1327" spans="1:10" ht="12.75">
      <c r="A1327" s="1" t="s">
        <v>13</v>
      </c>
      <c r="B1327" s="1" t="s">
        <v>59</v>
      </c>
      <c r="C1327" s="1" t="s">
        <v>72</v>
      </c>
      <c r="D1327" s="2">
        <v>44987</v>
      </c>
      <c r="E1327" s="1" t="s">
        <v>1124</v>
      </c>
      <c r="F1327" s="5">
        <f t="shared" si="81"/>
        <v>934.49</v>
      </c>
      <c r="G1327" s="1">
        <v>54</v>
      </c>
      <c r="H1327" s="1" t="str">
        <f t="shared" si="82"/>
        <v>High</v>
      </c>
      <c r="I1327" s="1" t="str">
        <f t="shared" si="83"/>
        <v>Other</v>
      </c>
      <c r="J1327" s="1">
        <f t="shared" si="84"/>
        <v>417250.29</v>
      </c>
    </row>
    <row r="1328" spans="1:10" ht="12.75">
      <c r="A1328" s="1" t="s">
        <v>10</v>
      </c>
      <c r="B1328" s="1" t="s">
        <v>5</v>
      </c>
      <c r="C1328" s="1" t="s">
        <v>72</v>
      </c>
      <c r="D1328" s="2">
        <v>45097</v>
      </c>
      <c r="E1328" s="1" t="s">
        <v>1125</v>
      </c>
      <c r="F1328" s="5">
        <f t="shared" si="81"/>
        <v>8895.7000000000007</v>
      </c>
      <c r="G1328" s="1">
        <v>91</v>
      </c>
      <c r="H1328" s="1" t="str">
        <f t="shared" si="82"/>
        <v>High</v>
      </c>
      <c r="I1328" s="1" t="str">
        <f t="shared" si="83"/>
        <v>Other</v>
      </c>
      <c r="J1328" s="1">
        <f t="shared" si="84"/>
        <v>417250.29</v>
      </c>
    </row>
    <row r="1329" spans="1:10" ht="12.75">
      <c r="A1329" s="1" t="s">
        <v>28</v>
      </c>
      <c r="B1329" s="1" t="s">
        <v>62</v>
      </c>
      <c r="C1329" s="1" t="s">
        <v>84</v>
      </c>
      <c r="D1329" s="2">
        <v>45122</v>
      </c>
      <c r="E1329" s="1" t="s">
        <v>1126</v>
      </c>
      <c r="F1329" s="5">
        <f t="shared" si="81"/>
        <v>9957.2000000000007</v>
      </c>
      <c r="G1329" s="1">
        <v>185</v>
      </c>
      <c r="H1329" s="1" t="str">
        <f t="shared" si="82"/>
        <v>High</v>
      </c>
      <c r="I1329" s="1" t="str">
        <f t="shared" si="83"/>
        <v>Other</v>
      </c>
      <c r="J1329" s="1">
        <f t="shared" si="84"/>
        <v>417250.29</v>
      </c>
    </row>
    <row r="1330" spans="1:10" ht="12.75">
      <c r="A1330" s="1" t="s">
        <v>21</v>
      </c>
      <c r="B1330" s="1" t="s">
        <v>5</v>
      </c>
      <c r="C1330" s="1" t="s">
        <v>55</v>
      </c>
      <c r="D1330" s="2">
        <v>45058</v>
      </c>
      <c r="E1330" s="1" t="s">
        <v>1127</v>
      </c>
      <c r="F1330" s="5">
        <f t="shared" si="81"/>
        <v>3359.18</v>
      </c>
      <c r="G1330" s="1">
        <v>256</v>
      </c>
      <c r="H1330" s="1" t="str">
        <f t="shared" si="82"/>
        <v>High</v>
      </c>
      <c r="I1330" s="1" t="str">
        <f t="shared" si="83"/>
        <v>Other</v>
      </c>
      <c r="J1330" s="1">
        <f t="shared" si="84"/>
        <v>417250.29</v>
      </c>
    </row>
    <row r="1331" spans="1:10" ht="12.75">
      <c r="A1331" s="1" t="s">
        <v>2</v>
      </c>
      <c r="B1331" s="1" t="s">
        <v>54</v>
      </c>
      <c r="C1331" s="1" t="s">
        <v>68</v>
      </c>
      <c r="D1331" s="2">
        <v>45108</v>
      </c>
      <c r="E1331" s="1" t="s">
        <v>1128</v>
      </c>
      <c r="F1331" s="5">
        <f t="shared" si="81"/>
        <v>5098.29</v>
      </c>
      <c r="G1331" s="1">
        <v>276</v>
      </c>
      <c r="H1331" s="1" t="str">
        <f t="shared" si="82"/>
        <v>High</v>
      </c>
      <c r="I1331" s="1" t="str">
        <f t="shared" si="83"/>
        <v>Other</v>
      </c>
      <c r="J1331" s="1">
        <f t="shared" si="84"/>
        <v>417250.29</v>
      </c>
    </row>
    <row r="1332" spans="1:10" ht="12.75">
      <c r="A1332" s="1" t="s">
        <v>13</v>
      </c>
      <c r="B1332" s="1" t="s">
        <v>59</v>
      </c>
      <c r="C1332" s="1" t="s">
        <v>43</v>
      </c>
      <c r="D1332" s="2">
        <v>45146</v>
      </c>
      <c r="E1332" s="1" t="s">
        <v>1129</v>
      </c>
      <c r="F1332" s="5">
        <f t="shared" si="81"/>
        <v>398.28</v>
      </c>
      <c r="G1332" s="1">
        <v>52</v>
      </c>
      <c r="H1332" s="1" t="str">
        <f t="shared" si="82"/>
        <v>Low</v>
      </c>
      <c r="I1332" s="1" t="str">
        <f t="shared" si="83"/>
        <v>Other</v>
      </c>
      <c r="J1332" s="1">
        <f t="shared" si="84"/>
        <v>412151.99999999988</v>
      </c>
    </row>
    <row r="1333" spans="1:10" ht="12.75">
      <c r="A1333" s="1" t="s">
        <v>9</v>
      </c>
      <c r="B1333" s="1" t="s">
        <v>5</v>
      </c>
      <c r="C1333" s="1" t="s">
        <v>55</v>
      </c>
      <c r="D1333" s="2">
        <v>45132</v>
      </c>
      <c r="E1333" s="1" t="s">
        <v>1130</v>
      </c>
      <c r="F1333" s="5">
        <f t="shared" si="81"/>
        <v>7473.14</v>
      </c>
      <c r="G1333" s="1">
        <v>6</v>
      </c>
      <c r="H1333" s="1" t="str">
        <f t="shared" si="82"/>
        <v>High</v>
      </c>
      <c r="I1333" s="1" t="str">
        <f t="shared" si="83"/>
        <v>Other</v>
      </c>
      <c r="J1333" s="1">
        <f t="shared" si="84"/>
        <v>412151.99999999988</v>
      </c>
    </row>
    <row r="1334" spans="1:10" ht="12.75">
      <c r="A1334" s="1" t="s">
        <v>29</v>
      </c>
      <c r="B1334" s="1" t="s">
        <v>39</v>
      </c>
      <c r="C1334" s="1" t="s">
        <v>65</v>
      </c>
      <c r="D1334" s="2">
        <v>45064</v>
      </c>
      <c r="E1334" s="1" t="s">
        <v>1131</v>
      </c>
      <c r="F1334" s="5">
        <f t="shared" si="81"/>
        <v>3638.66</v>
      </c>
      <c r="G1334" s="1">
        <v>59</v>
      </c>
      <c r="H1334" s="1" t="str">
        <f t="shared" si="82"/>
        <v>High</v>
      </c>
      <c r="I1334" s="1" t="str">
        <f t="shared" si="83"/>
        <v>Other</v>
      </c>
      <c r="J1334" s="1">
        <f t="shared" si="84"/>
        <v>412151.99999999988</v>
      </c>
    </row>
    <row r="1335" spans="1:10" ht="12.75">
      <c r="A1335" s="1" t="s">
        <v>25</v>
      </c>
      <c r="B1335" s="1" t="s">
        <v>42</v>
      </c>
      <c r="C1335" s="1" t="s">
        <v>45</v>
      </c>
      <c r="D1335" s="2">
        <v>45122</v>
      </c>
      <c r="E1335" s="1" t="s">
        <v>1132</v>
      </c>
      <c r="F1335" s="5">
        <f t="shared" si="81"/>
        <v>12507.08</v>
      </c>
      <c r="G1335" s="1">
        <v>284</v>
      </c>
      <c r="H1335" s="1" t="str">
        <f t="shared" si="82"/>
        <v>High</v>
      </c>
      <c r="I1335" s="1" t="str">
        <f t="shared" si="83"/>
        <v>Other</v>
      </c>
      <c r="J1335" s="1">
        <f t="shared" si="84"/>
        <v>412151.99999999988</v>
      </c>
    </row>
    <row r="1336" spans="1:10" ht="12.75">
      <c r="A1336" s="1" t="s">
        <v>24</v>
      </c>
      <c r="B1336" s="1" t="s">
        <v>42</v>
      </c>
      <c r="C1336" s="1" t="s">
        <v>147</v>
      </c>
      <c r="D1336" s="2">
        <v>45112</v>
      </c>
      <c r="E1336" s="1" t="s">
        <v>1133</v>
      </c>
      <c r="F1336" s="5">
        <f t="shared" si="81"/>
        <v>2393.79</v>
      </c>
      <c r="G1336" s="1">
        <v>48</v>
      </c>
      <c r="H1336" s="1" t="str">
        <f t="shared" si="82"/>
        <v>High</v>
      </c>
      <c r="I1336" s="1" t="str">
        <f t="shared" si="83"/>
        <v>Other</v>
      </c>
      <c r="J1336" s="1">
        <f t="shared" si="84"/>
        <v>412151.99999999988</v>
      </c>
    </row>
    <row r="1337" spans="1:10" ht="12.75">
      <c r="A1337" s="1" t="s">
        <v>2</v>
      </c>
      <c r="B1337" s="1" t="s">
        <v>59</v>
      </c>
      <c r="C1337" s="1" t="s">
        <v>86</v>
      </c>
      <c r="D1337" s="2">
        <v>45111</v>
      </c>
      <c r="E1337" s="1" t="s">
        <v>1134</v>
      </c>
      <c r="F1337" s="5">
        <f t="shared" si="81"/>
        <v>6136.99</v>
      </c>
      <c r="G1337" s="1">
        <v>94</v>
      </c>
      <c r="H1337" s="1" t="str">
        <f t="shared" si="82"/>
        <v>High</v>
      </c>
      <c r="I1337" s="1" t="str">
        <f t="shared" si="83"/>
        <v>Other</v>
      </c>
      <c r="J1337" s="1">
        <f t="shared" si="84"/>
        <v>412151.99999999988</v>
      </c>
    </row>
    <row r="1338" spans="1:10" ht="12.75">
      <c r="A1338" s="1" t="s">
        <v>21</v>
      </c>
      <c r="B1338" s="1" t="s">
        <v>39</v>
      </c>
      <c r="C1338" s="1" t="s">
        <v>147</v>
      </c>
      <c r="D1338" s="2">
        <v>45097</v>
      </c>
      <c r="E1338" s="1" t="s">
        <v>1135</v>
      </c>
      <c r="F1338" s="5">
        <f t="shared" si="81"/>
        <v>1264.43</v>
      </c>
      <c r="G1338" s="1">
        <v>232</v>
      </c>
      <c r="H1338" s="1" t="str">
        <f t="shared" si="82"/>
        <v>High</v>
      </c>
      <c r="I1338" s="1" t="str">
        <f t="shared" si="83"/>
        <v>Other</v>
      </c>
      <c r="J1338" s="1">
        <f t="shared" si="84"/>
        <v>406015.00999999989</v>
      </c>
    </row>
    <row r="1339" spans="1:10" ht="12.75">
      <c r="A1339" s="1" t="s">
        <v>23</v>
      </c>
      <c r="B1339" s="1" t="s">
        <v>5</v>
      </c>
      <c r="C1339" s="1" t="s">
        <v>91</v>
      </c>
      <c r="D1339" s="2">
        <v>44951</v>
      </c>
      <c r="E1339" s="1" t="s">
        <v>1136</v>
      </c>
      <c r="F1339" s="5">
        <f t="shared" si="81"/>
        <v>4101.26</v>
      </c>
      <c r="G1339" s="1">
        <v>425</v>
      </c>
      <c r="H1339" s="1" t="str">
        <f t="shared" si="82"/>
        <v>High</v>
      </c>
      <c r="I1339" s="1" t="str">
        <f t="shared" si="83"/>
        <v>Other</v>
      </c>
      <c r="J1339" s="1">
        <f t="shared" si="84"/>
        <v>406015.00999999989</v>
      </c>
    </row>
    <row r="1340" spans="1:10" ht="12.75">
      <c r="A1340" s="1" t="s">
        <v>8</v>
      </c>
      <c r="B1340" s="1" t="s">
        <v>54</v>
      </c>
      <c r="C1340" s="1" t="s">
        <v>76</v>
      </c>
      <c r="D1340" s="2">
        <v>45108</v>
      </c>
      <c r="E1340" s="1" t="s">
        <v>1137</v>
      </c>
      <c r="F1340" s="5">
        <f t="shared" si="81"/>
        <v>8106.88</v>
      </c>
      <c r="G1340" s="1">
        <v>40</v>
      </c>
      <c r="H1340" s="1" t="str">
        <f t="shared" si="82"/>
        <v>High</v>
      </c>
      <c r="I1340" s="1" t="str">
        <f t="shared" si="83"/>
        <v>Other</v>
      </c>
      <c r="J1340" s="1">
        <f t="shared" si="84"/>
        <v>406015.00999999989</v>
      </c>
    </row>
    <row r="1341" spans="1:10" ht="12.75">
      <c r="A1341" s="1" t="s">
        <v>20</v>
      </c>
      <c r="B1341" s="1" t="s">
        <v>59</v>
      </c>
      <c r="C1341" s="1" t="s">
        <v>55</v>
      </c>
      <c r="D1341" s="2">
        <v>45029</v>
      </c>
      <c r="E1341" s="1" t="s">
        <v>1138</v>
      </c>
      <c r="F1341" s="5">
        <f t="shared" si="81"/>
        <v>2456.1</v>
      </c>
      <c r="G1341" s="1">
        <v>58</v>
      </c>
      <c r="H1341" s="1" t="str">
        <f t="shared" si="82"/>
        <v>High</v>
      </c>
      <c r="I1341" s="1" t="str">
        <f t="shared" si="83"/>
        <v>Other</v>
      </c>
      <c r="J1341" s="1">
        <f t="shared" si="84"/>
        <v>406015.00999999989</v>
      </c>
    </row>
    <row r="1342" spans="1:10" ht="12.75">
      <c r="A1342" s="1" t="s">
        <v>28</v>
      </c>
      <c r="B1342" s="1" t="s">
        <v>39</v>
      </c>
      <c r="C1342" s="1" t="s">
        <v>49</v>
      </c>
      <c r="D1342" s="2">
        <v>45050</v>
      </c>
      <c r="E1342" s="1" t="s">
        <v>1139</v>
      </c>
      <c r="F1342" s="5">
        <f t="shared" si="81"/>
        <v>4726.6000000000004</v>
      </c>
      <c r="G1342" s="1">
        <v>75</v>
      </c>
      <c r="H1342" s="1" t="str">
        <f t="shared" si="82"/>
        <v>High</v>
      </c>
      <c r="I1342" s="1" t="str">
        <f t="shared" si="83"/>
        <v>Other</v>
      </c>
      <c r="J1342" s="1">
        <f t="shared" si="84"/>
        <v>406015.00999999989</v>
      </c>
    </row>
    <row r="1343" spans="1:10" ht="12.75">
      <c r="A1343" s="1" t="s">
        <v>28</v>
      </c>
      <c r="B1343" s="1" t="s">
        <v>5</v>
      </c>
      <c r="C1343" s="1" t="s">
        <v>122</v>
      </c>
      <c r="D1343" s="2">
        <v>45142</v>
      </c>
      <c r="E1343" s="1" t="s">
        <v>1140</v>
      </c>
      <c r="F1343" s="5">
        <f t="shared" si="81"/>
        <v>3482.73</v>
      </c>
      <c r="G1343" s="1">
        <v>108</v>
      </c>
      <c r="H1343" s="1" t="str">
        <f t="shared" si="82"/>
        <v>High</v>
      </c>
      <c r="I1343" s="1" t="str">
        <f t="shared" si="83"/>
        <v>Other</v>
      </c>
      <c r="J1343" s="1">
        <f t="shared" si="84"/>
        <v>406015.00999999989</v>
      </c>
    </row>
    <row r="1344" spans="1:10" ht="12.75">
      <c r="A1344" s="1" t="s">
        <v>28</v>
      </c>
      <c r="B1344" s="1" t="s">
        <v>42</v>
      </c>
      <c r="C1344" s="1" t="s">
        <v>147</v>
      </c>
      <c r="D1344" s="2">
        <v>45078</v>
      </c>
      <c r="E1344" s="1" t="s">
        <v>1141</v>
      </c>
      <c r="F1344" s="5">
        <f t="shared" si="81"/>
        <v>467.19</v>
      </c>
      <c r="G1344" s="1">
        <v>159</v>
      </c>
      <c r="H1344" s="1" t="str">
        <f t="shared" si="82"/>
        <v>Low</v>
      </c>
      <c r="I1344" s="1" t="str">
        <f t="shared" si="83"/>
        <v>Other</v>
      </c>
      <c r="J1344" s="1">
        <f t="shared" si="84"/>
        <v>406015.00999999989</v>
      </c>
    </row>
    <row r="1345" spans="1:10" ht="12.75">
      <c r="A1345" s="1" t="s">
        <v>11</v>
      </c>
      <c r="B1345" s="1" t="s">
        <v>39</v>
      </c>
      <c r="C1345" s="1" t="s">
        <v>102</v>
      </c>
      <c r="D1345" s="2">
        <v>45038</v>
      </c>
      <c r="E1345" s="1" t="s">
        <v>1142</v>
      </c>
      <c r="F1345" s="5">
        <f t="shared" si="81"/>
        <v>4875.38</v>
      </c>
      <c r="G1345" s="1">
        <v>185</v>
      </c>
      <c r="H1345" s="1" t="str">
        <f t="shared" si="82"/>
        <v>High</v>
      </c>
      <c r="I1345" s="1" t="str">
        <f t="shared" si="83"/>
        <v>Other</v>
      </c>
      <c r="J1345" s="1">
        <f t="shared" si="84"/>
        <v>406015.00999999989</v>
      </c>
    </row>
    <row r="1346" spans="1:10" ht="12.75">
      <c r="A1346" s="1" t="s">
        <v>8</v>
      </c>
      <c r="B1346" s="1" t="s">
        <v>59</v>
      </c>
      <c r="C1346" s="1" t="s">
        <v>55</v>
      </c>
      <c r="D1346" s="2">
        <v>45141</v>
      </c>
      <c r="E1346" s="1" t="s">
        <v>1143</v>
      </c>
      <c r="F1346" s="5">
        <f t="shared" ref="F1346:F1409" si="85">VALUE(SUBSTITUTE(E1346,"$",""))</f>
        <v>70.599999999999994</v>
      </c>
      <c r="G1346" s="1">
        <v>27</v>
      </c>
      <c r="H1346" s="1" t="str">
        <f t="shared" ref="H1346:H1409" si="86">IF(F1346&gt;800,"High",IF(F1346&gt;500,"Medium","Low"))</f>
        <v>Low</v>
      </c>
      <c r="I1346" s="1" t="str">
        <f t="shared" ref="I1346:I1409" si="87">IF(AND(B1346="Australia",A1346="Mallorie Waber"),"Top Local","Other")</f>
        <v>Other</v>
      </c>
      <c r="J1346" s="1">
        <f t="shared" ref="J1346:J1409" si="88">SUMIF(A1346:A4626,"Mallorie Waber",F1346:F4626)</f>
        <v>406015.00999999989</v>
      </c>
    </row>
    <row r="1347" spans="1:10" ht="12.75">
      <c r="A1347" s="1" t="s">
        <v>17</v>
      </c>
      <c r="B1347" s="1" t="s">
        <v>59</v>
      </c>
      <c r="C1347" s="1" t="s">
        <v>60</v>
      </c>
      <c r="D1347" s="2">
        <v>45087</v>
      </c>
      <c r="E1347" s="1" t="s">
        <v>1144</v>
      </c>
      <c r="F1347" s="5">
        <f t="shared" si="85"/>
        <v>1835.22</v>
      </c>
      <c r="G1347" s="1">
        <v>73</v>
      </c>
      <c r="H1347" s="1" t="str">
        <f t="shared" si="86"/>
        <v>High</v>
      </c>
      <c r="I1347" s="1" t="str">
        <f t="shared" si="87"/>
        <v>Other</v>
      </c>
      <c r="J1347" s="1">
        <f t="shared" si="88"/>
        <v>406015.00999999989</v>
      </c>
    </row>
    <row r="1348" spans="1:10" ht="12.75">
      <c r="A1348" s="1" t="s">
        <v>23</v>
      </c>
      <c r="B1348" s="1" t="s">
        <v>39</v>
      </c>
      <c r="C1348" s="1" t="s">
        <v>86</v>
      </c>
      <c r="D1348" s="2">
        <v>45104</v>
      </c>
      <c r="E1348" s="1" t="s">
        <v>1145</v>
      </c>
      <c r="F1348" s="5">
        <f t="shared" si="85"/>
        <v>7304.74</v>
      </c>
      <c r="G1348" s="1">
        <v>49</v>
      </c>
      <c r="H1348" s="1" t="str">
        <f t="shared" si="86"/>
        <v>High</v>
      </c>
      <c r="I1348" s="1" t="str">
        <f t="shared" si="87"/>
        <v>Other</v>
      </c>
      <c r="J1348" s="1">
        <f t="shared" si="88"/>
        <v>406015.00999999989</v>
      </c>
    </row>
    <row r="1349" spans="1:10" ht="12.75">
      <c r="A1349" s="1" t="s">
        <v>14</v>
      </c>
      <c r="B1349" s="1" t="s">
        <v>5</v>
      </c>
      <c r="C1349" s="1" t="s">
        <v>49</v>
      </c>
      <c r="D1349" s="2">
        <v>44929</v>
      </c>
      <c r="E1349" s="1" t="s">
        <v>1146</v>
      </c>
      <c r="F1349" s="5">
        <f t="shared" si="85"/>
        <v>3967.85</v>
      </c>
      <c r="G1349" s="1">
        <v>163</v>
      </c>
      <c r="H1349" s="1" t="str">
        <f t="shared" si="86"/>
        <v>High</v>
      </c>
      <c r="I1349" s="1" t="str">
        <f t="shared" si="87"/>
        <v>Other</v>
      </c>
      <c r="J1349" s="1">
        <f t="shared" si="88"/>
        <v>406015.00999999989</v>
      </c>
    </row>
    <row r="1350" spans="1:10" ht="12.75">
      <c r="A1350" s="1" t="s">
        <v>14</v>
      </c>
      <c r="B1350" s="1" t="s">
        <v>42</v>
      </c>
      <c r="C1350" s="1" t="s">
        <v>52</v>
      </c>
      <c r="D1350" s="2">
        <v>45118</v>
      </c>
      <c r="E1350" s="1" t="s">
        <v>1147</v>
      </c>
      <c r="F1350" s="5">
        <f t="shared" si="85"/>
        <v>2800.67</v>
      </c>
      <c r="G1350" s="1">
        <v>190</v>
      </c>
      <c r="H1350" s="1" t="str">
        <f t="shared" si="86"/>
        <v>High</v>
      </c>
      <c r="I1350" s="1" t="str">
        <f t="shared" si="87"/>
        <v>Other</v>
      </c>
      <c r="J1350" s="1">
        <f t="shared" si="88"/>
        <v>406015.00999999989</v>
      </c>
    </row>
    <row r="1351" spans="1:10" ht="12.75">
      <c r="A1351" s="1" t="s">
        <v>17</v>
      </c>
      <c r="B1351" s="1" t="s">
        <v>54</v>
      </c>
      <c r="C1351" s="1" t="s">
        <v>72</v>
      </c>
      <c r="D1351" s="2">
        <v>45155</v>
      </c>
      <c r="E1351" s="1" t="s">
        <v>1148</v>
      </c>
      <c r="F1351" s="5">
        <f t="shared" si="85"/>
        <v>4474.5200000000004</v>
      </c>
      <c r="G1351" s="1">
        <v>120</v>
      </c>
      <c r="H1351" s="1" t="str">
        <f t="shared" si="86"/>
        <v>High</v>
      </c>
      <c r="I1351" s="1" t="str">
        <f t="shared" si="87"/>
        <v>Other</v>
      </c>
      <c r="J1351" s="1">
        <f t="shared" si="88"/>
        <v>406015.00999999989</v>
      </c>
    </row>
    <row r="1352" spans="1:10" ht="12.75">
      <c r="A1352" s="1" t="s">
        <v>19</v>
      </c>
      <c r="B1352" s="1" t="s">
        <v>59</v>
      </c>
      <c r="C1352" s="1" t="s">
        <v>81</v>
      </c>
      <c r="D1352" s="2">
        <v>44944</v>
      </c>
      <c r="E1352" s="1" t="s">
        <v>1149</v>
      </c>
      <c r="F1352" s="5">
        <f t="shared" si="85"/>
        <v>2737.03</v>
      </c>
      <c r="G1352" s="1">
        <v>63</v>
      </c>
      <c r="H1352" s="1" t="str">
        <f t="shared" si="86"/>
        <v>High</v>
      </c>
      <c r="I1352" s="1" t="str">
        <f t="shared" si="87"/>
        <v>Other</v>
      </c>
      <c r="J1352" s="1">
        <f t="shared" si="88"/>
        <v>406015.00999999989</v>
      </c>
    </row>
    <row r="1353" spans="1:10" ht="12.75">
      <c r="A1353" s="1" t="s">
        <v>17</v>
      </c>
      <c r="B1353" s="1" t="s">
        <v>42</v>
      </c>
      <c r="C1353" s="1" t="s">
        <v>68</v>
      </c>
      <c r="D1353" s="2">
        <v>44993</v>
      </c>
      <c r="E1353" s="1" t="s">
        <v>1150</v>
      </c>
      <c r="F1353" s="5">
        <f t="shared" si="85"/>
        <v>16717.259999999998</v>
      </c>
      <c r="G1353" s="1">
        <v>102</v>
      </c>
      <c r="H1353" s="1" t="str">
        <f t="shared" si="86"/>
        <v>High</v>
      </c>
      <c r="I1353" s="1" t="str">
        <f t="shared" si="87"/>
        <v>Other</v>
      </c>
      <c r="J1353" s="1">
        <f t="shared" si="88"/>
        <v>406015.00999999989</v>
      </c>
    </row>
    <row r="1354" spans="1:10" ht="12.75">
      <c r="A1354" s="1" t="s">
        <v>2</v>
      </c>
      <c r="B1354" s="1" t="s">
        <v>5</v>
      </c>
      <c r="C1354" s="1" t="s">
        <v>60</v>
      </c>
      <c r="D1354" s="2">
        <v>44992</v>
      </c>
      <c r="E1354" s="1" t="s">
        <v>1151</v>
      </c>
      <c r="F1354" s="5">
        <f t="shared" si="85"/>
        <v>16112.73</v>
      </c>
      <c r="G1354" s="1">
        <v>282</v>
      </c>
      <c r="H1354" s="1" t="str">
        <f t="shared" si="86"/>
        <v>High</v>
      </c>
      <c r="I1354" s="1" t="str">
        <f t="shared" si="87"/>
        <v>Top Local</v>
      </c>
      <c r="J1354" s="1">
        <f t="shared" si="88"/>
        <v>406015.00999999989</v>
      </c>
    </row>
    <row r="1355" spans="1:10" ht="12.75">
      <c r="A1355" s="1" t="s">
        <v>13</v>
      </c>
      <c r="B1355" s="1" t="s">
        <v>42</v>
      </c>
      <c r="C1355" s="1" t="s">
        <v>147</v>
      </c>
      <c r="D1355" s="2">
        <v>45055</v>
      </c>
      <c r="E1355" s="1" t="s">
        <v>1152</v>
      </c>
      <c r="F1355" s="5">
        <f t="shared" si="85"/>
        <v>6898</v>
      </c>
      <c r="G1355" s="1">
        <v>163</v>
      </c>
      <c r="H1355" s="1" t="str">
        <f t="shared" si="86"/>
        <v>High</v>
      </c>
      <c r="I1355" s="1" t="str">
        <f t="shared" si="87"/>
        <v>Other</v>
      </c>
      <c r="J1355" s="1">
        <f t="shared" si="88"/>
        <v>389902.27999999991</v>
      </c>
    </row>
    <row r="1356" spans="1:10" ht="12.75">
      <c r="A1356" s="1" t="s">
        <v>16</v>
      </c>
      <c r="B1356" s="1" t="s">
        <v>54</v>
      </c>
      <c r="C1356" s="1" t="s">
        <v>43</v>
      </c>
      <c r="D1356" s="2">
        <v>45069</v>
      </c>
      <c r="E1356" s="1" t="s">
        <v>1153</v>
      </c>
      <c r="F1356" s="5">
        <f t="shared" si="85"/>
        <v>2151.04</v>
      </c>
      <c r="G1356" s="1">
        <v>170</v>
      </c>
      <c r="H1356" s="1" t="str">
        <f t="shared" si="86"/>
        <v>High</v>
      </c>
      <c r="I1356" s="1" t="str">
        <f t="shared" si="87"/>
        <v>Other</v>
      </c>
      <c r="J1356" s="1">
        <f t="shared" si="88"/>
        <v>389902.27999999991</v>
      </c>
    </row>
    <row r="1357" spans="1:10" ht="12.75">
      <c r="A1357" s="1" t="s">
        <v>9</v>
      </c>
      <c r="B1357" s="1" t="s">
        <v>39</v>
      </c>
      <c r="C1357" s="1" t="s">
        <v>126</v>
      </c>
      <c r="D1357" s="2">
        <v>45031</v>
      </c>
      <c r="E1357" s="1" t="s">
        <v>1154</v>
      </c>
      <c r="F1357" s="5">
        <f t="shared" si="85"/>
        <v>172.51</v>
      </c>
      <c r="G1357" s="1">
        <v>152</v>
      </c>
      <c r="H1357" s="1" t="str">
        <f t="shared" si="86"/>
        <v>Low</v>
      </c>
      <c r="I1357" s="1" t="str">
        <f t="shared" si="87"/>
        <v>Other</v>
      </c>
      <c r="J1357" s="1">
        <f t="shared" si="88"/>
        <v>389902.27999999991</v>
      </c>
    </row>
    <row r="1358" spans="1:10" ht="12.75">
      <c r="A1358" s="1" t="s">
        <v>20</v>
      </c>
      <c r="B1358" s="1" t="s">
        <v>5</v>
      </c>
      <c r="C1358" s="1" t="s">
        <v>65</v>
      </c>
      <c r="D1358" s="2">
        <v>45134</v>
      </c>
      <c r="E1358" s="1" t="s">
        <v>1155</v>
      </c>
      <c r="F1358" s="5">
        <f t="shared" si="85"/>
        <v>2949.02</v>
      </c>
      <c r="G1358" s="1">
        <v>153</v>
      </c>
      <c r="H1358" s="1" t="str">
        <f t="shared" si="86"/>
        <v>High</v>
      </c>
      <c r="I1358" s="1" t="str">
        <f t="shared" si="87"/>
        <v>Other</v>
      </c>
      <c r="J1358" s="1">
        <f t="shared" si="88"/>
        <v>389902.27999999991</v>
      </c>
    </row>
    <row r="1359" spans="1:10" ht="12.75">
      <c r="A1359" s="1" t="s">
        <v>14</v>
      </c>
      <c r="B1359" s="1" t="s">
        <v>62</v>
      </c>
      <c r="C1359" s="1" t="s">
        <v>102</v>
      </c>
      <c r="D1359" s="2">
        <v>45160</v>
      </c>
      <c r="E1359" s="1" t="s">
        <v>1156</v>
      </c>
      <c r="F1359" s="5">
        <f t="shared" si="85"/>
        <v>2790.72</v>
      </c>
      <c r="G1359" s="1">
        <v>435</v>
      </c>
      <c r="H1359" s="1" t="str">
        <f t="shared" si="86"/>
        <v>High</v>
      </c>
      <c r="I1359" s="1" t="str">
        <f t="shared" si="87"/>
        <v>Other</v>
      </c>
      <c r="J1359" s="1">
        <f t="shared" si="88"/>
        <v>389902.27999999991</v>
      </c>
    </row>
    <row r="1360" spans="1:10" ht="12.75">
      <c r="A1360" s="1" t="s">
        <v>17</v>
      </c>
      <c r="B1360" s="1" t="s">
        <v>59</v>
      </c>
      <c r="C1360" s="1" t="s">
        <v>147</v>
      </c>
      <c r="D1360" s="2">
        <v>45057</v>
      </c>
      <c r="E1360" s="1" t="s">
        <v>1157</v>
      </c>
      <c r="F1360" s="5">
        <f t="shared" si="85"/>
        <v>5054.42</v>
      </c>
      <c r="G1360" s="1">
        <v>127</v>
      </c>
      <c r="H1360" s="1" t="str">
        <f t="shared" si="86"/>
        <v>High</v>
      </c>
      <c r="I1360" s="1" t="str">
        <f t="shared" si="87"/>
        <v>Other</v>
      </c>
      <c r="J1360" s="1">
        <f t="shared" si="88"/>
        <v>389902.27999999991</v>
      </c>
    </row>
    <row r="1361" spans="1:10" ht="12.75">
      <c r="A1361" s="1" t="s">
        <v>9</v>
      </c>
      <c r="B1361" s="1" t="s">
        <v>42</v>
      </c>
      <c r="C1361" s="1" t="s">
        <v>68</v>
      </c>
      <c r="D1361" s="2">
        <v>44952</v>
      </c>
      <c r="E1361" s="1" t="s">
        <v>1158</v>
      </c>
      <c r="F1361" s="5">
        <f t="shared" si="85"/>
        <v>5418.75</v>
      </c>
      <c r="G1361" s="1">
        <v>37</v>
      </c>
      <c r="H1361" s="1" t="str">
        <f t="shared" si="86"/>
        <v>High</v>
      </c>
      <c r="I1361" s="1" t="str">
        <f t="shared" si="87"/>
        <v>Other</v>
      </c>
      <c r="J1361" s="1">
        <f t="shared" si="88"/>
        <v>389902.27999999991</v>
      </c>
    </row>
    <row r="1362" spans="1:10" ht="12.75">
      <c r="A1362" s="1" t="s">
        <v>16</v>
      </c>
      <c r="B1362" s="1" t="s">
        <v>59</v>
      </c>
      <c r="C1362" s="1" t="s">
        <v>55</v>
      </c>
      <c r="D1362" s="2">
        <v>45030</v>
      </c>
      <c r="E1362" s="1" t="s">
        <v>1159</v>
      </c>
      <c r="F1362" s="5">
        <f t="shared" si="85"/>
        <v>14604.67</v>
      </c>
      <c r="G1362" s="1">
        <v>128</v>
      </c>
      <c r="H1362" s="1" t="str">
        <f t="shared" si="86"/>
        <v>High</v>
      </c>
      <c r="I1362" s="1" t="str">
        <f t="shared" si="87"/>
        <v>Other</v>
      </c>
      <c r="J1362" s="1">
        <f t="shared" si="88"/>
        <v>389902.27999999991</v>
      </c>
    </row>
    <row r="1363" spans="1:10" ht="12.75">
      <c r="A1363" s="1" t="s">
        <v>6</v>
      </c>
      <c r="B1363" s="1" t="s">
        <v>54</v>
      </c>
      <c r="C1363" s="1" t="s">
        <v>40</v>
      </c>
      <c r="D1363" s="2">
        <v>45021</v>
      </c>
      <c r="E1363" s="1" t="s">
        <v>1160</v>
      </c>
      <c r="F1363" s="5">
        <f t="shared" si="85"/>
        <v>6668.93</v>
      </c>
      <c r="G1363" s="1">
        <v>419</v>
      </c>
      <c r="H1363" s="1" t="str">
        <f t="shared" si="86"/>
        <v>High</v>
      </c>
      <c r="I1363" s="1" t="str">
        <f t="shared" si="87"/>
        <v>Other</v>
      </c>
      <c r="J1363" s="1">
        <f t="shared" si="88"/>
        <v>389902.27999999991</v>
      </c>
    </row>
    <row r="1364" spans="1:10" ht="12.75">
      <c r="A1364" s="1" t="s">
        <v>14</v>
      </c>
      <c r="B1364" s="1" t="s">
        <v>54</v>
      </c>
      <c r="C1364" s="1" t="s">
        <v>49</v>
      </c>
      <c r="D1364" s="2">
        <v>45091</v>
      </c>
      <c r="E1364" s="1" t="s">
        <v>1161</v>
      </c>
      <c r="F1364" s="5">
        <f t="shared" si="85"/>
        <v>9689.7000000000007</v>
      </c>
      <c r="G1364" s="1">
        <v>58</v>
      </c>
      <c r="H1364" s="1" t="str">
        <f t="shared" si="86"/>
        <v>High</v>
      </c>
      <c r="I1364" s="1" t="str">
        <f t="shared" si="87"/>
        <v>Other</v>
      </c>
      <c r="J1364" s="1">
        <f t="shared" si="88"/>
        <v>389902.27999999991</v>
      </c>
    </row>
    <row r="1365" spans="1:10" ht="12.75">
      <c r="A1365" s="1" t="s">
        <v>7</v>
      </c>
      <c r="B1365" s="1" t="s">
        <v>62</v>
      </c>
      <c r="C1365" s="1" t="s">
        <v>91</v>
      </c>
      <c r="D1365" s="2">
        <v>45029</v>
      </c>
      <c r="E1365" s="1" t="s">
        <v>1162</v>
      </c>
      <c r="F1365" s="5">
        <f t="shared" si="85"/>
        <v>5026.8100000000004</v>
      </c>
      <c r="G1365" s="1">
        <v>123</v>
      </c>
      <c r="H1365" s="1" t="str">
        <f t="shared" si="86"/>
        <v>High</v>
      </c>
      <c r="I1365" s="1" t="str">
        <f t="shared" si="87"/>
        <v>Other</v>
      </c>
      <c r="J1365" s="1">
        <f t="shared" si="88"/>
        <v>389902.27999999991</v>
      </c>
    </row>
    <row r="1366" spans="1:10" ht="12.75">
      <c r="A1366" s="1" t="s">
        <v>28</v>
      </c>
      <c r="B1366" s="1" t="s">
        <v>5</v>
      </c>
      <c r="C1366" s="1" t="s">
        <v>84</v>
      </c>
      <c r="D1366" s="2">
        <v>45104</v>
      </c>
      <c r="E1366" s="1" t="s">
        <v>1163</v>
      </c>
      <c r="F1366" s="5">
        <f t="shared" si="85"/>
        <v>2379.0100000000002</v>
      </c>
      <c r="G1366" s="1">
        <v>178</v>
      </c>
      <c r="H1366" s="1" t="str">
        <f t="shared" si="86"/>
        <v>High</v>
      </c>
      <c r="I1366" s="1" t="str">
        <f t="shared" si="87"/>
        <v>Other</v>
      </c>
      <c r="J1366" s="1">
        <f t="shared" si="88"/>
        <v>389902.27999999991</v>
      </c>
    </row>
    <row r="1367" spans="1:10" ht="12.75">
      <c r="A1367" s="1" t="s">
        <v>21</v>
      </c>
      <c r="B1367" s="1" t="s">
        <v>5</v>
      </c>
      <c r="C1367" s="1" t="s">
        <v>63</v>
      </c>
      <c r="D1367" s="2">
        <v>44952</v>
      </c>
      <c r="E1367" s="1" t="s">
        <v>1164</v>
      </c>
      <c r="F1367" s="5">
        <f t="shared" si="85"/>
        <v>7770.55</v>
      </c>
      <c r="G1367" s="1">
        <v>3</v>
      </c>
      <c r="H1367" s="1" t="str">
        <f t="shared" si="86"/>
        <v>High</v>
      </c>
      <c r="I1367" s="1" t="str">
        <f t="shared" si="87"/>
        <v>Other</v>
      </c>
      <c r="J1367" s="1">
        <f t="shared" si="88"/>
        <v>389902.27999999991</v>
      </c>
    </row>
    <row r="1368" spans="1:10" ht="12.75">
      <c r="A1368" s="1" t="s">
        <v>16</v>
      </c>
      <c r="B1368" s="1" t="s">
        <v>39</v>
      </c>
      <c r="C1368" s="1" t="s">
        <v>84</v>
      </c>
      <c r="D1368" s="2">
        <v>45112</v>
      </c>
      <c r="E1368" s="1" t="s">
        <v>1165</v>
      </c>
      <c r="F1368" s="5">
        <f t="shared" si="85"/>
        <v>1837.47</v>
      </c>
      <c r="G1368" s="1">
        <v>77</v>
      </c>
      <c r="H1368" s="1" t="str">
        <f t="shared" si="86"/>
        <v>High</v>
      </c>
      <c r="I1368" s="1" t="str">
        <f t="shared" si="87"/>
        <v>Other</v>
      </c>
      <c r="J1368" s="1">
        <f t="shared" si="88"/>
        <v>389902.27999999991</v>
      </c>
    </row>
    <row r="1369" spans="1:10" ht="12.75">
      <c r="A1369" s="1" t="s">
        <v>28</v>
      </c>
      <c r="B1369" s="1" t="s">
        <v>62</v>
      </c>
      <c r="C1369" s="1" t="s">
        <v>122</v>
      </c>
      <c r="D1369" s="2">
        <v>44937</v>
      </c>
      <c r="E1369" s="1" t="s">
        <v>1166</v>
      </c>
      <c r="F1369" s="5">
        <f t="shared" si="85"/>
        <v>14625.75</v>
      </c>
      <c r="G1369" s="1">
        <v>90</v>
      </c>
      <c r="H1369" s="1" t="str">
        <f t="shared" si="86"/>
        <v>High</v>
      </c>
      <c r="I1369" s="1" t="str">
        <f t="shared" si="87"/>
        <v>Other</v>
      </c>
      <c r="J1369" s="1">
        <f t="shared" si="88"/>
        <v>389902.27999999991</v>
      </c>
    </row>
    <row r="1370" spans="1:10" ht="12.75">
      <c r="A1370" s="1" t="s">
        <v>12</v>
      </c>
      <c r="B1370" s="1" t="s">
        <v>59</v>
      </c>
      <c r="C1370" s="1" t="s">
        <v>84</v>
      </c>
      <c r="D1370" s="2">
        <v>44992</v>
      </c>
      <c r="E1370" s="1" t="s">
        <v>1167</v>
      </c>
      <c r="F1370" s="5">
        <f t="shared" si="85"/>
        <v>10305.4</v>
      </c>
      <c r="G1370" s="1">
        <v>22</v>
      </c>
      <c r="H1370" s="1" t="str">
        <f t="shared" si="86"/>
        <v>High</v>
      </c>
      <c r="I1370" s="1" t="str">
        <f t="shared" si="87"/>
        <v>Other</v>
      </c>
      <c r="J1370" s="1">
        <f t="shared" si="88"/>
        <v>389902.27999999991</v>
      </c>
    </row>
    <row r="1371" spans="1:10" ht="12.75">
      <c r="A1371" s="1" t="s">
        <v>8</v>
      </c>
      <c r="B1371" s="1" t="s">
        <v>62</v>
      </c>
      <c r="C1371" s="1" t="s">
        <v>55</v>
      </c>
      <c r="D1371" s="2">
        <v>44989</v>
      </c>
      <c r="E1371" s="1" t="s">
        <v>1168</v>
      </c>
      <c r="F1371" s="5">
        <f t="shared" si="85"/>
        <v>8798.99</v>
      </c>
      <c r="G1371" s="1">
        <v>99</v>
      </c>
      <c r="H1371" s="1" t="str">
        <f t="shared" si="86"/>
        <v>High</v>
      </c>
      <c r="I1371" s="1" t="str">
        <f t="shared" si="87"/>
        <v>Other</v>
      </c>
      <c r="J1371" s="1">
        <f t="shared" si="88"/>
        <v>389902.27999999991</v>
      </c>
    </row>
    <row r="1372" spans="1:10" ht="12.75">
      <c r="A1372" s="1" t="s">
        <v>18</v>
      </c>
      <c r="B1372" s="1" t="s">
        <v>62</v>
      </c>
      <c r="C1372" s="1" t="s">
        <v>68</v>
      </c>
      <c r="D1372" s="2">
        <v>45122</v>
      </c>
      <c r="E1372" s="1" t="s">
        <v>1169</v>
      </c>
      <c r="F1372" s="5">
        <f t="shared" si="85"/>
        <v>2466.59</v>
      </c>
      <c r="G1372" s="1">
        <v>309</v>
      </c>
      <c r="H1372" s="1" t="str">
        <f t="shared" si="86"/>
        <v>High</v>
      </c>
      <c r="I1372" s="1" t="str">
        <f t="shared" si="87"/>
        <v>Other</v>
      </c>
      <c r="J1372" s="1">
        <f t="shared" si="88"/>
        <v>389902.27999999991</v>
      </c>
    </row>
    <row r="1373" spans="1:10" ht="12.75">
      <c r="A1373" s="1" t="s">
        <v>8</v>
      </c>
      <c r="B1373" s="1" t="s">
        <v>39</v>
      </c>
      <c r="C1373" s="1" t="s">
        <v>45</v>
      </c>
      <c r="D1373" s="2">
        <v>45057</v>
      </c>
      <c r="E1373" s="1" t="s">
        <v>1170</v>
      </c>
      <c r="F1373" s="5">
        <f t="shared" si="85"/>
        <v>6564.2</v>
      </c>
      <c r="G1373" s="1">
        <v>92</v>
      </c>
      <c r="H1373" s="1" t="str">
        <f t="shared" si="86"/>
        <v>High</v>
      </c>
      <c r="I1373" s="1" t="str">
        <f t="shared" si="87"/>
        <v>Other</v>
      </c>
      <c r="J1373" s="1">
        <f t="shared" si="88"/>
        <v>389902.27999999991</v>
      </c>
    </row>
    <row r="1374" spans="1:10" ht="12.75">
      <c r="A1374" s="1" t="s">
        <v>18</v>
      </c>
      <c r="B1374" s="1" t="s">
        <v>59</v>
      </c>
      <c r="C1374" s="1" t="s">
        <v>72</v>
      </c>
      <c r="D1374" s="2">
        <v>44953</v>
      </c>
      <c r="E1374" s="1" t="s">
        <v>1171</v>
      </c>
      <c r="F1374" s="5">
        <f t="shared" si="85"/>
        <v>4764.5600000000004</v>
      </c>
      <c r="G1374" s="1">
        <v>7</v>
      </c>
      <c r="H1374" s="1" t="str">
        <f t="shared" si="86"/>
        <v>High</v>
      </c>
      <c r="I1374" s="1" t="str">
        <f t="shared" si="87"/>
        <v>Other</v>
      </c>
      <c r="J1374" s="1">
        <f t="shared" si="88"/>
        <v>389902.27999999991</v>
      </c>
    </row>
    <row r="1375" spans="1:10" ht="12.75">
      <c r="A1375" s="1" t="s">
        <v>18</v>
      </c>
      <c r="B1375" s="1" t="s">
        <v>42</v>
      </c>
      <c r="C1375" s="1" t="s">
        <v>60</v>
      </c>
      <c r="D1375" s="2">
        <v>45104</v>
      </c>
      <c r="E1375" s="1" t="s">
        <v>1172</v>
      </c>
      <c r="F1375" s="5">
        <f t="shared" si="85"/>
        <v>3172.08</v>
      </c>
      <c r="G1375" s="1">
        <v>153</v>
      </c>
      <c r="H1375" s="1" t="str">
        <f t="shared" si="86"/>
        <v>High</v>
      </c>
      <c r="I1375" s="1" t="str">
        <f t="shared" si="87"/>
        <v>Other</v>
      </c>
      <c r="J1375" s="1">
        <f t="shared" si="88"/>
        <v>389902.27999999991</v>
      </c>
    </row>
    <row r="1376" spans="1:10" ht="12.75">
      <c r="A1376" s="1" t="s">
        <v>17</v>
      </c>
      <c r="B1376" s="1" t="s">
        <v>42</v>
      </c>
      <c r="C1376" s="1" t="s">
        <v>49</v>
      </c>
      <c r="D1376" s="2">
        <v>45141</v>
      </c>
      <c r="E1376" s="1" t="s">
        <v>1173</v>
      </c>
      <c r="F1376" s="5">
        <f t="shared" si="85"/>
        <v>8062</v>
      </c>
      <c r="G1376" s="1">
        <v>20</v>
      </c>
      <c r="H1376" s="1" t="str">
        <f t="shared" si="86"/>
        <v>High</v>
      </c>
      <c r="I1376" s="1" t="str">
        <f t="shared" si="87"/>
        <v>Other</v>
      </c>
      <c r="J1376" s="1">
        <f t="shared" si="88"/>
        <v>389902.27999999991</v>
      </c>
    </row>
    <row r="1377" spans="1:10" ht="12.75">
      <c r="A1377" s="1" t="s">
        <v>29</v>
      </c>
      <c r="B1377" s="1" t="s">
        <v>54</v>
      </c>
      <c r="C1377" s="1" t="s">
        <v>40</v>
      </c>
      <c r="D1377" s="2">
        <v>45157</v>
      </c>
      <c r="E1377" s="1" t="s">
        <v>1174</v>
      </c>
      <c r="F1377" s="5">
        <f t="shared" si="85"/>
        <v>12382.41</v>
      </c>
      <c r="G1377" s="1">
        <v>245</v>
      </c>
      <c r="H1377" s="1" t="str">
        <f t="shared" si="86"/>
        <v>High</v>
      </c>
      <c r="I1377" s="1" t="str">
        <f t="shared" si="87"/>
        <v>Other</v>
      </c>
      <c r="J1377" s="1">
        <f t="shared" si="88"/>
        <v>389902.27999999991</v>
      </c>
    </row>
    <row r="1378" spans="1:10" ht="12.75">
      <c r="A1378" s="1" t="s">
        <v>29</v>
      </c>
      <c r="B1378" s="1" t="s">
        <v>5</v>
      </c>
      <c r="C1378" s="1" t="s">
        <v>81</v>
      </c>
      <c r="D1378" s="2">
        <v>45092</v>
      </c>
      <c r="E1378" s="1" t="s">
        <v>1175</v>
      </c>
      <c r="F1378" s="5">
        <f t="shared" si="85"/>
        <v>413.6</v>
      </c>
      <c r="G1378" s="1">
        <v>111</v>
      </c>
      <c r="H1378" s="1" t="str">
        <f t="shared" si="86"/>
        <v>Low</v>
      </c>
      <c r="I1378" s="1" t="str">
        <f t="shared" si="87"/>
        <v>Other</v>
      </c>
      <c r="J1378" s="1">
        <f t="shared" si="88"/>
        <v>389902.27999999991</v>
      </c>
    </row>
    <row r="1379" spans="1:10" ht="12.75">
      <c r="A1379" s="1" t="s">
        <v>6</v>
      </c>
      <c r="B1379" s="1" t="s">
        <v>39</v>
      </c>
      <c r="C1379" s="1" t="s">
        <v>45</v>
      </c>
      <c r="D1379" s="2">
        <v>44964</v>
      </c>
      <c r="E1379" s="1" t="s">
        <v>1176</v>
      </c>
      <c r="F1379" s="5">
        <f t="shared" si="85"/>
        <v>10186.18</v>
      </c>
      <c r="G1379" s="1">
        <v>154</v>
      </c>
      <c r="H1379" s="1" t="str">
        <f t="shared" si="86"/>
        <v>High</v>
      </c>
      <c r="I1379" s="1" t="str">
        <f t="shared" si="87"/>
        <v>Other</v>
      </c>
      <c r="J1379" s="1">
        <f t="shared" si="88"/>
        <v>389902.27999999991</v>
      </c>
    </row>
    <row r="1380" spans="1:10" ht="12.75">
      <c r="A1380" s="1" t="s">
        <v>18</v>
      </c>
      <c r="B1380" s="1" t="s">
        <v>5</v>
      </c>
      <c r="C1380" s="1" t="s">
        <v>91</v>
      </c>
      <c r="D1380" s="2">
        <v>45115</v>
      </c>
      <c r="E1380" s="1" t="s">
        <v>1177</v>
      </c>
      <c r="F1380" s="5">
        <f t="shared" si="85"/>
        <v>7936.84</v>
      </c>
      <c r="G1380" s="1">
        <v>138</v>
      </c>
      <c r="H1380" s="1" t="str">
        <f t="shared" si="86"/>
        <v>High</v>
      </c>
      <c r="I1380" s="1" t="str">
        <f t="shared" si="87"/>
        <v>Other</v>
      </c>
      <c r="J1380" s="1">
        <f t="shared" si="88"/>
        <v>389902.27999999991</v>
      </c>
    </row>
    <row r="1381" spans="1:10" ht="12.75">
      <c r="A1381" s="1" t="s">
        <v>6</v>
      </c>
      <c r="B1381" s="1" t="s">
        <v>42</v>
      </c>
      <c r="C1381" s="1" t="s">
        <v>72</v>
      </c>
      <c r="D1381" s="2">
        <v>45037</v>
      </c>
      <c r="E1381" s="1" t="s">
        <v>1178</v>
      </c>
      <c r="F1381" s="5">
        <f t="shared" si="85"/>
        <v>1712.72</v>
      </c>
      <c r="G1381" s="1">
        <v>93</v>
      </c>
      <c r="H1381" s="1" t="str">
        <f t="shared" si="86"/>
        <v>High</v>
      </c>
      <c r="I1381" s="1" t="str">
        <f t="shared" si="87"/>
        <v>Other</v>
      </c>
      <c r="J1381" s="1">
        <f t="shared" si="88"/>
        <v>389902.27999999991</v>
      </c>
    </row>
    <row r="1382" spans="1:10" ht="12.75">
      <c r="A1382" s="1" t="s">
        <v>17</v>
      </c>
      <c r="B1382" s="1" t="s">
        <v>39</v>
      </c>
      <c r="C1382" s="1" t="s">
        <v>40</v>
      </c>
      <c r="D1382" s="2">
        <v>45024</v>
      </c>
      <c r="E1382" s="1" t="s">
        <v>1179</v>
      </c>
      <c r="F1382" s="5">
        <f t="shared" si="85"/>
        <v>3088.98</v>
      </c>
      <c r="G1382" s="1">
        <v>226</v>
      </c>
      <c r="H1382" s="1" t="str">
        <f t="shared" si="86"/>
        <v>High</v>
      </c>
      <c r="I1382" s="1" t="str">
        <f t="shared" si="87"/>
        <v>Other</v>
      </c>
      <c r="J1382" s="1">
        <f t="shared" si="88"/>
        <v>389902.27999999991</v>
      </c>
    </row>
    <row r="1383" spans="1:10" ht="12.75">
      <c r="A1383" s="1" t="s">
        <v>13</v>
      </c>
      <c r="B1383" s="1" t="s">
        <v>5</v>
      </c>
      <c r="C1383" s="1" t="s">
        <v>55</v>
      </c>
      <c r="D1383" s="2">
        <v>45157</v>
      </c>
      <c r="E1383" s="1" t="s">
        <v>1180</v>
      </c>
      <c r="F1383" s="5">
        <f t="shared" si="85"/>
        <v>14953.43</v>
      </c>
      <c r="G1383" s="1">
        <v>51</v>
      </c>
      <c r="H1383" s="1" t="str">
        <f t="shared" si="86"/>
        <v>High</v>
      </c>
      <c r="I1383" s="1" t="str">
        <f t="shared" si="87"/>
        <v>Other</v>
      </c>
      <c r="J1383" s="1">
        <f t="shared" si="88"/>
        <v>389902.27999999991</v>
      </c>
    </row>
    <row r="1384" spans="1:10" ht="12.75">
      <c r="A1384" s="1" t="s">
        <v>15</v>
      </c>
      <c r="B1384" s="1" t="s">
        <v>42</v>
      </c>
      <c r="C1384" s="1" t="s">
        <v>81</v>
      </c>
      <c r="D1384" s="2">
        <v>45050</v>
      </c>
      <c r="E1384" s="1" t="s">
        <v>1181</v>
      </c>
      <c r="F1384" s="5">
        <f t="shared" si="85"/>
        <v>3219.13</v>
      </c>
      <c r="G1384" s="1">
        <v>54</v>
      </c>
      <c r="H1384" s="1" t="str">
        <f t="shared" si="86"/>
        <v>High</v>
      </c>
      <c r="I1384" s="1" t="str">
        <f t="shared" si="87"/>
        <v>Other</v>
      </c>
      <c r="J1384" s="1">
        <f t="shared" si="88"/>
        <v>389902.27999999991</v>
      </c>
    </row>
    <row r="1385" spans="1:10" ht="12.75">
      <c r="A1385" s="1" t="s">
        <v>2</v>
      </c>
      <c r="B1385" s="1" t="s">
        <v>59</v>
      </c>
      <c r="C1385" s="1" t="s">
        <v>43</v>
      </c>
      <c r="D1385" s="2">
        <v>45057</v>
      </c>
      <c r="E1385" s="1" t="s">
        <v>1182</v>
      </c>
      <c r="F1385" s="5">
        <f t="shared" si="85"/>
        <v>2700.61</v>
      </c>
      <c r="G1385" s="1">
        <v>112</v>
      </c>
      <c r="H1385" s="1" t="str">
        <f t="shared" si="86"/>
        <v>High</v>
      </c>
      <c r="I1385" s="1" t="str">
        <f t="shared" si="87"/>
        <v>Other</v>
      </c>
      <c r="J1385" s="1">
        <f t="shared" si="88"/>
        <v>389902.27999999991</v>
      </c>
    </row>
    <row r="1386" spans="1:10" ht="12.75">
      <c r="A1386" s="1" t="s">
        <v>2</v>
      </c>
      <c r="B1386" s="1" t="s">
        <v>59</v>
      </c>
      <c r="C1386" s="1" t="s">
        <v>63</v>
      </c>
      <c r="D1386" s="2">
        <v>45007</v>
      </c>
      <c r="E1386" s="1" t="s">
        <v>1183</v>
      </c>
      <c r="F1386" s="5">
        <f t="shared" si="85"/>
        <v>7219.96</v>
      </c>
      <c r="G1386" s="1">
        <v>53</v>
      </c>
      <c r="H1386" s="1" t="str">
        <f t="shared" si="86"/>
        <v>High</v>
      </c>
      <c r="I1386" s="1" t="str">
        <f t="shared" si="87"/>
        <v>Other</v>
      </c>
      <c r="J1386" s="1">
        <f t="shared" si="88"/>
        <v>387201.66999999993</v>
      </c>
    </row>
    <row r="1387" spans="1:10" ht="12.75">
      <c r="A1387" s="1" t="s">
        <v>6</v>
      </c>
      <c r="B1387" s="1" t="s">
        <v>62</v>
      </c>
      <c r="C1387" s="1" t="s">
        <v>76</v>
      </c>
      <c r="D1387" s="2">
        <v>45148</v>
      </c>
      <c r="E1387" s="1" t="s">
        <v>1184</v>
      </c>
      <c r="F1387" s="5">
        <f t="shared" si="85"/>
        <v>2634.13</v>
      </c>
      <c r="G1387" s="1">
        <v>234</v>
      </c>
      <c r="H1387" s="1" t="str">
        <f t="shared" si="86"/>
        <v>High</v>
      </c>
      <c r="I1387" s="1" t="str">
        <f t="shared" si="87"/>
        <v>Other</v>
      </c>
      <c r="J1387" s="1">
        <f t="shared" si="88"/>
        <v>379981.70999999996</v>
      </c>
    </row>
    <row r="1388" spans="1:10" ht="12.75">
      <c r="A1388" s="1" t="s">
        <v>6</v>
      </c>
      <c r="B1388" s="1" t="s">
        <v>59</v>
      </c>
      <c r="C1388" s="1" t="s">
        <v>81</v>
      </c>
      <c r="D1388" s="2">
        <v>45050</v>
      </c>
      <c r="E1388" s="1" t="s">
        <v>1185</v>
      </c>
      <c r="F1388" s="5">
        <f t="shared" si="85"/>
        <v>1630.95</v>
      </c>
      <c r="G1388" s="1">
        <v>321</v>
      </c>
      <c r="H1388" s="1" t="str">
        <f t="shared" si="86"/>
        <v>High</v>
      </c>
      <c r="I1388" s="1" t="str">
        <f t="shared" si="87"/>
        <v>Other</v>
      </c>
      <c r="J1388" s="1">
        <f t="shared" si="88"/>
        <v>379981.70999999996</v>
      </c>
    </row>
    <row r="1389" spans="1:10" ht="12.75">
      <c r="A1389" s="1" t="s">
        <v>12</v>
      </c>
      <c r="B1389" s="1" t="s">
        <v>59</v>
      </c>
      <c r="C1389" s="1" t="s">
        <v>51</v>
      </c>
      <c r="D1389" s="2">
        <v>45156</v>
      </c>
      <c r="E1389" s="1" t="s">
        <v>1186</v>
      </c>
      <c r="F1389" s="5">
        <f t="shared" si="85"/>
        <v>8250.66</v>
      </c>
      <c r="G1389" s="1">
        <v>258</v>
      </c>
      <c r="H1389" s="1" t="str">
        <f t="shared" si="86"/>
        <v>High</v>
      </c>
      <c r="I1389" s="1" t="str">
        <f t="shared" si="87"/>
        <v>Other</v>
      </c>
      <c r="J1389" s="1">
        <f t="shared" si="88"/>
        <v>379981.70999999996</v>
      </c>
    </row>
    <row r="1390" spans="1:10" ht="12.75">
      <c r="A1390" s="1" t="s">
        <v>21</v>
      </c>
      <c r="B1390" s="1" t="s">
        <v>62</v>
      </c>
      <c r="C1390" s="1" t="s">
        <v>100</v>
      </c>
      <c r="D1390" s="2">
        <v>45141</v>
      </c>
      <c r="E1390" s="1" t="s">
        <v>1187</v>
      </c>
      <c r="F1390" s="5">
        <f t="shared" si="85"/>
        <v>4849.3</v>
      </c>
      <c r="G1390" s="1">
        <v>248</v>
      </c>
      <c r="H1390" s="1" t="str">
        <f t="shared" si="86"/>
        <v>High</v>
      </c>
      <c r="I1390" s="1" t="str">
        <f t="shared" si="87"/>
        <v>Other</v>
      </c>
      <c r="J1390" s="1">
        <f t="shared" si="88"/>
        <v>379981.70999999996</v>
      </c>
    </row>
    <row r="1391" spans="1:10" ht="12.75">
      <c r="A1391" s="1" t="s">
        <v>14</v>
      </c>
      <c r="B1391" s="1" t="s">
        <v>54</v>
      </c>
      <c r="C1391" s="1" t="s">
        <v>72</v>
      </c>
      <c r="D1391" s="2">
        <v>44940</v>
      </c>
      <c r="E1391" s="1" t="s">
        <v>1188</v>
      </c>
      <c r="F1391" s="5">
        <f t="shared" si="85"/>
        <v>7940.49</v>
      </c>
      <c r="G1391" s="1">
        <v>328</v>
      </c>
      <c r="H1391" s="1" t="str">
        <f t="shared" si="86"/>
        <v>High</v>
      </c>
      <c r="I1391" s="1" t="str">
        <f t="shared" si="87"/>
        <v>Other</v>
      </c>
      <c r="J1391" s="1">
        <f t="shared" si="88"/>
        <v>379981.70999999996</v>
      </c>
    </row>
    <row r="1392" spans="1:10" ht="12.75">
      <c r="A1392" s="1" t="s">
        <v>9</v>
      </c>
      <c r="B1392" s="1" t="s">
        <v>5</v>
      </c>
      <c r="C1392" s="1" t="s">
        <v>102</v>
      </c>
      <c r="D1392" s="2">
        <v>45024</v>
      </c>
      <c r="E1392" s="1" t="s">
        <v>1189</v>
      </c>
      <c r="F1392" s="5">
        <f t="shared" si="85"/>
        <v>2106.9299999999998</v>
      </c>
      <c r="G1392" s="1">
        <v>69</v>
      </c>
      <c r="H1392" s="1" t="str">
        <f t="shared" si="86"/>
        <v>High</v>
      </c>
      <c r="I1392" s="1" t="str">
        <f t="shared" si="87"/>
        <v>Other</v>
      </c>
      <c r="J1392" s="1">
        <f t="shared" si="88"/>
        <v>379981.70999999996</v>
      </c>
    </row>
    <row r="1393" spans="1:10" ht="12.75">
      <c r="A1393" s="1" t="s">
        <v>12</v>
      </c>
      <c r="B1393" s="1" t="s">
        <v>39</v>
      </c>
      <c r="C1393" s="1" t="s">
        <v>60</v>
      </c>
      <c r="D1393" s="2">
        <v>45139</v>
      </c>
      <c r="E1393" s="1" t="s">
        <v>1190</v>
      </c>
      <c r="F1393" s="5">
        <f t="shared" si="85"/>
        <v>3911.85</v>
      </c>
      <c r="G1393" s="1">
        <v>3</v>
      </c>
      <c r="H1393" s="1" t="str">
        <f t="shared" si="86"/>
        <v>High</v>
      </c>
      <c r="I1393" s="1" t="str">
        <f t="shared" si="87"/>
        <v>Other</v>
      </c>
      <c r="J1393" s="1">
        <f t="shared" si="88"/>
        <v>379981.70999999996</v>
      </c>
    </row>
    <row r="1394" spans="1:10" ht="12.75">
      <c r="A1394" s="1" t="s">
        <v>6</v>
      </c>
      <c r="B1394" s="1" t="s">
        <v>62</v>
      </c>
      <c r="C1394" s="1" t="s">
        <v>63</v>
      </c>
      <c r="D1394" s="2">
        <v>45000</v>
      </c>
      <c r="E1394" s="1" t="s">
        <v>1191</v>
      </c>
      <c r="F1394" s="5">
        <f t="shared" si="85"/>
        <v>483.04</v>
      </c>
      <c r="G1394" s="1">
        <v>45</v>
      </c>
      <c r="H1394" s="1" t="str">
        <f t="shared" si="86"/>
        <v>Low</v>
      </c>
      <c r="I1394" s="1" t="str">
        <f t="shared" si="87"/>
        <v>Other</v>
      </c>
      <c r="J1394" s="1">
        <f t="shared" si="88"/>
        <v>379981.70999999996</v>
      </c>
    </row>
    <row r="1395" spans="1:10" ht="12.75">
      <c r="A1395" s="1" t="s">
        <v>18</v>
      </c>
      <c r="B1395" s="1" t="s">
        <v>42</v>
      </c>
      <c r="C1395" s="1" t="s">
        <v>40</v>
      </c>
      <c r="D1395" s="2">
        <v>45122</v>
      </c>
      <c r="E1395" s="1" t="s">
        <v>1192</v>
      </c>
      <c r="F1395" s="5">
        <f t="shared" si="85"/>
        <v>11380.7</v>
      </c>
      <c r="G1395" s="1">
        <v>192</v>
      </c>
      <c r="H1395" s="1" t="str">
        <f t="shared" si="86"/>
        <v>High</v>
      </c>
      <c r="I1395" s="1" t="str">
        <f t="shared" si="87"/>
        <v>Other</v>
      </c>
      <c r="J1395" s="1">
        <f t="shared" si="88"/>
        <v>379981.70999999996</v>
      </c>
    </row>
    <row r="1396" spans="1:10" ht="12.75">
      <c r="A1396" s="1" t="s">
        <v>16</v>
      </c>
      <c r="B1396" s="1" t="s">
        <v>54</v>
      </c>
      <c r="C1396" s="1" t="s">
        <v>91</v>
      </c>
      <c r="D1396" s="2">
        <v>44939</v>
      </c>
      <c r="E1396" s="1" t="s">
        <v>1193</v>
      </c>
      <c r="F1396" s="5">
        <f t="shared" si="85"/>
        <v>6372.68</v>
      </c>
      <c r="G1396" s="1">
        <v>131</v>
      </c>
      <c r="H1396" s="1" t="str">
        <f t="shared" si="86"/>
        <v>High</v>
      </c>
      <c r="I1396" s="1" t="str">
        <f t="shared" si="87"/>
        <v>Other</v>
      </c>
      <c r="J1396" s="1">
        <f t="shared" si="88"/>
        <v>379981.70999999996</v>
      </c>
    </row>
    <row r="1397" spans="1:10" ht="12.75">
      <c r="A1397" s="1" t="s">
        <v>2</v>
      </c>
      <c r="B1397" s="1" t="s">
        <v>5</v>
      </c>
      <c r="C1397" s="1" t="s">
        <v>43</v>
      </c>
      <c r="D1397" s="2">
        <v>45164</v>
      </c>
      <c r="E1397" s="1" t="s">
        <v>1194</v>
      </c>
      <c r="F1397" s="5">
        <f t="shared" si="85"/>
        <v>2714.76</v>
      </c>
      <c r="G1397" s="1">
        <v>52</v>
      </c>
      <c r="H1397" s="1" t="str">
        <f t="shared" si="86"/>
        <v>High</v>
      </c>
      <c r="I1397" s="1" t="str">
        <f t="shared" si="87"/>
        <v>Top Local</v>
      </c>
      <c r="J1397" s="1">
        <f t="shared" si="88"/>
        <v>379981.70999999996</v>
      </c>
    </row>
    <row r="1398" spans="1:10" ht="12.75">
      <c r="A1398" s="1" t="s">
        <v>17</v>
      </c>
      <c r="B1398" s="1" t="s">
        <v>62</v>
      </c>
      <c r="C1398" s="1" t="s">
        <v>63</v>
      </c>
      <c r="D1398" s="2">
        <v>44936</v>
      </c>
      <c r="E1398" s="1" t="s">
        <v>1195</v>
      </c>
      <c r="F1398" s="5">
        <f t="shared" si="85"/>
        <v>2106.17</v>
      </c>
      <c r="G1398" s="1">
        <v>172</v>
      </c>
      <c r="H1398" s="1" t="str">
        <f t="shared" si="86"/>
        <v>High</v>
      </c>
      <c r="I1398" s="1" t="str">
        <f t="shared" si="87"/>
        <v>Other</v>
      </c>
      <c r="J1398" s="1">
        <f t="shared" si="88"/>
        <v>377266.94999999995</v>
      </c>
    </row>
    <row r="1399" spans="1:10" ht="12.75">
      <c r="A1399" s="1" t="s">
        <v>20</v>
      </c>
      <c r="B1399" s="1" t="s">
        <v>5</v>
      </c>
      <c r="C1399" s="1" t="s">
        <v>84</v>
      </c>
      <c r="D1399" s="2">
        <v>45057</v>
      </c>
      <c r="E1399" s="1" t="s">
        <v>1196</v>
      </c>
      <c r="F1399" s="5">
        <f t="shared" si="85"/>
        <v>5805.24</v>
      </c>
      <c r="G1399" s="1">
        <v>83</v>
      </c>
      <c r="H1399" s="1" t="str">
        <f t="shared" si="86"/>
        <v>High</v>
      </c>
      <c r="I1399" s="1" t="str">
        <f t="shared" si="87"/>
        <v>Other</v>
      </c>
      <c r="J1399" s="1">
        <f t="shared" si="88"/>
        <v>377266.94999999995</v>
      </c>
    </row>
    <row r="1400" spans="1:10" ht="12.75">
      <c r="A1400" s="1" t="s">
        <v>28</v>
      </c>
      <c r="B1400" s="1" t="s">
        <v>54</v>
      </c>
      <c r="C1400" s="1" t="s">
        <v>43</v>
      </c>
      <c r="D1400" s="2">
        <v>45168</v>
      </c>
      <c r="E1400" s="1" t="s">
        <v>1197</v>
      </c>
      <c r="F1400" s="5">
        <f t="shared" si="85"/>
        <v>12205.52</v>
      </c>
      <c r="G1400" s="1">
        <v>23</v>
      </c>
      <c r="H1400" s="1" t="str">
        <f t="shared" si="86"/>
        <v>High</v>
      </c>
      <c r="I1400" s="1" t="str">
        <f t="shared" si="87"/>
        <v>Other</v>
      </c>
      <c r="J1400" s="1">
        <f t="shared" si="88"/>
        <v>377266.94999999995</v>
      </c>
    </row>
    <row r="1401" spans="1:10" ht="12.75">
      <c r="A1401" s="1" t="s">
        <v>8</v>
      </c>
      <c r="B1401" s="1" t="s">
        <v>59</v>
      </c>
      <c r="C1401" s="1" t="s">
        <v>126</v>
      </c>
      <c r="D1401" s="2">
        <v>45128</v>
      </c>
      <c r="E1401" s="1" t="s">
        <v>1198</v>
      </c>
      <c r="F1401" s="5">
        <f t="shared" si="85"/>
        <v>6318.7</v>
      </c>
      <c r="G1401" s="1">
        <v>124</v>
      </c>
      <c r="H1401" s="1" t="str">
        <f t="shared" si="86"/>
        <v>High</v>
      </c>
      <c r="I1401" s="1" t="str">
        <f t="shared" si="87"/>
        <v>Other</v>
      </c>
      <c r="J1401" s="1">
        <f t="shared" si="88"/>
        <v>377266.94999999995</v>
      </c>
    </row>
    <row r="1402" spans="1:10" ht="12.75">
      <c r="A1402" s="1" t="s">
        <v>2</v>
      </c>
      <c r="B1402" s="1" t="s">
        <v>5</v>
      </c>
      <c r="C1402" s="1" t="s">
        <v>91</v>
      </c>
      <c r="D1402" s="2">
        <v>45139</v>
      </c>
      <c r="E1402" s="1" t="s">
        <v>1199</v>
      </c>
      <c r="F1402" s="5">
        <f t="shared" si="85"/>
        <v>8522.7999999999993</v>
      </c>
      <c r="G1402" s="1">
        <v>137</v>
      </c>
      <c r="H1402" s="1" t="str">
        <f t="shared" si="86"/>
        <v>High</v>
      </c>
      <c r="I1402" s="1" t="str">
        <f t="shared" si="87"/>
        <v>Top Local</v>
      </c>
      <c r="J1402" s="1">
        <f t="shared" si="88"/>
        <v>377266.94999999995</v>
      </c>
    </row>
    <row r="1403" spans="1:10" ht="12.75">
      <c r="A1403" s="1" t="s">
        <v>7</v>
      </c>
      <c r="B1403" s="1" t="s">
        <v>62</v>
      </c>
      <c r="C1403" s="1" t="s">
        <v>43</v>
      </c>
      <c r="D1403" s="2">
        <v>44974</v>
      </c>
      <c r="E1403" s="1" t="s">
        <v>1200</v>
      </c>
      <c r="F1403" s="5">
        <f t="shared" si="85"/>
        <v>10315.879999999999</v>
      </c>
      <c r="G1403" s="1">
        <v>268</v>
      </c>
      <c r="H1403" s="1" t="str">
        <f t="shared" si="86"/>
        <v>High</v>
      </c>
      <c r="I1403" s="1" t="str">
        <f t="shared" si="87"/>
        <v>Other</v>
      </c>
      <c r="J1403" s="1">
        <f t="shared" si="88"/>
        <v>368744.14999999991</v>
      </c>
    </row>
    <row r="1404" spans="1:10" ht="12.75">
      <c r="A1404" s="1" t="s">
        <v>7</v>
      </c>
      <c r="B1404" s="1" t="s">
        <v>5</v>
      </c>
      <c r="C1404" s="1" t="s">
        <v>65</v>
      </c>
      <c r="D1404" s="2">
        <v>45134</v>
      </c>
      <c r="E1404" s="1" t="s">
        <v>1201</v>
      </c>
      <c r="F1404" s="5">
        <f t="shared" si="85"/>
        <v>7262.12</v>
      </c>
      <c r="G1404" s="1">
        <v>158</v>
      </c>
      <c r="H1404" s="1" t="str">
        <f t="shared" si="86"/>
        <v>High</v>
      </c>
      <c r="I1404" s="1" t="str">
        <f t="shared" si="87"/>
        <v>Other</v>
      </c>
      <c r="J1404" s="1">
        <f t="shared" si="88"/>
        <v>368744.14999999991</v>
      </c>
    </row>
    <row r="1405" spans="1:10" ht="12.75">
      <c r="A1405" s="1" t="s">
        <v>21</v>
      </c>
      <c r="B1405" s="1" t="s">
        <v>59</v>
      </c>
      <c r="C1405" s="1" t="s">
        <v>60</v>
      </c>
      <c r="D1405" s="2">
        <v>44980</v>
      </c>
      <c r="E1405" s="1" t="s">
        <v>1202</v>
      </c>
      <c r="F1405" s="5">
        <f t="shared" si="85"/>
        <v>1414.84</v>
      </c>
      <c r="G1405" s="1">
        <v>112</v>
      </c>
      <c r="H1405" s="1" t="str">
        <f t="shared" si="86"/>
        <v>High</v>
      </c>
      <c r="I1405" s="1" t="str">
        <f t="shared" si="87"/>
        <v>Other</v>
      </c>
      <c r="J1405" s="1">
        <f t="shared" si="88"/>
        <v>368744.14999999991</v>
      </c>
    </row>
    <row r="1406" spans="1:10" ht="12.75">
      <c r="A1406" s="1" t="s">
        <v>19</v>
      </c>
      <c r="B1406" s="1" t="s">
        <v>5</v>
      </c>
      <c r="C1406" s="1" t="s">
        <v>55</v>
      </c>
      <c r="D1406" s="2">
        <v>45007</v>
      </c>
      <c r="E1406" s="1" t="s">
        <v>1203</v>
      </c>
      <c r="F1406" s="5">
        <f t="shared" si="85"/>
        <v>3067.9</v>
      </c>
      <c r="G1406" s="1">
        <v>42</v>
      </c>
      <c r="H1406" s="1" t="str">
        <f t="shared" si="86"/>
        <v>High</v>
      </c>
      <c r="I1406" s="1" t="str">
        <f t="shared" si="87"/>
        <v>Other</v>
      </c>
      <c r="J1406" s="1">
        <f t="shared" si="88"/>
        <v>368744.14999999991</v>
      </c>
    </row>
    <row r="1407" spans="1:10" ht="12.75">
      <c r="A1407" s="1" t="s">
        <v>6</v>
      </c>
      <c r="B1407" s="1" t="s">
        <v>42</v>
      </c>
      <c r="C1407" s="1" t="s">
        <v>51</v>
      </c>
      <c r="D1407" s="2">
        <v>45100</v>
      </c>
      <c r="E1407" s="1" t="s">
        <v>1204</v>
      </c>
      <c r="F1407" s="5">
        <f t="shared" si="85"/>
        <v>7369.69</v>
      </c>
      <c r="G1407" s="1">
        <v>325</v>
      </c>
      <c r="H1407" s="1" t="str">
        <f t="shared" si="86"/>
        <v>High</v>
      </c>
      <c r="I1407" s="1" t="str">
        <f t="shared" si="87"/>
        <v>Other</v>
      </c>
      <c r="J1407" s="1">
        <f t="shared" si="88"/>
        <v>368744.14999999991</v>
      </c>
    </row>
    <row r="1408" spans="1:10" ht="12.75">
      <c r="A1408" s="1" t="s">
        <v>24</v>
      </c>
      <c r="B1408" s="1" t="s">
        <v>39</v>
      </c>
      <c r="C1408" s="1" t="s">
        <v>84</v>
      </c>
      <c r="D1408" s="2">
        <v>44958</v>
      </c>
      <c r="E1408" s="1" t="s">
        <v>1205</v>
      </c>
      <c r="F1408" s="5">
        <f t="shared" si="85"/>
        <v>1775.18</v>
      </c>
      <c r="G1408" s="1">
        <v>73</v>
      </c>
      <c r="H1408" s="1" t="str">
        <f t="shared" si="86"/>
        <v>High</v>
      </c>
      <c r="I1408" s="1" t="str">
        <f t="shared" si="87"/>
        <v>Other</v>
      </c>
      <c r="J1408" s="1">
        <f t="shared" si="88"/>
        <v>368744.14999999991</v>
      </c>
    </row>
    <row r="1409" spans="1:10" ht="12.75">
      <c r="A1409" s="1" t="s">
        <v>12</v>
      </c>
      <c r="B1409" s="1" t="s">
        <v>5</v>
      </c>
      <c r="C1409" s="1" t="s">
        <v>52</v>
      </c>
      <c r="D1409" s="2">
        <v>44987</v>
      </c>
      <c r="E1409" s="1" t="s">
        <v>1206</v>
      </c>
      <c r="F1409" s="5">
        <f t="shared" si="85"/>
        <v>7683.78</v>
      </c>
      <c r="G1409" s="1">
        <v>279</v>
      </c>
      <c r="H1409" s="1" t="str">
        <f t="shared" si="86"/>
        <v>High</v>
      </c>
      <c r="I1409" s="1" t="str">
        <f t="shared" si="87"/>
        <v>Other</v>
      </c>
      <c r="J1409" s="1">
        <f t="shared" si="88"/>
        <v>368744.14999999991</v>
      </c>
    </row>
    <row r="1410" spans="1:10" ht="12.75">
      <c r="A1410" s="1" t="s">
        <v>20</v>
      </c>
      <c r="B1410" s="1" t="s">
        <v>39</v>
      </c>
      <c r="C1410" s="1" t="s">
        <v>81</v>
      </c>
      <c r="D1410" s="2">
        <v>45022</v>
      </c>
      <c r="E1410" s="1" t="s">
        <v>1207</v>
      </c>
      <c r="F1410" s="5">
        <f t="shared" ref="F1410:F1473" si="89">VALUE(SUBSTITUTE(E1410,"$",""))</f>
        <v>1412.22</v>
      </c>
      <c r="G1410" s="1">
        <v>90</v>
      </c>
      <c r="H1410" s="1" t="str">
        <f t="shared" ref="H1410:H1473" si="90">IF(F1410&gt;800,"High",IF(F1410&gt;500,"Medium","Low"))</f>
        <v>High</v>
      </c>
      <c r="I1410" s="1" t="str">
        <f t="shared" ref="I1410:I1473" si="91">IF(AND(B1410="Australia",A1410="Mallorie Waber"),"Top Local","Other")</f>
        <v>Other</v>
      </c>
      <c r="J1410" s="1">
        <f t="shared" ref="J1410:J1473" si="92">SUMIF(A1410:A4690,"Mallorie Waber",F1410:F4690)</f>
        <v>368744.14999999991</v>
      </c>
    </row>
    <row r="1411" spans="1:10" ht="12.75">
      <c r="A1411" s="1" t="s">
        <v>23</v>
      </c>
      <c r="B1411" s="1" t="s">
        <v>5</v>
      </c>
      <c r="C1411" s="1" t="s">
        <v>100</v>
      </c>
      <c r="D1411" s="2">
        <v>45002</v>
      </c>
      <c r="E1411" s="1" t="s">
        <v>1208</v>
      </c>
      <c r="F1411" s="5">
        <f t="shared" si="89"/>
        <v>607.08000000000004</v>
      </c>
      <c r="G1411" s="1">
        <v>76</v>
      </c>
      <c r="H1411" s="1" t="str">
        <f t="shared" si="90"/>
        <v>Medium</v>
      </c>
      <c r="I1411" s="1" t="str">
        <f t="shared" si="91"/>
        <v>Other</v>
      </c>
      <c r="J1411" s="1">
        <f t="shared" si="92"/>
        <v>368744.14999999991</v>
      </c>
    </row>
    <row r="1412" spans="1:10" ht="12.75">
      <c r="A1412" s="1" t="s">
        <v>24</v>
      </c>
      <c r="B1412" s="1" t="s">
        <v>39</v>
      </c>
      <c r="C1412" s="1" t="s">
        <v>81</v>
      </c>
      <c r="D1412" s="2">
        <v>45101</v>
      </c>
      <c r="E1412" s="1" t="s">
        <v>1209</v>
      </c>
      <c r="F1412" s="5">
        <f t="shared" si="89"/>
        <v>11688.75</v>
      </c>
      <c r="G1412" s="1">
        <v>136</v>
      </c>
      <c r="H1412" s="1" t="str">
        <f t="shared" si="90"/>
        <v>High</v>
      </c>
      <c r="I1412" s="1" t="str">
        <f t="shared" si="91"/>
        <v>Other</v>
      </c>
      <c r="J1412" s="1">
        <f t="shared" si="92"/>
        <v>368744.14999999991</v>
      </c>
    </row>
    <row r="1413" spans="1:10" ht="12.75">
      <c r="A1413" s="1" t="s">
        <v>16</v>
      </c>
      <c r="B1413" s="1" t="s">
        <v>62</v>
      </c>
      <c r="C1413" s="1" t="s">
        <v>55</v>
      </c>
      <c r="D1413" s="2">
        <v>45126</v>
      </c>
      <c r="E1413" s="1" t="s">
        <v>1210</v>
      </c>
      <c r="F1413" s="5">
        <f t="shared" si="89"/>
        <v>10275.549999999999</v>
      </c>
      <c r="G1413" s="1">
        <v>301</v>
      </c>
      <c r="H1413" s="1" t="str">
        <f t="shared" si="90"/>
        <v>High</v>
      </c>
      <c r="I1413" s="1" t="str">
        <f t="shared" si="91"/>
        <v>Other</v>
      </c>
      <c r="J1413" s="1">
        <f t="shared" si="92"/>
        <v>368744.14999999991</v>
      </c>
    </row>
    <row r="1414" spans="1:10" ht="12.75">
      <c r="A1414" s="1" t="s">
        <v>24</v>
      </c>
      <c r="B1414" s="1" t="s">
        <v>59</v>
      </c>
      <c r="C1414" s="1" t="s">
        <v>76</v>
      </c>
      <c r="D1414" s="2">
        <v>45118</v>
      </c>
      <c r="E1414" s="1" t="s">
        <v>1211</v>
      </c>
      <c r="F1414" s="5">
        <f t="shared" si="89"/>
        <v>1788.1</v>
      </c>
      <c r="G1414" s="1">
        <v>271</v>
      </c>
      <c r="H1414" s="1" t="str">
        <f t="shared" si="90"/>
        <v>High</v>
      </c>
      <c r="I1414" s="1" t="str">
        <f t="shared" si="91"/>
        <v>Other</v>
      </c>
      <c r="J1414" s="1">
        <f t="shared" si="92"/>
        <v>368744.14999999991</v>
      </c>
    </row>
    <row r="1415" spans="1:10" ht="12.75">
      <c r="A1415" s="1" t="s">
        <v>7</v>
      </c>
      <c r="B1415" s="1" t="s">
        <v>42</v>
      </c>
      <c r="C1415" s="1" t="s">
        <v>91</v>
      </c>
      <c r="D1415" s="2">
        <v>44939</v>
      </c>
      <c r="E1415" s="1" t="s">
        <v>1212</v>
      </c>
      <c r="F1415" s="5">
        <f t="shared" si="89"/>
        <v>2378.08</v>
      </c>
      <c r="G1415" s="1">
        <v>222</v>
      </c>
      <c r="H1415" s="1" t="str">
        <f t="shared" si="90"/>
        <v>High</v>
      </c>
      <c r="I1415" s="1" t="str">
        <f t="shared" si="91"/>
        <v>Other</v>
      </c>
      <c r="J1415" s="1">
        <f t="shared" si="92"/>
        <v>368744.14999999991</v>
      </c>
    </row>
    <row r="1416" spans="1:10" ht="12.75">
      <c r="A1416" s="1" t="s">
        <v>22</v>
      </c>
      <c r="B1416" s="1" t="s">
        <v>54</v>
      </c>
      <c r="C1416" s="1" t="s">
        <v>49</v>
      </c>
      <c r="D1416" s="2">
        <v>45114</v>
      </c>
      <c r="E1416" s="1" t="s">
        <v>1213</v>
      </c>
      <c r="F1416" s="5">
        <f t="shared" si="89"/>
        <v>9545.0300000000007</v>
      </c>
      <c r="G1416" s="1">
        <v>64</v>
      </c>
      <c r="H1416" s="1" t="str">
        <f t="shared" si="90"/>
        <v>High</v>
      </c>
      <c r="I1416" s="1" t="str">
        <f t="shared" si="91"/>
        <v>Other</v>
      </c>
      <c r="J1416" s="1">
        <f t="shared" si="92"/>
        <v>368744.14999999991</v>
      </c>
    </row>
    <row r="1417" spans="1:10" ht="12.75">
      <c r="A1417" s="1" t="s">
        <v>15</v>
      </c>
      <c r="B1417" s="1" t="s">
        <v>42</v>
      </c>
      <c r="C1417" s="1" t="s">
        <v>43</v>
      </c>
      <c r="D1417" s="2">
        <v>45071</v>
      </c>
      <c r="E1417" s="1" t="s">
        <v>1214</v>
      </c>
      <c r="F1417" s="5">
        <f t="shared" si="89"/>
        <v>4999.5200000000004</v>
      </c>
      <c r="G1417" s="1">
        <v>446</v>
      </c>
      <c r="H1417" s="1" t="str">
        <f t="shared" si="90"/>
        <v>High</v>
      </c>
      <c r="I1417" s="1" t="str">
        <f t="shared" si="91"/>
        <v>Other</v>
      </c>
      <c r="J1417" s="1">
        <f t="shared" si="92"/>
        <v>368744.14999999991</v>
      </c>
    </row>
    <row r="1418" spans="1:10" ht="12.75">
      <c r="A1418" s="1" t="s">
        <v>14</v>
      </c>
      <c r="B1418" s="1" t="s">
        <v>42</v>
      </c>
      <c r="C1418" s="1" t="s">
        <v>81</v>
      </c>
      <c r="D1418" s="2">
        <v>45029</v>
      </c>
      <c r="E1418" s="1" t="s">
        <v>1215</v>
      </c>
      <c r="F1418" s="5">
        <f t="shared" si="89"/>
        <v>5312.5</v>
      </c>
      <c r="G1418" s="1">
        <v>160</v>
      </c>
      <c r="H1418" s="1" t="str">
        <f t="shared" si="90"/>
        <v>High</v>
      </c>
      <c r="I1418" s="1" t="str">
        <f t="shared" si="91"/>
        <v>Other</v>
      </c>
      <c r="J1418" s="1">
        <f t="shared" si="92"/>
        <v>368744.14999999991</v>
      </c>
    </row>
    <row r="1419" spans="1:10" ht="12.75">
      <c r="A1419" s="1" t="s">
        <v>27</v>
      </c>
      <c r="B1419" s="1" t="s">
        <v>54</v>
      </c>
      <c r="C1419" s="1" t="s">
        <v>55</v>
      </c>
      <c r="D1419" s="2">
        <v>44987</v>
      </c>
      <c r="E1419" s="1" t="s">
        <v>1216</v>
      </c>
      <c r="F1419" s="5">
        <f t="shared" si="89"/>
        <v>3750.88</v>
      </c>
      <c r="G1419" s="1">
        <v>208</v>
      </c>
      <c r="H1419" s="1" t="str">
        <f t="shared" si="90"/>
        <v>High</v>
      </c>
      <c r="I1419" s="1" t="str">
        <f t="shared" si="91"/>
        <v>Other</v>
      </c>
      <c r="J1419" s="1">
        <f t="shared" si="92"/>
        <v>368744.14999999991</v>
      </c>
    </row>
    <row r="1420" spans="1:10" ht="12.75">
      <c r="A1420" s="1" t="s">
        <v>23</v>
      </c>
      <c r="B1420" s="1" t="s">
        <v>62</v>
      </c>
      <c r="C1420" s="1" t="s">
        <v>100</v>
      </c>
      <c r="D1420" s="2">
        <v>45100</v>
      </c>
      <c r="E1420" s="1" t="s">
        <v>1217</v>
      </c>
      <c r="F1420" s="5">
        <f t="shared" si="89"/>
        <v>2375.7399999999998</v>
      </c>
      <c r="G1420" s="1">
        <v>129</v>
      </c>
      <c r="H1420" s="1" t="str">
        <f t="shared" si="90"/>
        <v>High</v>
      </c>
      <c r="I1420" s="1" t="str">
        <f t="shared" si="91"/>
        <v>Other</v>
      </c>
      <c r="J1420" s="1">
        <f t="shared" si="92"/>
        <v>368744.14999999991</v>
      </c>
    </row>
    <row r="1421" spans="1:10" ht="12.75">
      <c r="A1421" s="1" t="s">
        <v>12</v>
      </c>
      <c r="B1421" s="1" t="s">
        <v>59</v>
      </c>
      <c r="C1421" s="1" t="s">
        <v>65</v>
      </c>
      <c r="D1421" s="2">
        <v>45133</v>
      </c>
      <c r="E1421" s="1" t="s">
        <v>1218</v>
      </c>
      <c r="F1421" s="5">
        <f t="shared" si="89"/>
        <v>7013.61</v>
      </c>
      <c r="G1421" s="1">
        <v>170</v>
      </c>
      <c r="H1421" s="1" t="str">
        <f t="shared" si="90"/>
        <v>High</v>
      </c>
      <c r="I1421" s="1" t="str">
        <f t="shared" si="91"/>
        <v>Other</v>
      </c>
      <c r="J1421" s="1">
        <f t="shared" si="92"/>
        <v>368744.14999999991</v>
      </c>
    </row>
    <row r="1422" spans="1:10" ht="12.75">
      <c r="A1422" s="1" t="s">
        <v>10</v>
      </c>
      <c r="B1422" s="1" t="s">
        <v>62</v>
      </c>
      <c r="C1422" s="1" t="s">
        <v>84</v>
      </c>
      <c r="D1422" s="2">
        <v>45007</v>
      </c>
      <c r="E1422" s="1" t="s">
        <v>1219</v>
      </c>
      <c r="F1422" s="5">
        <f t="shared" si="89"/>
        <v>481.52</v>
      </c>
      <c r="G1422" s="1">
        <v>3</v>
      </c>
      <c r="H1422" s="1" t="str">
        <f t="shared" si="90"/>
        <v>Low</v>
      </c>
      <c r="I1422" s="1" t="str">
        <f t="shared" si="91"/>
        <v>Other</v>
      </c>
      <c r="J1422" s="1">
        <f t="shared" si="92"/>
        <v>368744.14999999991</v>
      </c>
    </row>
    <row r="1423" spans="1:10" ht="12.75">
      <c r="A1423" s="1" t="s">
        <v>19</v>
      </c>
      <c r="B1423" s="1" t="s">
        <v>59</v>
      </c>
      <c r="C1423" s="1" t="s">
        <v>122</v>
      </c>
      <c r="D1423" s="2">
        <v>45086</v>
      </c>
      <c r="E1423" s="1" t="s">
        <v>1220</v>
      </c>
      <c r="F1423" s="5">
        <f t="shared" si="89"/>
        <v>3136.92</v>
      </c>
      <c r="G1423" s="1">
        <v>64</v>
      </c>
      <c r="H1423" s="1" t="str">
        <f t="shared" si="90"/>
        <v>High</v>
      </c>
      <c r="I1423" s="1" t="str">
        <f t="shared" si="91"/>
        <v>Other</v>
      </c>
      <c r="J1423" s="1">
        <f t="shared" si="92"/>
        <v>368744.14999999991</v>
      </c>
    </row>
    <row r="1424" spans="1:10" ht="12.75">
      <c r="A1424" s="1" t="s">
        <v>10</v>
      </c>
      <c r="B1424" s="1" t="s">
        <v>5</v>
      </c>
      <c r="C1424" s="1" t="s">
        <v>126</v>
      </c>
      <c r="D1424" s="2">
        <v>45063</v>
      </c>
      <c r="E1424" s="1" t="s">
        <v>1221</v>
      </c>
      <c r="F1424" s="5">
        <f t="shared" si="89"/>
        <v>6584.26</v>
      </c>
      <c r="G1424" s="1">
        <v>62</v>
      </c>
      <c r="H1424" s="1" t="str">
        <f t="shared" si="90"/>
        <v>High</v>
      </c>
      <c r="I1424" s="1" t="str">
        <f t="shared" si="91"/>
        <v>Other</v>
      </c>
      <c r="J1424" s="1">
        <f t="shared" si="92"/>
        <v>368744.14999999991</v>
      </c>
    </row>
    <row r="1425" spans="1:10" ht="12.75">
      <c r="A1425" s="1" t="s">
        <v>17</v>
      </c>
      <c r="B1425" s="1" t="s">
        <v>54</v>
      </c>
      <c r="C1425" s="1" t="s">
        <v>45</v>
      </c>
      <c r="D1425" s="2">
        <v>44989</v>
      </c>
      <c r="E1425" s="1" t="s">
        <v>1222</v>
      </c>
      <c r="F1425" s="5">
        <f t="shared" si="89"/>
        <v>1024.77</v>
      </c>
      <c r="G1425" s="1">
        <v>260</v>
      </c>
      <c r="H1425" s="1" t="str">
        <f t="shared" si="90"/>
        <v>High</v>
      </c>
      <c r="I1425" s="1" t="str">
        <f t="shared" si="91"/>
        <v>Other</v>
      </c>
      <c r="J1425" s="1">
        <f t="shared" si="92"/>
        <v>368744.14999999991</v>
      </c>
    </row>
    <row r="1426" spans="1:10" ht="12.75">
      <c r="A1426" s="1" t="s">
        <v>12</v>
      </c>
      <c r="B1426" s="1" t="s">
        <v>62</v>
      </c>
      <c r="C1426" s="1" t="s">
        <v>72</v>
      </c>
      <c r="D1426" s="2">
        <v>45114</v>
      </c>
      <c r="E1426" s="1" t="s">
        <v>1223</v>
      </c>
      <c r="F1426" s="5">
        <f t="shared" si="89"/>
        <v>17680.189999999999</v>
      </c>
      <c r="G1426" s="1">
        <v>27</v>
      </c>
      <c r="H1426" s="1" t="str">
        <f t="shared" si="90"/>
        <v>High</v>
      </c>
      <c r="I1426" s="1" t="str">
        <f t="shared" si="91"/>
        <v>Other</v>
      </c>
      <c r="J1426" s="1">
        <f t="shared" si="92"/>
        <v>368744.14999999991</v>
      </c>
    </row>
    <row r="1427" spans="1:10" ht="12.75">
      <c r="A1427" s="1" t="s">
        <v>6</v>
      </c>
      <c r="B1427" s="1" t="s">
        <v>62</v>
      </c>
      <c r="C1427" s="1" t="s">
        <v>102</v>
      </c>
      <c r="D1427" s="2">
        <v>44939</v>
      </c>
      <c r="E1427" s="1" t="s">
        <v>1224</v>
      </c>
      <c r="F1427" s="5">
        <f t="shared" si="89"/>
        <v>10707.82</v>
      </c>
      <c r="G1427" s="1">
        <v>124</v>
      </c>
      <c r="H1427" s="1" t="str">
        <f t="shared" si="90"/>
        <v>High</v>
      </c>
      <c r="I1427" s="1" t="str">
        <f t="shared" si="91"/>
        <v>Other</v>
      </c>
      <c r="J1427" s="1">
        <f t="shared" si="92"/>
        <v>368744.14999999991</v>
      </c>
    </row>
    <row r="1428" spans="1:10" ht="12.75">
      <c r="A1428" s="1" t="s">
        <v>24</v>
      </c>
      <c r="B1428" s="1" t="s">
        <v>5</v>
      </c>
      <c r="C1428" s="1" t="s">
        <v>91</v>
      </c>
      <c r="D1428" s="2">
        <v>45120</v>
      </c>
      <c r="E1428" s="1" t="s">
        <v>1225</v>
      </c>
      <c r="F1428" s="5">
        <f t="shared" si="89"/>
        <v>3019.09</v>
      </c>
      <c r="G1428" s="1">
        <v>78</v>
      </c>
      <c r="H1428" s="1" t="str">
        <f t="shared" si="90"/>
        <v>High</v>
      </c>
      <c r="I1428" s="1" t="str">
        <f t="shared" si="91"/>
        <v>Other</v>
      </c>
      <c r="J1428" s="1">
        <f t="shared" si="92"/>
        <v>368744.14999999991</v>
      </c>
    </row>
    <row r="1429" spans="1:10" ht="12.75">
      <c r="A1429" s="1" t="s">
        <v>9</v>
      </c>
      <c r="B1429" s="1" t="s">
        <v>5</v>
      </c>
      <c r="C1429" s="1" t="s">
        <v>43</v>
      </c>
      <c r="D1429" s="2">
        <v>45093</v>
      </c>
      <c r="E1429" s="1" t="s">
        <v>1226</v>
      </c>
      <c r="F1429" s="5">
        <f t="shared" si="89"/>
        <v>1758.62</v>
      </c>
      <c r="G1429" s="1">
        <v>329</v>
      </c>
      <c r="H1429" s="1" t="str">
        <f t="shared" si="90"/>
        <v>High</v>
      </c>
      <c r="I1429" s="1" t="str">
        <f t="shared" si="91"/>
        <v>Other</v>
      </c>
      <c r="J1429" s="1">
        <f t="shared" si="92"/>
        <v>368744.14999999991</v>
      </c>
    </row>
    <row r="1430" spans="1:10" ht="12.75">
      <c r="A1430" s="1" t="s">
        <v>20</v>
      </c>
      <c r="B1430" s="1" t="s">
        <v>39</v>
      </c>
      <c r="C1430" s="1" t="s">
        <v>55</v>
      </c>
      <c r="D1430" s="2">
        <v>45125</v>
      </c>
      <c r="E1430" s="1" t="s">
        <v>1227</v>
      </c>
      <c r="F1430" s="5">
        <f t="shared" si="89"/>
        <v>8385.3799999999992</v>
      </c>
      <c r="G1430" s="1">
        <v>73</v>
      </c>
      <c r="H1430" s="1" t="str">
        <f t="shared" si="90"/>
        <v>High</v>
      </c>
      <c r="I1430" s="1" t="str">
        <f t="shared" si="91"/>
        <v>Other</v>
      </c>
      <c r="J1430" s="1">
        <f t="shared" si="92"/>
        <v>368744.14999999991</v>
      </c>
    </row>
    <row r="1431" spans="1:10" ht="12.75">
      <c r="A1431" s="1" t="s">
        <v>17</v>
      </c>
      <c r="B1431" s="1" t="s">
        <v>39</v>
      </c>
      <c r="C1431" s="1" t="s">
        <v>86</v>
      </c>
      <c r="D1431" s="2">
        <v>45076</v>
      </c>
      <c r="E1431" s="1" t="s">
        <v>1228</v>
      </c>
      <c r="F1431" s="5">
        <f t="shared" si="89"/>
        <v>4854.12</v>
      </c>
      <c r="G1431" s="1">
        <v>411</v>
      </c>
      <c r="H1431" s="1" t="str">
        <f t="shared" si="90"/>
        <v>High</v>
      </c>
      <c r="I1431" s="1" t="str">
        <f t="shared" si="91"/>
        <v>Other</v>
      </c>
      <c r="J1431" s="1">
        <f t="shared" si="92"/>
        <v>368744.14999999991</v>
      </c>
    </row>
    <row r="1432" spans="1:10" ht="12.75">
      <c r="A1432" s="1" t="s">
        <v>20</v>
      </c>
      <c r="B1432" s="1" t="s">
        <v>39</v>
      </c>
      <c r="C1432" s="1" t="s">
        <v>147</v>
      </c>
      <c r="D1432" s="2">
        <v>45098</v>
      </c>
      <c r="E1432" s="1" t="s">
        <v>1229</v>
      </c>
      <c r="F1432" s="5">
        <f t="shared" si="89"/>
        <v>949.18</v>
      </c>
      <c r="G1432" s="1">
        <v>83</v>
      </c>
      <c r="H1432" s="1" t="str">
        <f t="shared" si="90"/>
        <v>High</v>
      </c>
      <c r="I1432" s="1" t="str">
        <f t="shared" si="91"/>
        <v>Other</v>
      </c>
      <c r="J1432" s="1">
        <f t="shared" si="92"/>
        <v>368744.14999999991</v>
      </c>
    </row>
    <row r="1433" spans="1:10" ht="12.75">
      <c r="A1433" s="1" t="s">
        <v>11</v>
      </c>
      <c r="B1433" s="1" t="s">
        <v>5</v>
      </c>
      <c r="C1433" s="1" t="s">
        <v>45</v>
      </c>
      <c r="D1433" s="2">
        <v>45101</v>
      </c>
      <c r="E1433" s="1" t="s">
        <v>1230</v>
      </c>
      <c r="F1433" s="5">
        <f t="shared" si="89"/>
        <v>6047.05</v>
      </c>
      <c r="G1433" s="1">
        <v>40</v>
      </c>
      <c r="H1433" s="1" t="str">
        <f t="shared" si="90"/>
        <v>High</v>
      </c>
      <c r="I1433" s="1" t="str">
        <f t="shared" si="91"/>
        <v>Other</v>
      </c>
      <c r="J1433" s="1">
        <f t="shared" si="92"/>
        <v>368744.14999999991</v>
      </c>
    </row>
    <row r="1434" spans="1:10" ht="12.75">
      <c r="A1434" s="1" t="s">
        <v>14</v>
      </c>
      <c r="B1434" s="1" t="s">
        <v>42</v>
      </c>
      <c r="C1434" s="1" t="s">
        <v>63</v>
      </c>
      <c r="D1434" s="2">
        <v>44939</v>
      </c>
      <c r="E1434" s="1" t="s">
        <v>1231</v>
      </c>
      <c r="F1434" s="5">
        <f t="shared" si="89"/>
        <v>3883.32</v>
      </c>
      <c r="G1434" s="1">
        <v>94</v>
      </c>
      <c r="H1434" s="1" t="str">
        <f t="shared" si="90"/>
        <v>High</v>
      </c>
      <c r="I1434" s="1" t="str">
        <f t="shared" si="91"/>
        <v>Other</v>
      </c>
      <c r="J1434" s="1">
        <f t="shared" si="92"/>
        <v>368744.14999999991</v>
      </c>
    </row>
    <row r="1435" spans="1:10" ht="12.75">
      <c r="A1435" s="1" t="s">
        <v>24</v>
      </c>
      <c r="B1435" s="1" t="s">
        <v>62</v>
      </c>
      <c r="C1435" s="1" t="s">
        <v>81</v>
      </c>
      <c r="D1435" s="2">
        <v>45020</v>
      </c>
      <c r="E1435" s="1" t="s">
        <v>1232</v>
      </c>
      <c r="F1435" s="5">
        <f t="shared" si="89"/>
        <v>4382.07</v>
      </c>
      <c r="G1435" s="1">
        <v>210</v>
      </c>
      <c r="H1435" s="1" t="str">
        <f t="shared" si="90"/>
        <v>High</v>
      </c>
      <c r="I1435" s="1" t="str">
        <f t="shared" si="91"/>
        <v>Other</v>
      </c>
      <c r="J1435" s="1">
        <f t="shared" si="92"/>
        <v>368744.14999999991</v>
      </c>
    </row>
    <row r="1436" spans="1:10" ht="12.75">
      <c r="A1436" s="1" t="s">
        <v>8</v>
      </c>
      <c r="B1436" s="1" t="s">
        <v>39</v>
      </c>
      <c r="C1436" s="1" t="s">
        <v>49</v>
      </c>
      <c r="D1436" s="2">
        <v>45085</v>
      </c>
      <c r="E1436" s="1" t="s">
        <v>1233</v>
      </c>
      <c r="F1436" s="5">
        <f t="shared" si="89"/>
        <v>9928.1</v>
      </c>
      <c r="G1436" s="1">
        <v>599</v>
      </c>
      <c r="H1436" s="1" t="str">
        <f t="shared" si="90"/>
        <v>High</v>
      </c>
      <c r="I1436" s="1" t="str">
        <f t="shared" si="91"/>
        <v>Other</v>
      </c>
      <c r="J1436" s="1">
        <f t="shared" si="92"/>
        <v>368744.14999999991</v>
      </c>
    </row>
    <row r="1437" spans="1:10" ht="12.75">
      <c r="A1437" s="1" t="s">
        <v>18</v>
      </c>
      <c r="B1437" s="1" t="s">
        <v>62</v>
      </c>
      <c r="C1437" s="1" t="s">
        <v>76</v>
      </c>
      <c r="D1437" s="2">
        <v>45140</v>
      </c>
      <c r="E1437" s="1" t="s">
        <v>1234</v>
      </c>
      <c r="F1437" s="5">
        <f t="shared" si="89"/>
        <v>6315.53</v>
      </c>
      <c r="G1437" s="1">
        <v>51</v>
      </c>
      <c r="H1437" s="1" t="str">
        <f t="shared" si="90"/>
        <v>High</v>
      </c>
      <c r="I1437" s="1" t="str">
        <f t="shared" si="91"/>
        <v>Other</v>
      </c>
      <c r="J1437" s="1">
        <f t="shared" si="92"/>
        <v>368744.14999999991</v>
      </c>
    </row>
    <row r="1438" spans="1:10" ht="12.75">
      <c r="A1438" s="1" t="s">
        <v>12</v>
      </c>
      <c r="B1438" s="1" t="s">
        <v>59</v>
      </c>
      <c r="C1438" s="1" t="s">
        <v>68</v>
      </c>
      <c r="D1438" s="2">
        <v>45128</v>
      </c>
      <c r="E1438" s="1" t="s">
        <v>1235</v>
      </c>
      <c r="F1438" s="5">
        <f t="shared" si="89"/>
        <v>10630.08</v>
      </c>
      <c r="G1438" s="1">
        <v>155</v>
      </c>
      <c r="H1438" s="1" t="str">
        <f t="shared" si="90"/>
        <v>High</v>
      </c>
      <c r="I1438" s="1" t="str">
        <f t="shared" si="91"/>
        <v>Other</v>
      </c>
      <c r="J1438" s="1">
        <f t="shared" si="92"/>
        <v>368744.14999999991</v>
      </c>
    </row>
    <row r="1439" spans="1:10" ht="12.75">
      <c r="A1439" s="1" t="s">
        <v>24</v>
      </c>
      <c r="B1439" s="1" t="s">
        <v>42</v>
      </c>
      <c r="C1439" s="1" t="s">
        <v>76</v>
      </c>
      <c r="D1439" s="2">
        <v>45097</v>
      </c>
      <c r="E1439" s="1" t="s">
        <v>1236</v>
      </c>
      <c r="F1439" s="5">
        <f t="shared" si="89"/>
        <v>167.33</v>
      </c>
      <c r="G1439" s="1">
        <v>143</v>
      </c>
      <c r="H1439" s="1" t="str">
        <f t="shared" si="90"/>
        <v>Low</v>
      </c>
      <c r="I1439" s="1" t="str">
        <f t="shared" si="91"/>
        <v>Other</v>
      </c>
      <c r="J1439" s="1">
        <f t="shared" si="92"/>
        <v>368744.14999999991</v>
      </c>
    </row>
    <row r="1440" spans="1:10" ht="12.75">
      <c r="A1440" s="1" t="s">
        <v>26</v>
      </c>
      <c r="B1440" s="1" t="s">
        <v>42</v>
      </c>
      <c r="C1440" s="1" t="s">
        <v>52</v>
      </c>
      <c r="D1440" s="2">
        <v>45099</v>
      </c>
      <c r="E1440" s="1" t="s">
        <v>1237</v>
      </c>
      <c r="F1440" s="5">
        <f t="shared" si="89"/>
        <v>2690.14</v>
      </c>
      <c r="G1440" s="1">
        <v>117</v>
      </c>
      <c r="H1440" s="1" t="str">
        <f t="shared" si="90"/>
        <v>High</v>
      </c>
      <c r="I1440" s="1" t="str">
        <f t="shared" si="91"/>
        <v>Other</v>
      </c>
      <c r="J1440" s="1">
        <f t="shared" si="92"/>
        <v>368744.14999999991</v>
      </c>
    </row>
    <row r="1441" spans="1:10" ht="12.75">
      <c r="A1441" s="1" t="s">
        <v>25</v>
      </c>
      <c r="B1441" s="1" t="s">
        <v>5</v>
      </c>
      <c r="C1441" s="1" t="s">
        <v>126</v>
      </c>
      <c r="D1441" s="2">
        <v>45048</v>
      </c>
      <c r="E1441" s="1" t="s">
        <v>1238</v>
      </c>
      <c r="F1441" s="5">
        <f t="shared" si="89"/>
        <v>3242.04</v>
      </c>
      <c r="G1441" s="1">
        <v>15</v>
      </c>
      <c r="H1441" s="1" t="str">
        <f t="shared" si="90"/>
        <v>High</v>
      </c>
      <c r="I1441" s="1" t="str">
        <f t="shared" si="91"/>
        <v>Other</v>
      </c>
      <c r="J1441" s="1">
        <f t="shared" si="92"/>
        <v>368744.14999999991</v>
      </c>
    </row>
    <row r="1442" spans="1:10" ht="12.75">
      <c r="A1442" s="1" t="s">
        <v>24</v>
      </c>
      <c r="B1442" s="1" t="s">
        <v>5</v>
      </c>
      <c r="C1442" s="1" t="s">
        <v>51</v>
      </c>
      <c r="D1442" s="2">
        <v>44933</v>
      </c>
      <c r="E1442" s="1" t="s">
        <v>1239</v>
      </c>
      <c r="F1442" s="5">
        <f t="shared" si="89"/>
        <v>5363.69</v>
      </c>
      <c r="G1442" s="1">
        <v>87</v>
      </c>
      <c r="H1442" s="1" t="str">
        <f t="shared" si="90"/>
        <v>High</v>
      </c>
      <c r="I1442" s="1" t="str">
        <f t="shared" si="91"/>
        <v>Other</v>
      </c>
      <c r="J1442" s="1">
        <f t="shared" si="92"/>
        <v>368744.14999999991</v>
      </c>
    </row>
    <row r="1443" spans="1:10" ht="12.75">
      <c r="A1443" s="1" t="s">
        <v>2</v>
      </c>
      <c r="B1443" s="1" t="s">
        <v>39</v>
      </c>
      <c r="C1443" s="1" t="s">
        <v>55</v>
      </c>
      <c r="D1443" s="2">
        <v>44978</v>
      </c>
      <c r="E1443" s="1" t="s">
        <v>1240</v>
      </c>
      <c r="F1443" s="5">
        <f t="shared" si="89"/>
        <v>6160.89</v>
      </c>
      <c r="G1443" s="1">
        <v>95</v>
      </c>
      <c r="H1443" s="1" t="str">
        <f t="shared" si="90"/>
        <v>High</v>
      </c>
      <c r="I1443" s="1" t="str">
        <f t="shared" si="91"/>
        <v>Other</v>
      </c>
      <c r="J1443" s="1">
        <f t="shared" si="92"/>
        <v>368744.14999999991</v>
      </c>
    </row>
    <row r="1444" spans="1:10" ht="12.75">
      <c r="A1444" s="1" t="s">
        <v>17</v>
      </c>
      <c r="B1444" s="1" t="s">
        <v>62</v>
      </c>
      <c r="C1444" s="1" t="s">
        <v>122</v>
      </c>
      <c r="D1444" s="2">
        <v>45006</v>
      </c>
      <c r="E1444" s="1" t="s">
        <v>1241</v>
      </c>
      <c r="F1444" s="5">
        <f t="shared" si="89"/>
        <v>7968.23</v>
      </c>
      <c r="G1444" s="1">
        <v>373</v>
      </c>
      <c r="H1444" s="1" t="str">
        <f t="shared" si="90"/>
        <v>High</v>
      </c>
      <c r="I1444" s="1" t="str">
        <f t="shared" si="91"/>
        <v>Other</v>
      </c>
      <c r="J1444" s="1">
        <f t="shared" si="92"/>
        <v>362583.25999999995</v>
      </c>
    </row>
    <row r="1445" spans="1:10" ht="12.75">
      <c r="A1445" s="1" t="s">
        <v>10</v>
      </c>
      <c r="B1445" s="1" t="s">
        <v>39</v>
      </c>
      <c r="C1445" s="1" t="s">
        <v>65</v>
      </c>
      <c r="D1445" s="2">
        <v>45020</v>
      </c>
      <c r="E1445" s="1" t="s">
        <v>1242</v>
      </c>
      <c r="F1445" s="5">
        <f t="shared" si="89"/>
        <v>6388.95</v>
      </c>
      <c r="G1445" s="1">
        <v>131</v>
      </c>
      <c r="H1445" s="1" t="str">
        <f t="shared" si="90"/>
        <v>High</v>
      </c>
      <c r="I1445" s="1" t="str">
        <f t="shared" si="91"/>
        <v>Other</v>
      </c>
      <c r="J1445" s="1">
        <f t="shared" si="92"/>
        <v>362583.25999999995</v>
      </c>
    </row>
    <row r="1446" spans="1:10" ht="12.75">
      <c r="A1446" s="1" t="s">
        <v>23</v>
      </c>
      <c r="B1446" s="1" t="s">
        <v>62</v>
      </c>
      <c r="C1446" s="1" t="s">
        <v>81</v>
      </c>
      <c r="D1446" s="2">
        <v>45009</v>
      </c>
      <c r="E1446" s="1" t="s">
        <v>1243</v>
      </c>
      <c r="F1446" s="5">
        <f t="shared" si="89"/>
        <v>15840.74</v>
      </c>
      <c r="G1446" s="1">
        <v>216</v>
      </c>
      <c r="H1446" s="1" t="str">
        <f t="shared" si="90"/>
        <v>High</v>
      </c>
      <c r="I1446" s="1" t="str">
        <f t="shared" si="91"/>
        <v>Other</v>
      </c>
      <c r="J1446" s="1">
        <f t="shared" si="92"/>
        <v>362583.25999999995</v>
      </c>
    </row>
    <row r="1447" spans="1:10" ht="12.75">
      <c r="A1447" s="1" t="s">
        <v>23</v>
      </c>
      <c r="B1447" s="1" t="s">
        <v>54</v>
      </c>
      <c r="C1447" s="1" t="s">
        <v>76</v>
      </c>
      <c r="D1447" s="2">
        <v>45105</v>
      </c>
      <c r="E1447" s="1" t="s">
        <v>1244</v>
      </c>
      <c r="F1447" s="5">
        <f t="shared" si="89"/>
        <v>7265.05</v>
      </c>
      <c r="G1447" s="1">
        <v>194</v>
      </c>
      <c r="H1447" s="1" t="str">
        <f t="shared" si="90"/>
        <v>High</v>
      </c>
      <c r="I1447" s="1" t="str">
        <f t="shared" si="91"/>
        <v>Other</v>
      </c>
      <c r="J1447" s="1">
        <f t="shared" si="92"/>
        <v>362583.25999999995</v>
      </c>
    </row>
    <row r="1448" spans="1:10" ht="12.75">
      <c r="A1448" s="1" t="s">
        <v>23</v>
      </c>
      <c r="B1448" s="1" t="s">
        <v>5</v>
      </c>
      <c r="C1448" s="1" t="s">
        <v>65</v>
      </c>
      <c r="D1448" s="2">
        <v>44940</v>
      </c>
      <c r="E1448" s="1" t="s">
        <v>1245</v>
      </c>
      <c r="F1448" s="5">
        <f t="shared" si="89"/>
        <v>2342.4899999999998</v>
      </c>
      <c r="G1448" s="1">
        <v>192</v>
      </c>
      <c r="H1448" s="1" t="str">
        <f t="shared" si="90"/>
        <v>High</v>
      </c>
      <c r="I1448" s="1" t="str">
        <f t="shared" si="91"/>
        <v>Other</v>
      </c>
      <c r="J1448" s="1">
        <f t="shared" si="92"/>
        <v>362583.25999999995</v>
      </c>
    </row>
    <row r="1449" spans="1:10" ht="12.75">
      <c r="A1449" s="1" t="s">
        <v>18</v>
      </c>
      <c r="B1449" s="1" t="s">
        <v>54</v>
      </c>
      <c r="C1449" s="1" t="s">
        <v>81</v>
      </c>
      <c r="D1449" s="2">
        <v>44964</v>
      </c>
      <c r="E1449" s="1" t="s">
        <v>1246</v>
      </c>
      <c r="F1449" s="5">
        <f t="shared" si="89"/>
        <v>1365.88</v>
      </c>
      <c r="G1449" s="1">
        <v>147</v>
      </c>
      <c r="H1449" s="1" t="str">
        <f t="shared" si="90"/>
        <v>High</v>
      </c>
      <c r="I1449" s="1" t="str">
        <f t="shared" si="91"/>
        <v>Other</v>
      </c>
      <c r="J1449" s="1">
        <f t="shared" si="92"/>
        <v>362583.25999999995</v>
      </c>
    </row>
    <row r="1450" spans="1:10" ht="12.75">
      <c r="A1450" s="1" t="s">
        <v>6</v>
      </c>
      <c r="B1450" s="1" t="s">
        <v>54</v>
      </c>
      <c r="C1450" s="1" t="s">
        <v>65</v>
      </c>
      <c r="D1450" s="2">
        <v>44937</v>
      </c>
      <c r="E1450" s="1" t="s">
        <v>1247</v>
      </c>
      <c r="F1450" s="5">
        <f t="shared" si="89"/>
        <v>4437.46</v>
      </c>
      <c r="G1450" s="1">
        <v>196</v>
      </c>
      <c r="H1450" s="1" t="str">
        <f t="shared" si="90"/>
        <v>High</v>
      </c>
      <c r="I1450" s="1" t="str">
        <f t="shared" si="91"/>
        <v>Other</v>
      </c>
      <c r="J1450" s="1">
        <f t="shared" si="92"/>
        <v>362583.25999999995</v>
      </c>
    </row>
    <row r="1451" spans="1:10" ht="12.75">
      <c r="A1451" s="1" t="s">
        <v>11</v>
      </c>
      <c r="B1451" s="1" t="s">
        <v>42</v>
      </c>
      <c r="C1451" s="1" t="s">
        <v>51</v>
      </c>
      <c r="D1451" s="2">
        <v>44982</v>
      </c>
      <c r="E1451" s="1" t="s">
        <v>1248</v>
      </c>
      <c r="F1451" s="5">
        <f t="shared" si="89"/>
        <v>2072.2399999999998</v>
      </c>
      <c r="G1451" s="1">
        <v>232</v>
      </c>
      <c r="H1451" s="1" t="str">
        <f t="shared" si="90"/>
        <v>High</v>
      </c>
      <c r="I1451" s="1" t="str">
        <f t="shared" si="91"/>
        <v>Other</v>
      </c>
      <c r="J1451" s="1">
        <f t="shared" si="92"/>
        <v>362583.25999999995</v>
      </c>
    </row>
    <row r="1452" spans="1:10" ht="12.75">
      <c r="A1452" s="1" t="s">
        <v>21</v>
      </c>
      <c r="B1452" s="1" t="s">
        <v>5</v>
      </c>
      <c r="C1452" s="1" t="s">
        <v>40</v>
      </c>
      <c r="D1452" s="2">
        <v>45139</v>
      </c>
      <c r="E1452" s="1" t="s">
        <v>1249</v>
      </c>
      <c r="F1452" s="5">
        <f t="shared" si="89"/>
        <v>7091.81</v>
      </c>
      <c r="G1452" s="1">
        <v>27</v>
      </c>
      <c r="H1452" s="1" t="str">
        <f t="shared" si="90"/>
        <v>High</v>
      </c>
      <c r="I1452" s="1" t="str">
        <f t="shared" si="91"/>
        <v>Other</v>
      </c>
      <c r="J1452" s="1">
        <f t="shared" si="92"/>
        <v>362583.25999999995</v>
      </c>
    </row>
    <row r="1453" spans="1:10" ht="12.75">
      <c r="A1453" s="1" t="s">
        <v>26</v>
      </c>
      <c r="B1453" s="1" t="s">
        <v>5</v>
      </c>
      <c r="C1453" s="1" t="s">
        <v>40</v>
      </c>
      <c r="D1453" s="2">
        <v>45051</v>
      </c>
      <c r="E1453" s="1" t="s">
        <v>1250</v>
      </c>
      <c r="F1453" s="5">
        <f t="shared" si="89"/>
        <v>7213.16</v>
      </c>
      <c r="G1453" s="1">
        <v>277</v>
      </c>
      <c r="H1453" s="1" t="str">
        <f t="shared" si="90"/>
        <v>High</v>
      </c>
      <c r="I1453" s="1" t="str">
        <f t="shared" si="91"/>
        <v>Other</v>
      </c>
      <c r="J1453" s="1">
        <f t="shared" si="92"/>
        <v>362583.25999999995</v>
      </c>
    </row>
    <row r="1454" spans="1:10" ht="12.75">
      <c r="A1454" s="1" t="s">
        <v>9</v>
      </c>
      <c r="B1454" s="1" t="s">
        <v>54</v>
      </c>
      <c r="C1454" s="1" t="s">
        <v>100</v>
      </c>
      <c r="D1454" s="2">
        <v>45064</v>
      </c>
      <c r="E1454" s="1" t="s">
        <v>1251</v>
      </c>
      <c r="F1454" s="5">
        <f t="shared" si="89"/>
        <v>9672.76</v>
      </c>
      <c r="G1454" s="1">
        <v>411</v>
      </c>
      <c r="H1454" s="1" t="str">
        <f t="shared" si="90"/>
        <v>High</v>
      </c>
      <c r="I1454" s="1" t="str">
        <f t="shared" si="91"/>
        <v>Other</v>
      </c>
      <c r="J1454" s="1">
        <f t="shared" si="92"/>
        <v>362583.25999999995</v>
      </c>
    </row>
    <row r="1455" spans="1:10" ht="12.75">
      <c r="A1455" s="1" t="s">
        <v>21</v>
      </c>
      <c r="B1455" s="1" t="s">
        <v>54</v>
      </c>
      <c r="C1455" s="1" t="s">
        <v>102</v>
      </c>
      <c r="D1455" s="2">
        <v>44930</v>
      </c>
      <c r="E1455" s="1" t="s">
        <v>1252</v>
      </c>
      <c r="F1455" s="5">
        <f t="shared" si="89"/>
        <v>5750.05</v>
      </c>
      <c r="G1455" s="1">
        <v>350</v>
      </c>
      <c r="H1455" s="1" t="str">
        <f t="shared" si="90"/>
        <v>High</v>
      </c>
      <c r="I1455" s="1" t="str">
        <f t="shared" si="91"/>
        <v>Other</v>
      </c>
      <c r="J1455" s="1">
        <f t="shared" si="92"/>
        <v>362583.25999999995</v>
      </c>
    </row>
    <row r="1456" spans="1:10" ht="12.75">
      <c r="A1456" s="1" t="s">
        <v>26</v>
      </c>
      <c r="B1456" s="1" t="s">
        <v>54</v>
      </c>
      <c r="C1456" s="1" t="s">
        <v>55</v>
      </c>
      <c r="D1456" s="2">
        <v>45055</v>
      </c>
      <c r="E1456" s="1" t="s">
        <v>1253</v>
      </c>
      <c r="F1456" s="5">
        <f t="shared" si="89"/>
        <v>4641.29</v>
      </c>
      <c r="G1456" s="1">
        <v>220</v>
      </c>
      <c r="H1456" s="1" t="str">
        <f t="shared" si="90"/>
        <v>High</v>
      </c>
      <c r="I1456" s="1" t="str">
        <f t="shared" si="91"/>
        <v>Other</v>
      </c>
      <c r="J1456" s="1">
        <f t="shared" si="92"/>
        <v>362583.25999999995</v>
      </c>
    </row>
    <row r="1457" spans="1:10" ht="12.75">
      <c r="A1457" s="1" t="s">
        <v>19</v>
      </c>
      <c r="B1457" s="1" t="s">
        <v>42</v>
      </c>
      <c r="C1457" s="1" t="s">
        <v>49</v>
      </c>
      <c r="D1457" s="2">
        <v>45052</v>
      </c>
      <c r="E1457" s="1" t="s">
        <v>1254</v>
      </c>
      <c r="F1457" s="5">
        <f t="shared" si="89"/>
        <v>1871.33</v>
      </c>
      <c r="G1457" s="1">
        <v>88</v>
      </c>
      <c r="H1457" s="1" t="str">
        <f t="shared" si="90"/>
        <v>High</v>
      </c>
      <c r="I1457" s="1" t="str">
        <f t="shared" si="91"/>
        <v>Other</v>
      </c>
      <c r="J1457" s="1">
        <f t="shared" si="92"/>
        <v>362583.25999999995</v>
      </c>
    </row>
    <row r="1458" spans="1:10" ht="12.75">
      <c r="A1458" s="1" t="s">
        <v>13</v>
      </c>
      <c r="B1458" s="1" t="s">
        <v>39</v>
      </c>
      <c r="C1458" s="1" t="s">
        <v>84</v>
      </c>
      <c r="D1458" s="2">
        <v>44939</v>
      </c>
      <c r="E1458" s="1" t="s">
        <v>1255</v>
      </c>
      <c r="F1458" s="5">
        <f t="shared" si="89"/>
        <v>10843.46</v>
      </c>
      <c r="G1458" s="1">
        <v>142</v>
      </c>
      <c r="H1458" s="1" t="str">
        <f t="shared" si="90"/>
        <v>High</v>
      </c>
      <c r="I1458" s="1" t="str">
        <f t="shared" si="91"/>
        <v>Other</v>
      </c>
      <c r="J1458" s="1">
        <f t="shared" si="92"/>
        <v>362583.25999999995</v>
      </c>
    </row>
    <row r="1459" spans="1:10" ht="12.75">
      <c r="A1459" s="1" t="s">
        <v>26</v>
      </c>
      <c r="B1459" s="1" t="s">
        <v>5</v>
      </c>
      <c r="C1459" s="1" t="s">
        <v>91</v>
      </c>
      <c r="D1459" s="2">
        <v>45101</v>
      </c>
      <c r="E1459" s="1" t="s">
        <v>1256</v>
      </c>
      <c r="F1459" s="5">
        <f t="shared" si="89"/>
        <v>5032.45</v>
      </c>
      <c r="G1459" s="1">
        <v>79</v>
      </c>
      <c r="H1459" s="1" t="str">
        <f t="shared" si="90"/>
        <v>High</v>
      </c>
      <c r="I1459" s="1" t="str">
        <f t="shared" si="91"/>
        <v>Other</v>
      </c>
      <c r="J1459" s="1">
        <f t="shared" si="92"/>
        <v>362583.25999999995</v>
      </c>
    </row>
    <row r="1460" spans="1:10" ht="12.75">
      <c r="A1460" s="1" t="s">
        <v>10</v>
      </c>
      <c r="B1460" s="1" t="s">
        <v>59</v>
      </c>
      <c r="C1460" s="1" t="s">
        <v>126</v>
      </c>
      <c r="D1460" s="2">
        <v>44971</v>
      </c>
      <c r="E1460" s="1" t="s">
        <v>1257</v>
      </c>
      <c r="F1460" s="5">
        <f t="shared" si="89"/>
        <v>1106.3800000000001</v>
      </c>
      <c r="G1460" s="1">
        <v>21</v>
      </c>
      <c r="H1460" s="1" t="str">
        <f t="shared" si="90"/>
        <v>High</v>
      </c>
      <c r="I1460" s="1" t="str">
        <f t="shared" si="91"/>
        <v>Other</v>
      </c>
      <c r="J1460" s="1">
        <f t="shared" si="92"/>
        <v>362583.25999999995</v>
      </c>
    </row>
    <row r="1461" spans="1:10" ht="12.75">
      <c r="A1461" s="1" t="s">
        <v>25</v>
      </c>
      <c r="B1461" s="1" t="s">
        <v>5</v>
      </c>
      <c r="C1461" s="1" t="s">
        <v>51</v>
      </c>
      <c r="D1461" s="2">
        <v>44944</v>
      </c>
      <c r="E1461" s="1" t="s">
        <v>1258</v>
      </c>
      <c r="F1461" s="5">
        <f t="shared" si="89"/>
        <v>4977.55</v>
      </c>
      <c r="G1461" s="1">
        <v>97</v>
      </c>
      <c r="H1461" s="1" t="str">
        <f t="shared" si="90"/>
        <v>High</v>
      </c>
      <c r="I1461" s="1" t="str">
        <f t="shared" si="91"/>
        <v>Other</v>
      </c>
      <c r="J1461" s="1">
        <f t="shared" si="92"/>
        <v>362583.25999999995</v>
      </c>
    </row>
    <row r="1462" spans="1:10" ht="12.75">
      <c r="A1462" s="1" t="s">
        <v>8</v>
      </c>
      <c r="B1462" s="1" t="s">
        <v>42</v>
      </c>
      <c r="C1462" s="1" t="s">
        <v>72</v>
      </c>
      <c r="D1462" s="2">
        <v>45048</v>
      </c>
      <c r="E1462" s="1" t="s">
        <v>1259</v>
      </c>
      <c r="F1462" s="5">
        <f t="shared" si="89"/>
        <v>3210.14</v>
      </c>
      <c r="G1462" s="1">
        <v>92</v>
      </c>
      <c r="H1462" s="1" t="str">
        <f t="shared" si="90"/>
        <v>High</v>
      </c>
      <c r="I1462" s="1" t="str">
        <f t="shared" si="91"/>
        <v>Other</v>
      </c>
      <c r="J1462" s="1">
        <f t="shared" si="92"/>
        <v>362583.25999999995</v>
      </c>
    </row>
    <row r="1463" spans="1:10" ht="12.75">
      <c r="A1463" s="1" t="s">
        <v>17</v>
      </c>
      <c r="B1463" s="1" t="s">
        <v>5</v>
      </c>
      <c r="C1463" s="1" t="s">
        <v>49</v>
      </c>
      <c r="D1463" s="2">
        <v>45062</v>
      </c>
      <c r="E1463" s="1" t="s">
        <v>1260</v>
      </c>
      <c r="F1463" s="5">
        <f t="shared" si="89"/>
        <v>7794.8</v>
      </c>
      <c r="G1463" s="1">
        <v>54</v>
      </c>
      <c r="H1463" s="1" t="str">
        <f t="shared" si="90"/>
        <v>High</v>
      </c>
      <c r="I1463" s="1" t="str">
        <f t="shared" si="91"/>
        <v>Other</v>
      </c>
      <c r="J1463" s="1">
        <f t="shared" si="92"/>
        <v>362583.25999999995</v>
      </c>
    </row>
    <row r="1464" spans="1:10" ht="12.75">
      <c r="A1464" s="1" t="s">
        <v>2</v>
      </c>
      <c r="B1464" s="1" t="s">
        <v>59</v>
      </c>
      <c r="C1464" s="1" t="s">
        <v>91</v>
      </c>
      <c r="D1464" s="2">
        <v>44954</v>
      </c>
      <c r="E1464" s="1" t="s">
        <v>1261</v>
      </c>
      <c r="F1464" s="5">
        <f t="shared" si="89"/>
        <v>7613.37</v>
      </c>
      <c r="G1464" s="1">
        <v>370</v>
      </c>
      <c r="H1464" s="1" t="str">
        <f t="shared" si="90"/>
        <v>High</v>
      </c>
      <c r="I1464" s="1" t="str">
        <f t="shared" si="91"/>
        <v>Other</v>
      </c>
      <c r="J1464" s="1">
        <f t="shared" si="92"/>
        <v>362583.25999999995</v>
      </c>
    </row>
    <row r="1465" spans="1:10" ht="12.75">
      <c r="A1465" s="1" t="s">
        <v>8</v>
      </c>
      <c r="B1465" s="1" t="s">
        <v>62</v>
      </c>
      <c r="C1465" s="1" t="s">
        <v>51</v>
      </c>
      <c r="D1465" s="2">
        <v>45101</v>
      </c>
      <c r="E1465" s="1" t="s">
        <v>1262</v>
      </c>
      <c r="F1465" s="5">
        <f t="shared" si="89"/>
        <v>1332.76</v>
      </c>
      <c r="G1465" s="1">
        <v>409</v>
      </c>
      <c r="H1465" s="1" t="str">
        <f t="shared" si="90"/>
        <v>High</v>
      </c>
      <c r="I1465" s="1" t="str">
        <f t="shared" si="91"/>
        <v>Other</v>
      </c>
      <c r="J1465" s="1">
        <f t="shared" si="92"/>
        <v>354969.88999999996</v>
      </c>
    </row>
    <row r="1466" spans="1:10" ht="12.75">
      <c r="A1466" s="1" t="s">
        <v>22</v>
      </c>
      <c r="B1466" s="1" t="s">
        <v>39</v>
      </c>
      <c r="C1466" s="1" t="s">
        <v>52</v>
      </c>
      <c r="D1466" s="2">
        <v>45125</v>
      </c>
      <c r="E1466" s="1" t="s">
        <v>1263</v>
      </c>
      <c r="F1466" s="5">
        <f t="shared" si="89"/>
        <v>2587.7600000000002</v>
      </c>
      <c r="G1466" s="1">
        <v>108</v>
      </c>
      <c r="H1466" s="1" t="str">
        <f t="shared" si="90"/>
        <v>High</v>
      </c>
      <c r="I1466" s="1" t="str">
        <f t="shared" si="91"/>
        <v>Other</v>
      </c>
      <c r="J1466" s="1">
        <f t="shared" si="92"/>
        <v>354969.88999999996</v>
      </c>
    </row>
    <row r="1467" spans="1:10" ht="12.75">
      <c r="A1467" s="1" t="s">
        <v>23</v>
      </c>
      <c r="B1467" s="1" t="s">
        <v>39</v>
      </c>
      <c r="C1467" s="1" t="s">
        <v>63</v>
      </c>
      <c r="D1467" s="2">
        <v>45029</v>
      </c>
      <c r="E1467" s="1" t="s">
        <v>1264</v>
      </c>
      <c r="F1467" s="5">
        <f t="shared" si="89"/>
        <v>3826.22</v>
      </c>
      <c r="G1467" s="1">
        <v>169</v>
      </c>
      <c r="H1467" s="1" t="str">
        <f t="shared" si="90"/>
        <v>High</v>
      </c>
      <c r="I1467" s="1" t="str">
        <f t="shared" si="91"/>
        <v>Other</v>
      </c>
      <c r="J1467" s="1">
        <f t="shared" si="92"/>
        <v>354969.88999999996</v>
      </c>
    </row>
    <row r="1468" spans="1:10" ht="12.75">
      <c r="A1468" s="1" t="s">
        <v>21</v>
      </c>
      <c r="B1468" s="1" t="s">
        <v>59</v>
      </c>
      <c r="C1468" s="1" t="s">
        <v>126</v>
      </c>
      <c r="D1468" s="2">
        <v>45031</v>
      </c>
      <c r="E1468" s="1" t="s">
        <v>1265</v>
      </c>
      <c r="F1468" s="5">
        <f t="shared" si="89"/>
        <v>18687.87</v>
      </c>
      <c r="G1468" s="1">
        <v>80</v>
      </c>
      <c r="H1468" s="1" t="str">
        <f t="shared" si="90"/>
        <v>High</v>
      </c>
      <c r="I1468" s="1" t="str">
        <f t="shared" si="91"/>
        <v>Other</v>
      </c>
      <c r="J1468" s="1">
        <f t="shared" si="92"/>
        <v>354969.88999999996</v>
      </c>
    </row>
    <row r="1469" spans="1:10" ht="12.75">
      <c r="A1469" s="1" t="s">
        <v>15</v>
      </c>
      <c r="B1469" s="1" t="s">
        <v>42</v>
      </c>
      <c r="C1469" s="1" t="s">
        <v>45</v>
      </c>
      <c r="D1469" s="2">
        <v>44930</v>
      </c>
      <c r="E1469" s="1" t="s">
        <v>1266</v>
      </c>
      <c r="F1469" s="5">
        <f t="shared" si="89"/>
        <v>8859.6299999999992</v>
      </c>
      <c r="G1469" s="1">
        <v>184</v>
      </c>
      <c r="H1469" s="1" t="str">
        <f t="shared" si="90"/>
        <v>High</v>
      </c>
      <c r="I1469" s="1" t="str">
        <f t="shared" si="91"/>
        <v>Other</v>
      </c>
      <c r="J1469" s="1">
        <f t="shared" si="92"/>
        <v>354969.88999999996</v>
      </c>
    </row>
    <row r="1470" spans="1:10" ht="12.75">
      <c r="A1470" s="1" t="s">
        <v>13</v>
      </c>
      <c r="B1470" s="1" t="s">
        <v>5</v>
      </c>
      <c r="C1470" s="1" t="s">
        <v>63</v>
      </c>
      <c r="D1470" s="2">
        <v>45111</v>
      </c>
      <c r="E1470" s="1" t="s">
        <v>1267</v>
      </c>
      <c r="F1470" s="5">
        <f t="shared" si="89"/>
        <v>7299.4</v>
      </c>
      <c r="G1470" s="1">
        <v>34</v>
      </c>
      <c r="H1470" s="1" t="str">
        <f t="shared" si="90"/>
        <v>High</v>
      </c>
      <c r="I1470" s="1" t="str">
        <f t="shared" si="91"/>
        <v>Other</v>
      </c>
      <c r="J1470" s="1">
        <f t="shared" si="92"/>
        <v>354969.88999999996</v>
      </c>
    </row>
    <row r="1471" spans="1:10" ht="12.75">
      <c r="A1471" s="1" t="s">
        <v>28</v>
      </c>
      <c r="B1471" s="1" t="s">
        <v>59</v>
      </c>
      <c r="C1471" s="1" t="s">
        <v>49</v>
      </c>
      <c r="D1471" s="2">
        <v>45009</v>
      </c>
      <c r="E1471" s="1" t="s">
        <v>1268</v>
      </c>
      <c r="F1471" s="5">
        <f t="shared" si="89"/>
        <v>2556.2600000000002</v>
      </c>
      <c r="G1471" s="1">
        <v>354</v>
      </c>
      <c r="H1471" s="1" t="str">
        <f t="shared" si="90"/>
        <v>High</v>
      </c>
      <c r="I1471" s="1" t="str">
        <f t="shared" si="91"/>
        <v>Other</v>
      </c>
      <c r="J1471" s="1">
        <f t="shared" si="92"/>
        <v>354969.88999999996</v>
      </c>
    </row>
    <row r="1472" spans="1:10" ht="12.75">
      <c r="A1472" s="1" t="s">
        <v>25</v>
      </c>
      <c r="B1472" s="1" t="s">
        <v>5</v>
      </c>
      <c r="C1472" s="1" t="s">
        <v>86</v>
      </c>
      <c r="D1472" s="2">
        <v>45002</v>
      </c>
      <c r="E1472" s="1" t="s">
        <v>1269</v>
      </c>
      <c r="F1472" s="5">
        <f t="shared" si="89"/>
        <v>703.4</v>
      </c>
      <c r="G1472" s="1">
        <v>181</v>
      </c>
      <c r="H1472" s="1" t="str">
        <f t="shared" si="90"/>
        <v>Medium</v>
      </c>
      <c r="I1472" s="1" t="str">
        <f t="shared" si="91"/>
        <v>Other</v>
      </c>
      <c r="J1472" s="1">
        <f t="shared" si="92"/>
        <v>354969.88999999996</v>
      </c>
    </row>
    <row r="1473" spans="1:10" ht="12.75">
      <c r="A1473" s="1" t="s">
        <v>22</v>
      </c>
      <c r="B1473" s="1" t="s">
        <v>5</v>
      </c>
      <c r="C1473" s="1" t="s">
        <v>91</v>
      </c>
      <c r="D1473" s="2">
        <v>44972</v>
      </c>
      <c r="E1473" s="1" t="s">
        <v>1270</v>
      </c>
      <c r="F1473" s="5">
        <f t="shared" si="89"/>
        <v>6421.18</v>
      </c>
      <c r="G1473" s="1">
        <v>242</v>
      </c>
      <c r="H1473" s="1" t="str">
        <f t="shared" si="90"/>
        <v>High</v>
      </c>
      <c r="I1473" s="1" t="str">
        <f t="shared" si="91"/>
        <v>Other</v>
      </c>
      <c r="J1473" s="1">
        <f t="shared" si="92"/>
        <v>354969.88999999996</v>
      </c>
    </row>
    <row r="1474" spans="1:10" ht="12.75">
      <c r="A1474" s="1" t="s">
        <v>15</v>
      </c>
      <c r="B1474" s="1" t="s">
        <v>59</v>
      </c>
      <c r="C1474" s="1" t="s">
        <v>60</v>
      </c>
      <c r="D1474" s="2">
        <v>45106</v>
      </c>
      <c r="E1474" s="1" t="s">
        <v>1271</v>
      </c>
      <c r="F1474" s="5">
        <f t="shared" ref="F1474:F1537" si="93">VALUE(SUBSTITUTE(E1474,"$",""))</f>
        <v>1048.26</v>
      </c>
      <c r="G1474" s="1">
        <v>149</v>
      </c>
      <c r="H1474" s="1" t="str">
        <f t="shared" ref="H1474:H1537" si="94">IF(F1474&gt;800,"High",IF(F1474&gt;500,"Medium","Low"))</f>
        <v>High</v>
      </c>
      <c r="I1474" s="1" t="str">
        <f t="shared" ref="I1474:I1537" si="95">IF(AND(B1474="Australia",A1474="Mallorie Waber"),"Top Local","Other")</f>
        <v>Other</v>
      </c>
      <c r="J1474" s="1">
        <f t="shared" ref="J1474:J1537" si="96">SUMIF(A1474:A4754,"Mallorie Waber",F1474:F4754)</f>
        <v>354969.88999999996</v>
      </c>
    </row>
    <row r="1475" spans="1:10" ht="12.75">
      <c r="A1475" s="1" t="s">
        <v>20</v>
      </c>
      <c r="B1475" s="1" t="s">
        <v>59</v>
      </c>
      <c r="C1475" s="1" t="s">
        <v>81</v>
      </c>
      <c r="D1475" s="2">
        <v>45070</v>
      </c>
      <c r="E1475" s="1" t="s">
        <v>1272</v>
      </c>
      <c r="F1475" s="5">
        <f t="shared" si="93"/>
        <v>3099.14</v>
      </c>
      <c r="G1475" s="1">
        <v>115</v>
      </c>
      <c r="H1475" s="1" t="str">
        <f t="shared" si="94"/>
        <v>High</v>
      </c>
      <c r="I1475" s="1" t="str">
        <f t="shared" si="95"/>
        <v>Other</v>
      </c>
      <c r="J1475" s="1">
        <f t="shared" si="96"/>
        <v>354969.88999999996</v>
      </c>
    </row>
    <row r="1476" spans="1:10" ht="12.75">
      <c r="A1476" s="1" t="s">
        <v>2</v>
      </c>
      <c r="B1476" s="1" t="s">
        <v>39</v>
      </c>
      <c r="C1476" s="1" t="s">
        <v>72</v>
      </c>
      <c r="D1476" s="2">
        <v>44936</v>
      </c>
      <c r="E1476" s="1" t="s">
        <v>1273</v>
      </c>
      <c r="F1476" s="5">
        <f t="shared" si="93"/>
        <v>3737.68</v>
      </c>
      <c r="G1476" s="1">
        <v>282</v>
      </c>
      <c r="H1476" s="1" t="str">
        <f t="shared" si="94"/>
        <v>High</v>
      </c>
      <c r="I1476" s="1" t="str">
        <f t="shared" si="95"/>
        <v>Other</v>
      </c>
      <c r="J1476" s="1">
        <f t="shared" si="96"/>
        <v>354969.88999999996</v>
      </c>
    </row>
    <row r="1477" spans="1:10" ht="12.75">
      <c r="A1477" s="1" t="s">
        <v>24</v>
      </c>
      <c r="B1477" s="1" t="s">
        <v>59</v>
      </c>
      <c r="C1477" s="1" t="s">
        <v>100</v>
      </c>
      <c r="D1477" s="2">
        <v>45000</v>
      </c>
      <c r="E1477" s="1" t="s">
        <v>1274</v>
      </c>
      <c r="F1477" s="5">
        <f t="shared" si="93"/>
        <v>3086.89</v>
      </c>
      <c r="G1477" s="1">
        <v>153</v>
      </c>
      <c r="H1477" s="1" t="str">
        <f t="shared" si="94"/>
        <v>High</v>
      </c>
      <c r="I1477" s="1" t="str">
        <f t="shared" si="95"/>
        <v>Other</v>
      </c>
      <c r="J1477" s="1">
        <f t="shared" si="96"/>
        <v>351232.20999999996</v>
      </c>
    </row>
    <row r="1478" spans="1:10" ht="12.75">
      <c r="A1478" s="1" t="s">
        <v>14</v>
      </c>
      <c r="B1478" s="1" t="s">
        <v>62</v>
      </c>
      <c r="C1478" s="1" t="s">
        <v>72</v>
      </c>
      <c r="D1478" s="2">
        <v>44965</v>
      </c>
      <c r="E1478" s="1" t="s">
        <v>1275</v>
      </c>
      <c r="F1478" s="5">
        <f t="shared" si="93"/>
        <v>2618.15</v>
      </c>
      <c r="G1478" s="1">
        <v>312</v>
      </c>
      <c r="H1478" s="1" t="str">
        <f t="shared" si="94"/>
        <v>High</v>
      </c>
      <c r="I1478" s="1" t="str">
        <f t="shared" si="95"/>
        <v>Other</v>
      </c>
      <c r="J1478" s="1">
        <f t="shared" si="96"/>
        <v>351232.20999999996</v>
      </c>
    </row>
    <row r="1479" spans="1:10" ht="12.75">
      <c r="A1479" s="1" t="s">
        <v>7</v>
      </c>
      <c r="B1479" s="1" t="s">
        <v>42</v>
      </c>
      <c r="C1479" s="1" t="s">
        <v>126</v>
      </c>
      <c r="D1479" s="2">
        <v>44982</v>
      </c>
      <c r="E1479" s="1" t="s">
        <v>1276</v>
      </c>
      <c r="F1479" s="5">
        <f t="shared" si="93"/>
        <v>1643.45</v>
      </c>
      <c r="G1479" s="1">
        <v>110</v>
      </c>
      <c r="H1479" s="1" t="str">
        <f t="shared" si="94"/>
        <v>High</v>
      </c>
      <c r="I1479" s="1" t="str">
        <f t="shared" si="95"/>
        <v>Other</v>
      </c>
      <c r="J1479" s="1">
        <f t="shared" si="96"/>
        <v>351232.20999999996</v>
      </c>
    </row>
    <row r="1480" spans="1:10" ht="12.75">
      <c r="A1480" s="1" t="s">
        <v>23</v>
      </c>
      <c r="B1480" s="1" t="s">
        <v>59</v>
      </c>
      <c r="C1480" s="1" t="s">
        <v>63</v>
      </c>
      <c r="D1480" s="2">
        <v>45049</v>
      </c>
      <c r="E1480" s="1" t="s">
        <v>1277</v>
      </c>
      <c r="F1480" s="5">
        <f t="shared" si="93"/>
        <v>7368.94</v>
      </c>
      <c r="G1480" s="1">
        <v>45</v>
      </c>
      <c r="H1480" s="1" t="str">
        <f t="shared" si="94"/>
        <v>High</v>
      </c>
      <c r="I1480" s="1" t="str">
        <f t="shared" si="95"/>
        <v>Other</v>
      </c>
      <c r="J1480" s="1">
        <f t="shared" si="96"/>
        <v>351232.20999999996</v>
      </c>
    </row>
    <row r="1481" spans="1:10" ht="12.75">
      <c r="A1481" s="1" t="s">
        <v>26</v>
      </c>
      <c r="B1481" s="1" t="s">
        <v>59</v>
      </c>
      <c r="C1481" s="1" t="s">
        <v>81</v>
      </c>
      <c r="D1481" s="2">
        <v>45091</v>
      </c>
      <c r="E1481" s="1" t="s">
        <v>1278</v>
      </c>
      <c r="F1481" s="5">
        <f t="shared" si="93"/>
        <v>6082.19</v>
      </c>
      <c r="G1481" s="1">
        <v>23</v>
      </c>
      <c r="H1481" s="1" t="str">
        <f t="shared" si="94"/>
        <v>High</v>
      </c>
      <c r="I1481" s="1" t="str">
        <f t="shared" si="95"/>
        <v>Other</v>
      </c>
      <c r="J1481" s="1">
        <f t="shared" si="96"/>
        <v>351232.20999999996</v>
      </c>
    </row>
    <row r="1482" spans="1:10" ht="12.75">
      <c r="A1482" s="1" t="s">
        <v>23</v>
      </c>
      <c r="B1482" s="1" t="s">
        <v>42</v>
      </c>
      <c r="C1482" s="1" t="s">
        <v>55</v>
      </c>
      <c r="D1482" s="2">
        <v>45147</v>
      </c>
      <c r="E1482" s="1" t="s">
        <v>1279</v>
      </c>
      <c r="F1482" s="5">
        <f t="shared" si="93"/>
        <v>14456.14</v>
      </c>
      <c r="G1482" s="1">
        <v>79</v>
      </c>
      <c r="H1482" s="1" t="str">
        <f t="shared" si="94"/>
        <v>High</v>
      </c>
      <c r="I1482" s="1" t="str">
        <f t="shared" si="95"/>
        <v>Other</v>
      </c>
      <c r="J1482" s="1">
        <f t="shared" si="96"/>
        <v>351232.20999999996</v>
      </c>
    </row>
    <row r="1483" spans="1:10" ht="12.75">
      <c r="A1483" s="1" t="s">
        <v>29</v>
      </c>
      <c r="B1483" s="1" t="s">
        <v>54</v>
      </c>
      <c r="C1483" s="1" t="s">
        <v>86</v>
      </c>
      <c r="D1483" s="2">
        <v>45118</v>
      </c>
      <c r="E1483" s="1" t="s">
        <v>1280</v>
      </c>
      <c r="F1483" s="5">
        <f t="shared" si="93"/>
        <v>4173.3999999999996</v>
      </c>
      <c r="G1483" s="1">
        <v>254</v>
      </c>
      <c r="H1483" s="1" t="str">
        <f t="shared" si="94"/>
        <v>High</v>
      </c>
      <c r="I1483" s="1" t="str">
        <f t="shared" si="95"/>
        <v>Other</v>
      </c>
      <c r="J1483" s="1">
        <f t="shared" si="96"/>
        <v>351232.20999999996</v>
      </c>
    </row>
    <row r="1484" spans="1:10" ht="12.75">
      <c r="A1484" s="1" t="s">
        <v>8</v>
      </c>
      <c r="B1484" s="1" t="s">
        <v>39</v>
      </c>
      <c r="C1484" s="1" t="s">
        <v>86</v>
      </c>
      <c r="D1484" s="2">
        <v>44940</v>
      </c>
      <c r="E1484" s="1" t="s">
        <v>1281</v>
      </c>
      <c r="F1484" s="5">
        <f t="shared" si="93"/>
        <v>7189.18</v>
      </c>
      <c r="G1484" s="1">
        <v>113</v>
      </c>
      <c r="H1484" s="1" t="str">
        <f t="shared" si="94"/>
        <v>High</v>
      </c>
      <c r="I1484" s="1" t="str">
        <f t="shared" si="95"/>
        <v>Other</v>
      </c>
      <c r="J1484" s="1">
        <f t="shared" si="96"/>
        <v>351232.20999999996</v>
      </c>
    </row>
    <row r="1485" spans="1:10" ht="12.75">
      <c r="A1485" s="1" t="s">
        <v>10</v>
      </c>
      <c r="B1485" s="1" t="s">
        <v>62</v>
      </c>
      <c r="C1485" s="1" t="s">
        <v>86</v>
      </c>
      <c r="D1485" s="2">
        <v>44981</v>
      </c>
      <c r="E1485" s="1" t="s">
        <v>1282</v>
      </c>
      <c r="F1485" s="5">
        <f t="shared" si="93"/>
        <v>8962.9599999999991</v>
      </c>
      <c r="G1485" s="1">
        <v>48</v>
      </c>
      <c r="H1485" s="1" t="str">
        <f t="shared" si="94"/>
        <v>High</v>
      </c>
      <c r="I1485" s="1" t="str">
        <f t="shared" si="95"/>
        <v>Other</v>
      </c>
      <c r="J1485" s="1">
        <f t="shared" si="96"/>
        <v>351232.20999999996</v>
      </c>
    </row>
    <row r="1486" spans="1:10" ht="12.75">
      <c r="A1486" s="1" t="s">
        <v>29</v>
      </c>
      <c r="B1486" s="1" t="s">
        <v>54</v>
      </c>
      <c r="C1486" s="1" t="s">
        <v>91</v>
      </c>
      <c r="D1486" s="2">
        <v>45000</v>
      </c>
      <c r="E1486" s="1" t="s">
        <v>1283</v>
      </c>
      <c r="F1486" s="5">
        <f t="shared" si="93"/>
        <v>10085.02</v>
      </c>
      <c r="G1486" s="1">
        <v>146</v>
      </c>
      <c r="H1486" s="1" t="str">
        <f t="shared" si="94"/>
        <v>High</v>
      </c>
      <c r="I1486" s="1" t="str">
        <f t="shared" si="95"/>
        <v>Other</v>
      </c>
      <c r="J1486" s="1">
        <f t="shared" si="96"/>
        <v>351232.20999999996</v>
      </c>
    </row>
    <row r="1487" spans="1:10" ht="12.75">
      <c r="A1487" s="1" t="s">
        <v>22</v>
      </c>
      <c r="B1487" s="1" t="s">
        <v>54</v>
      </c>
      <c r="C1487" s="1" t="s">
        <v>122</v>
      </c>
      <c r="D1487" s="2">
        <v>45041</v>
      </c>
      <c r="E1487" s="1" t="s">
        <v>1284</v>
      </c>
      <c r="F1487" s="5">
        <f t="shared" si="93"/>
        <v>12073.18</v>
      </c>
      <c r="G1487" s="1">
        <v>51</v>
      </c>
      <c r="H1487" s="1" t="str">
        <f t="shared" si="94"/>
        <v>High</v>
      </c>
      <c r="I1487" s="1" t="str">
        <f t="shared" si="95"/>
        <v>Other</v>
      </c>
      <c r="J1487" s="1">
        <f t="shared" si="96"/>
        <v>351232.20999999996</v>
      </c>
    </row>
    <row r="1488" spans="1:10" ht="12.75">
      <c r="A1488" s="1" t="s">
        <v>6</v>
      </c>
      <c r="B1488" s="1" t="s">
        <v>5</v>
      </c>
      <c r="C1488" s="1" t="s">
        <v>68</v>
      </c>
      <c r="D1488" s="2">
        <v>45056</v>
      </c>
      <c r="E1488" s="1" t="s">
        <v>1285</v>
      </c>
      <c r="F1488" s="5">
        <f t="shared" si="93"/>
        <v>6655.62</v>
      </c>
      <c r="G1488" s="1">
        <v>39</v>
      </c>
      <c r="H1488" s="1" t="str">
        <f t="shared" si="94"/>
        <v>High</v>
      </c>
      <c r="I1488" s="1" t="str">
        <f t="shared" si="95"/>
        <v>Other</v>
      </c>
      <c r="J1488" s="1">
        <f t="shared" si="96"/>
        <v>351232.20999999996</v>
      </c>
    </row>
    <row r="1489" spans="1:10" ht="12.75">
      <c r="A1489" s="1" t="s">
        <v>14</v>
      </c>
      <c r="B1489" s="1" t="s">
        <v>5</v>
      </c>
      <c r="C1489" s="1" t="s">
        <v>76</v>
      </c>
      <c r="D1489" s="2">
        <v>45100</v>
      </c>
      <c r="E1489" s="1" t="s">
        <v>1286</v>
      </c>
      <c r="F1489" s="5">
        <f t="shared" si="93"/>
        <v>14193.67</v>
      </c>
      <c r="G1489" s="1">
        <v>302</v>
      </c>
      <c r="H1489" s="1" t="str">
        <f t="shared" si="94"/>
        <v>High</v>
      </c>
      <c r="I1489" s="1" t="str">
        <f t="shared" si="95"/>
        <v>Other</v>
      </c>
      <c r="J1489" s="1">
        <f t="shared" si="96"/>
        <v>351232.20999999996</v>
      </c>
    </row>
    <row r="1490" spans="1:10" ht="12.75">
      <c r="A1490" s="1" t="s">
        <v>28</v>
      </c>
      <c r="B1490" s="1" t="s">
        <v>62</v>
      </c>
      <c r="C1490" s="1" t="s">
        <v>49</v>
      </c>
      <c r="D1490" s="2">
        <v>44985</v>
      </c>
      <c r="E1490" s="1" t="s">
        <v>1287</v>
      </c>
      <c r="F1490" s="5">
        <f t="shared" si="93"/>
        <v>15507.29</v>
      </c>
      <c r="G1490" s="1">
        <v>352</v>
      </c>
      <c r="H1490" s="1" t="str">
        <f t="shared" si="94"/>
        <v>High</v>
      </c>
      <c r="I1490" s="1" t="str">
        <f t="shared" si="95"/>
        <v>Other</v>
      </c>
      <c r="J1490" s="1">
        <f t="shared" si="96"/>
        <v>351232.20999999996</v>
      </c>
    </row>
    <row r="1491" spans="1:10" ht="12.75">
      <c r="A1491" s="1" t="s">
        <v>7</v>
      </c>
      <c r="B1491" s="1" t="s">
        <v>59</v>
      </c>
      <c r="C1491" s="1" t="s">
        <v>68</v>
      </c>
      <c r="D1491" s="2">
        <v>45071</v>
      </c>
      <c r="E1491" s="1" t="s">
        <v>1288</v>
      </c>
      <c r="F1491" s="5">
        <f t="shared" si="93"/>
        <v>17383.080000000002</v>
      </c>
      <c r="G1491" s="1">
        <v>145</v>
      </c>
      <c r="H1491" s="1" t="str">
        <f t="shared" si="94"/>
        <v>High</v>
      </c>
      <c r="I1491" s="1" t="str">
        <f t="shared" si="95"/>
        <v>Other</v>
      </c>
      <c r="J1491" s="1">
        <f t="shared" si="96"/>
        <v>351232.20999999996</v>
      </c>
    </row>
    <row r="1492" spans="1:10" ht="12.75">
      <c r="A1492" s="1" t="s">
        <v>26</v>
      </c>
      <c r="B1492" s="1" t="s">
        <v>54</v>
      </c>
      <c r="C1492" s="1" t="s">
        <v>122</v>
      </c>
      <c r="D1492" s="2">
        <v>44979</v>
      </c>
      <c r="E1492" s="1" t="s">
        <v>1289</v>
      </c>
      <c r="F1492" s="5">
        <f t="shared" si="93"/>
        <v>5912.59</v>
      </c>
      <c r="G1492" s="1">
        <v>232</v>
      </c>
      <c r="H1492" s="1" t="str">
        <f t="shared" si="94"/>
        <v>High</v>
      </c>
      <c r="I1492" s="1" t="str">
        <f t="shared" si="95"/>
        <v>Other</v>
      </c>
      <c r="J1492" s="1">
        <f t="shared" si="96"/>
        <v>351232.20999999996</v>
      </c>
    </row>
    <row r="1493" spans="1:10" ht="12.75">
      <c r="A1493" s="1" t="s">
        <v>10</v>
      </c>
      <c r="B1493" s="1" t="s">
        <v>39</v>
      </c>
      <c r="C1493" s="1" t="s">
        <v>43</v>
      </c>
      <c r="D1493" s="2">
        <v>45118</v>
      </c>
      <c r="E1493" s="1" t="s">
        <v>1290</v>
      </c>
      <c r="F1493" s="5">
        <f t="shared" si="93"/>
        <v>4029.28</v>
      </c>
      <c r="G1493" s="1">
        <v>128</v>
      </c>
      <c r="H1493" s="1" t="str">
        <f t="shared" si="94"/>
        <v>High</v>
      </c>
      <c r="I1493" s="1" t="str">
        <f t="shared" si="95"/>
        <v>Other</v>
      </c>
      <c r="J1493" s="1">
        <f t="shared" si="96"/>
        <v>351232.20999999996</v>
      </c>
    </row>
    <row r="1494" spans="1:10" ht="12.75">
      <c r="A1494" s="1" t="s">
        <v>14</v>
      </c>
      <c r="B1494" s="1" t="s">
        <v>62</v>
      </c>
      <c r="C1494" s="1" t="s">
        <v>76</v>
      </c>
      <c r="D1494" s="2">
        <v>44929</v>
      </c>
      <c r="E1494" s="1" t="s">
        <v>1291</v>
      </c>
      <c r="F1494" s="5">
        <f t="shared" si="93"/>
        <v>3563.09</v>
      </c>
      <c r="G1494" s="1">
        <v>344</v>
      </c>
      <c r="H1494" s="1" t="str">
        <f t="shared" si="94"/>
        <v>High</v>
      </c>
      <c r="I1494" s="1" t="str">
        <f t="shared" si="95"/>
        <v>Other</v>
      </c>
      <c r="J1494" s="1">
        <f t="shared" si="96"/>
        <v>351232.20999999996</v>
      </c>
    </row>
    <row r="1495" spans="1:10" ht="12.75">
      <c r="A1495" s="1" t="s">
        <v>19</v>
      </c>
      <c r="B1495" s="1" t="s">
        <v>54</v>
      </c>
      <c r="C1495" s="1" t="s">
        <v>147</v>
      </c>
      <c r="D1495" s="2">
        <v>45162</v>
      </c>
      <c r="E1495" s="1" t="s">
        <v>1292</v>
      </c>
      <c r="F1495" s="5">
        <f t="shared" si="93"/>
        <v>773.73</v>
      </c>
      <c r="G1495" s="1">
        <v>280</v>
      </c>
      <c r="H1495" s="1" t="str">
        <f t="shared" si="94"/>
        <v>Medium</v>
      </c>
      <c r="I1495" s="1" t="str">
        <f t="shared" si="95"/>
        <v>Other</v>
      </c>
      <c r="J1495" s="1">
        <f t="shared" si="96"/>
        <v>351232.20999999996</v>
      </c>
    </row>
    <row r="1496" spans="1:10" ht="12.75">
      <c r="A1496" s="1" t="s">
        <v>28</v>
      </c>
      <c r="B1496" s="1" t="s">
        <v>59</v>
      </c>
      <c r="C1496" s="1" t="s">
        <v>55</v>
      </c>
      <c r="D1496" s="2">
        <v>45135</v>
      </c>
      <c r="E1496" s="1" t="s">
        <v>1293</v>
      </c>
      <c r="F1496" s="5">
        <f t="shared" si="93"/>
        <v>2620.19</v>
      </c>
      <c r="G1496" s="1">
        <v>340</v>
      </c>
      <c r="H1496" s="1" t="str">
        <f t="shared" si="94"/>
        <v>High</v>
      </c>
      <c r="I1496" s="1" t="str">
        <f t="shared" si="95"/>
        <v>Other</v>
      </c>
      <c r="J1496" s="1">
        <f t="shared" si="96"/>
        <v>351232.20999999996</v>
      </c>
    </row>
    <row r="1497" spans="1:10" ht="12.75">
      <c r="A1497" s="1" t="s">
        <v>7</v>
      </c>
      <c r="B1497" s="1" t="s">
        <v>59</v>
      </c>
      <c r="C1497" s="1" t="s">
        <v>40</v>
      </c>
      <c r="D1497" s="2">
        <v>45071</v>
      </c>
      <c r="E1497" s="1" t="s">
        <v>1294</v>
      </c>
      <c r="F1497" s="5">
        <f t="shared" si="93"/>
        <v>11426.56</v>
      </c>
      <c r="G1497" s="1">
        <v>151</v>
      </c>
      <c r="H1497" s="1" t="str">
        <f t="shared" si="94"/>
        <v>High</v>
      </c>
      <c r="I1497" s="1" t="str">
        <f t="shared" si="95"/>
        <v>Other</v>
      </c>
      <c r="J1497" s="1">
        <f t="shared" si="96"/>
        <v>351232.20999999996</v>
      </c>
    </row>
    <row r="1498" spans="1:10" ht="12.75">
      <c r="A1498" s="1" t="s">
        <v>18</v>
      </c>
      <c r="B1498" s="1" t="s">
        <v>54</v>
      </c>
      <c r="C1498" s="1" t="s">
        <v>63</v>
      </c>
      <c r="D1498" s="2">
        <v>45052</v>
      </c>
      <c r="E1498" s="1" t="s">
        <v>1295</v>
      </c>
      <c r="F1498" s="5">
        <f t="shared" si="93"/>
        <v>2935.8</v>
      </c>
      <c r="G1498" s="1">
        <v>171</v>
      </c>
      <c r="H1498" s="1" t="str">
        <f t="shared" si="94"/>
        <v>High</v>
      </c>
      <c r="I1498" s="1" t="str">
        <f t="shared" si="95"/>
        <v>Other</v>
      </c>
      <c r="J1498" s="1">
        <f t="shared" si="96"/>
        <v>351232.20999999996</v>
      </c>
    </row>
    <row r="1499" spans="1:10" ht="12.75">
      <c r="A1499" s="1" t="s">
        <v>16</v>
      </c>
      <c r="B1499" s="1" t="s">
        <v>42</v>
      </c>
      <c r="C1499" s="1" t="s">
        <v>65</v>
      </c>
      <c r="D1499" s="2">
        <v>44954</v>
      </c>
      <c r="E1499" s="1" t="s">
        <v>1296</v>
      </c>
      <c r="F1499" s="5">
        <f t="shared" si="93"/>
        <v>2431.5300000000002</v>
      </c>
      <c r="G1499" s="1">
        <v>148</v>
      </c>
      <c r="H1499" s="1" t="str">
        <f t="shared" si="94"/>
        <v>High</v>
      </c>
      <c r="I1499" s="1" t="str">
        <f t="shared" si="95"/>
        <v>Other</v>
      </c>
      <c r="J1499" s="1">
        <f t="shared" si="96"/>
        <v>351232.20999999996</v>
      </c>
    </row>
    <row r="1500" spans="1:10" ht="12.75">
      <c r="A1500" s="1" t="s">
        <v>14</v>
      </c>
      <c r="B1500" s="1" t="s">
        <v>39</v>
      </c>
      <c r="C1500" s="1" t="s">
        <v>60</v>
      </c>
      <c r="D1500" s="2">
        <v>45083</v>
      </c>
      <c r="E1500" s="1" t="s">
        <v>1297</v>
      </c>
      <c r="F1500" s="5">
        <f t="shared" si="93"/>
        <v>11882.82</v>
      </c>
      <c r="G1500" s="1">
        <v>13</v>
      </c>
      <c r="H1500" s="1" t="str">
        <f t="shared" si="94"/>
        <v>High</v>
      </c>
      <c r="I1500" s="1" t="str">
        <f t="shared" si="95"/>
        <v>Other</v>
      </c>
      <c r="J1500" s="1">
        <f t="shared" si="96"/>
        <v>351232.20999999996</v>
      </c>
    </row>
    <row r="1501" spans="1:10" ht="12.75">
      <c r="A1501" s="1" t="s">
        <v>7</v>
      </c>
      <c r="B1501" s="1" t="s">
        <v>54</v>
      </c>
      <c r="C1501" s="1" t="s">
        <v>122</v>
      </c>
      <c r="D1501" s="2">
        <v>45119</v>
      </c>
      <c r="E1501" s="1" t="s">
        <v>1298</v>
      </c>
      <c r="F1501" s="5">
        <f t="shared" si="93"/>
        <v>6297.06</v>
      </c>
      <c r="G1501" s="1">
        <v>26</v>
      </c>
      <c r="H1501" s="1" t="str">
        <f t="shared" si="94"/>
        <v>High</v>
      </c>
      <c r="I1501" s="1" t="str">
        <f t="shared" si="95"/>
        <v>Other</v>
      </c>
      <c r="J1501" s="1">
        <f t="shared" si="96"/>
        <v>351232.20999999996</v>
      </c>
    </row>
    <row r="1502" spans="1:10" ht="12.75">
      <c r="A1502" s="1" t="s">
        <v>17</v>
      </c>
      <c r="B1502" s="1" t="s">
        <v>62</v>
      </c>
      <c r="C1502" s="1" t="s">
        <v>76</v>
      </c>
      <c r="D1502" s="2">
        <v>45143</v>
      </c>
      <c r="E1502" s="1" t="s">
        <v>1299</v>
      </c>
      <c r="F1502" s="5">
        <f t="shared" si="93"/>
        <v>5859.21</v>
      </c>
      <c r="G1502" s="1">
        <v>193</v>
      </c>
      <c r="H1502" s="1" t="str">
        <f t="shared" si="94"/>
        <v>High</v>
      </c>
      <c r="I1502" s="1" t="str">
        <f t="shared" si="95"/>
        <v>Other</v>
      </c>
      <c r="J1502" s="1">
        <f t="shared" si="96"/>
        <v>351232.20999999996</v>
      </c>
    </row>
    <row r="1503" spans="1:10" ht="12.75">
      <c r="A1503" s="1" t="s">
        <v>7</v>
      </c>
      <c r="B1503" s="1" t="s">
        <v>59</v>
      </c>
      <c r="C1503" s="1" t="s">
        <v>60</v>
      </c>
      <c r="D1503" s="2">
        <v>44954</v>
      </c>
      <c r="E1503" s="1" t="s">
        <v>1300</v>
      </c>
      <c r="F1503" s="5">
        <f t="shared" si="93"/>
        <v>6276.91</v>
      </c>
      <c r="G1503" s="1">
        <v>157</v>
      </c>
      <c r="H1503" s="1" t="str">
        <f t="shared" si="94"/>
        <v>High</v>
      </c>
      <c r="I1503" s="1" t="str">
        <f t="shared" si="95"/>
        <v>Other</v>
      </c>
      <c r="J1503" s="1">
        <f t="shared" si="96"/>
        <v>351232.20999999996</v>
      </c>
    </row>
    <row r="1504" spans="1:10" ht="12.75">
      <c r="A1504" s="1" t="s">
        <v>8</v>
      </c>
      <c r="B1504" s="1" t="s">
        <v>42</v>
      </c>
      <c r="C1504" s="1" t="s">
        <v>76</v>
      </c>
      <c r="D1504" s="2">
        <v>45169</v>
      </c>
      <c r="E1504" s="1" t="s">
        <v>1301</v>
      </c>
      <c r="F1504" s="5">
        <f t="shared" si="93"/>
        <v>5674.7</v>
      </c>
      <c r="G1504" s="1">
        <v>147</v>
      </c>
      <c r="H1504" s="1" t="str">
        <f t="shared" si="94"/>
        <v>High</v>
      </c>
      <c r="I1504" s="1" t="str">
        <f t="shared" si="95"/>
        <v>Other</v>
      </c>
      <c r="J1504" s="1">
        <f t="shared" si="96"/>
        <v>351232.20999999996</v>
      </c>
    </row>
    <row r="1505" spans="1:10" ht="12.75">
      <c r="A1505" s="1" t="s">
        <v>2</v>
      </c>
      <c r="B1505" s="1" t="s">
        <v>59</v>
      </c>
      <c r="C1505" s="1" t="s">
        <v>55</v>
      </c>
      <c r="D1505" s="2">
        <v>45035</v>
      </c>
      <c r="E1505" s="1" t="s">
        <v>1302</v>
      </c>
      <c r="F1505" s="5">
        <f t="shared" si="93"/>
        <v>1960.1</v>
      </c>
      <c r="G1505" s="1">
        <v>14</v>
      </c>
      <c r="H1505" s="1" t="str">
        <f t="shared" si="94"/>
        <v>High</v>
      </c>
      <c r="I1505" s="1" t="str">
        <f t="shared" si="95"/>
        <v>Other</v>
      </c>
      <c r="J1505" s="1">
        <f t="shared" si="96"/>
        <v>351232.20999999996</v>
      </c>
    </row>
    <row r="1506" spans="1:10" ht="12.75">
      <c r="A1506" s="1" t="s">
        <v>2</v>
      </c>
      <c r="B1506" s="1" t="s">
        <v>39</v>
      </c>
      <c r="C1506" s="1" t="s">
        <v>40</v>
      </c>
      <c r="D1506" s="2">
        <v>45106</v>
      </c>
      <c r="E1506" s="1" t="s">
        <v>1303</v>
      </c>
      <c r="F1506" s="5">
        <f t="shared" si="93"/>
        <v>6540.3</v>
      </c>
      <c r="G1506" s="1">
        <v>2</v>
      </c>
      <c r="H1506" s="1" t="str">
        <f t="shared" si="94"/>
        <v>High</v>
      </c>
      <c r="I1506" s="1" t="str">
        <f t="shared" si="95"/>
        <v>Other</v>
      </c>
      <c r="J1506" s="1">
        <f t="shared" si="96"/>
        <v>349272.10999999993</v>
      </c>
    </row>
    <row r="1507" spans="1:10" ht="12.75">
      <c r="A1507" s="1" t="s">
        <v>28</v>
      </c>
      <c r="B1507" s="1" t="s">
        <v>42</v>
      </c>
      <c r="C1507" s="1" t="s">
        <v>102</v>
      </c>
      <c r="D1507" s="2">
        <v>44981</v>
      </c>
      <c r="E1507" s="1" t="s">
        <v>1304</v>
      </c>
      <c r="F1507" s="5">
        <f t="shared" si="93"/>
        <v>3818.21</v>
      </c>
      <c r="G1507" s="1">
        <v>287</v>
      </c>
      <c r="H1507" s="1" t="str">
        <f t="shared" si="94"/>
        <v>High</v>
      </c>
      <c r="I1507" s="1" t="str">
        <f t="shared" si="95"/>
        <v>Other</v>
      </c>
      <c r="J1507" s="1">
        <f t="shared" si="96"/>
        <v>342731.80999999994</v>
      </c>
    </row>
    <row r="1508" spans="1:10" ht="12.75">
      <c r="A1508" s="1" t="s">
        <v>9</v>
      </c>
      <c r="B1508" s="1" t="s">
        <v>39</v>
      </c>
      <c r="C1508" s="1" t="s">
        <v>49</v>
      </c>
      <c r="D1508" s="2">
        <v>44989</v>
      </c>
      <c r="E1508" s="1" t="s">
        <v>1305</v>
      </c>
      <c r="F1508" s="5">
        <f t="shared" si="93"/>
        <v>14769.97</v>
      </c>
      <c r="G1508" s="1">
        <v>87</v>
      </c>
      <c r="H1508" s="1" t="str">
        <f t="shared" si="94"/>
        <v>High</v>
      </c>
      <c r="I1508" s="1" t="str">
        <f t="shared" si="95"/>
        <v>Other</v>
      </c>
      <c r="J1508" s="1">
        <f t="shared" si="96"/>
        <v>342731.80999999994</v>
      </c>
    </row>
    <row r="1509" spans="1:10" ht="12.75">
      <c r="A1509" s="1" t="s">
        <v>20</v>
      </c>
      <c r="B1509" s="1" t="s">
        <v>42</v>
      </c>
      <c r="C1509" s="1" t="s">
        <v>63</v>
      </c>
      <c r="D1509" s="2">
        <v>45098</v>
      </c>
      <c r="E1509" s="1" t="s">
        <v>1306</v>
      </c>
      <c r="F1509" s="5">
        <f t="shared" si="93"/>
        <v>3687.44</v>
      </c>
      <c r="G1509" s="1">
        <v>73</v>
      </c>
      <c r="H1509" s="1" t="str">
        <f t="shared" si="94"/>
        <v>High</v>
      </c>
      <c r="I1509" s="1" t="str">
        <f t="shared" si="95"/>
        <v>Other</v>
      </c>
      <c r="J1509" s="1">
        <f t="shared" si="96"/>
        <v>342731.80999999994</v>
      </c>
    </row>
    <row r="1510" spans="1:10" ht="12.75">
      <c r="A1510" s="1" t="s">
        <v>19</v>
      </c>
      <c r="B1510" s="1" t="s">
        <v>5</v>
      </c>
      <c r="C1510" s="1" t="s">
        <v>68</v>
      </c>
      <c r="D1510" s="2">
        <v>44952</v>
      </c>
      <c r="E1510" s="1" t="s">
        <v>1307</v>
      </c>
      <c r="F1510" s="5">
        <f t="shared" si="93"/>
        <v>1123.58</v>
      </c>
      <c r="G1510" s="1">
        <v>114</v>
      </c>
      <c r="H1510" s="1" t="str">
        <f t="shared" si="94"/>
        <v>High</v>
      </c>
      <c r="I1510" s="1" t="str">
        <f t="shared" si="95"/>
        <v>Other</v>
      </c>
      <c r="J1510" s="1">
        <f t="shared" si="96"/>
        <v>342731.80999999994</v>
      </c>
    </row>
    <row r="1511" spans="1:10" ht="12.75">
      <c r="A1511" s="1" t="s">
        <v>22</v>
      </c>
      <c r="B1511" s="1" t="s">
        <v>54</v>
      </c>
      <c r="C1511" s="1" t="s">
        <v>84</v>
      </c>
      <c r="D1511" s="2">
        <v>45087</v>
      </c>
      <c r="E1511" s="1" t="s">
        <v>1308</v>
      </c>
      <c r="F1511" s="5">
        <f t="shared" si="93"/>
        <v>4612.08</v>
      </c>
      <c r="G1511" s="1">
        <v>38</v>
      </c>
      <c r="H1511" s="1" t="str">
        <f t="shared" si="94"/>
        <v>High</v>
      </c>
      <c r="I1511" s="1" t="str">
        <f t="shared" si="95"/>
        <v>Other</v>
      </c>
      <c r="J1511" s="1">
        <f t="shared" si="96"/>
        <v>342731.80999999994</v>
      </c>
    </row>
    <row r="1512" spans="1:10" ht="12.75">
      <c r="A1512" s="1" t="s">
        <v>27</v>
      </c>
      <c r="B1512" s="1" t="s">
        <v>39</v>
      </c>
      <c r="C1512" s="1" t="s">
        <v>65</v>
      </c>
      <c r="D1512" s="2">
        <v>45069</v>
      </c>
      <c r="E1512" s="1" t="s">
        <v>1309</v>
      </c>
      <c r="F1512" s="5">
        <f t="shared" si="93"/>
        <v>1600.11</v>
      </c>
      <c r="G1512" s="1">
        <v>70</v>
      </c>
      <c r="H1512" s="1" t="str">
        <f t="shared" si="94"/>
        <v>High</v>
      </c>
      <c r="I1512" s="1" t="str">
        <f t="shared" si="95"/>
        <v>Other</v>
      </c>
      <c r="J1512" s="1">
        <f t="shared" si="96"/>
        <v>342731.80999999994</v>
      </c>
    </row>
    <row r="1513" spans="1:10" ht="12.75">
      <c r="A1513" s="1" t="s">
        <v>12</v>
      </c>
      <c r="B1513" s="1" t="s">
        <v>42</v>
      </c>
      <c r="C1513" s="1" t="s">
        <v>72</v>
      </c>
      <c r="D1513" s="2">
        <v>45031</v>
      </c>
      <c r="E1513" s="1" t="s">
        <v>1310</v>
      </c>
      <c r="F1513" s="5">
        <f t="shared" si="93"/>
        <v>975.67</v>
      </c>
      <c r="G1513" s="1">
        <v>105</v>
      </c>
      <c r="H1513" s="1" t="str">
        <f t="shared" si="94"/>
        <v>High</v>
      </c>
      <c r="I1513" s="1" t="str">
        <f t="shared" si="95"/>
        <v>Other</v>
      </c>
      <c r="J1513" s="1">
        <f t="shared" si="96"/>
        <v>342731.80999999994</v>
      </c>
    </row>
    <row r="1514" spans="1:10" ht="12.75">
      <c r="A1514" s="1" t="s">
        <v>18</v>
      </c>
      <c r="B1514" s="1" t="s">
        <v>54</v>
      </c>
      <c r="C1514" s="1" t="s">
        <v>126</v>
      </c>
      <c r="D1514" s="2">
        <v>44957</v>
      </c>
      <c r="E1514" s="1" t="s">
        <v>1311</v>
      </c>
      <c r="F1514" s="5">
        <f t="shared" si="93"/>
        <v>5487.3</v>
      </c>
      <c r="G1514" s="1">
        <v>219</v>
      </c>
      <c r="H1514" s="1" t="str">
        <f t="shared" si="94"/>
        <v>High</v>
      </c>
      <c r="I1514" s="1" t="str">
        <f t="shared" si="95"/>
        <v>Other</v>
      </c>
      <c r="J1514" s="1">
        <f t="shared" si="96"/>
        <v>342731.80999999994</v>
      </c>
    </row>
    <row r="1515" spans="1:10" ht="12.75">
      <c r="A1515" s="1" t="s">
        <v>27</v>
      </c>
      <c r="B1515" s="1" t="s">
        <v>54</v>
      </c>
      <c r="C1515" s="1" t="s">
        <v>68</v>
      </c>
      <c r="D1515" s="2">
        <v>44989</v>
      </c>
      <c r="E1515" s="1" t="s">
        <v>1312</v>
      </c>
      <c r="F1515" s="5">
        <f t="shared" si="93"/>
        <v>4948.1499999999996</v>
      </c>
      <c r="G1515" s="1">
        <v>39</v>
      </c>
      <c r="H1515" s="1" t="str">
        <f t="shared" si="94"/>
        <v>High</v>
      </c>
      <c r="I1515" s="1" t="str">
        <f t="shared" si="95"/>
        <v>Other</v>
      </c>
      <c r="J1515" s="1">
        <f t="shared" si="96"/>
        <v>342731.80999999994</v>
      </c>
    </row>
    <row r="1516" spans="1:10" ht="12.75">
      <c r="A1516" s="1" t="s">
        <v>16</v>
      </c>
      <c r="B1516" s="1" t="s">
        <v>54</v>
      </c>
      <c r="C1516" s="1" t="s">
        <v>52</v>
      </c>
      <c r="D1516" s="2">
        <v>45035</v>
      </c>
      <c r="E1516" s="1" t="s">
        <v>1313</v>
      </c>
      <c r="F1516" s="5">
        <f t="shared" si="93"/>
        <v>11460.08</v>
      </c>
      <c r="G1516" s="1">
        <v>81</v>
      </c>
      <c r="H1516" s="1" t="str">
        <f t="shared" si="94"/>
        <v>High</v>
      </c>
      <c r="I1516" s="1" t="str">
        <f t="shared" si="95"/>
        <v>Other</v>
      </c>
      <c r="J1516" s="1">
        <f t="shared" si="96"/>
        <v>342731.80999999994</v>
      </c>
    </row>
    <row r="1517" spans="1:10" ht="12.75">
      <c r="A1517" s="1" t="s">
        <v>28</v>
      </c>
      <c r="B1517" s="1" t="s">
        <v>39</v>
      </c>
      <c r="C1517" s="1" t="s">
        <v>91</v>
      </c>
      <c r="D1517" s="2">
        <v>45062</v>
      </c>
      <c r="E1517" s="1" t="s">
        <v>1314</v>
      </c>
      <c r="F1517" s="5">
        <f t="shared" si="93"/>
        <v>2628.33</v>
      </c>
      <c r="G1517" s="1">
        <v>101</v>
      </c>
      <c r="H1517" s="1" t="str">
        <f t="shared" si="94"/>
        <v>High</v>
      </c>
      <c r="I1517" s="1" t="str">
        <f t="shared" si="95"/>
        <v>Other</v>
      </c>
      <c r="J1517" s="1">
        <f t="shared" si="96"/>
        <v>342731.80999999994</v>
      </c>
    </row>
    <row r="1518" spans="1:10" ht="12.75">
      <c r="A1518" s="1" t="s">
        <v>22</v>
      </c>
      <c r="B1518" s="1" t="s">
        <v>5</v>
      </c>
      <c r="C1518" s="1" t="s">
        <v>100</v>
      </c>
      <c r="D1518" s="2">
        <v>44974</v>
      </c>
      <c r="E1518" s="1" t="s">
        <v>1315</v>
      </c>
      <c r="F1518" s="5">
        <f t="shared" si="93"/>
        <v>1044.3499999999999</v>
      </c>
      <c r="G1518" s="1">
        <v>126</v>
      </c>
      <c r="H1518" s="1" t="str">
        <f t="shared" si="94"/>
        <v>High</v>
      </c>
      <c r="I1518" s="1" t="str">
        <f t="shared" si="95"/>
        <v>Other</v>
      </c>
      <c r="J1518" s="1">
        <f t="shared" si="96"/>
        <v>342731.80999999994</v>
      </c>
    </row>
    <row r="1519" spans="1:10" ht="12.75">
      <c r="A1519" s="1" t="s">
        <v>6</v>
      </c>
      <c r="B1519" s="1" t="s">
        <v>59</v>
      </c>
      <c r="C1519" s="1" t="s">
        <v>100</v>
      </c>
      <c r="D1519" s="2">
        <v>44944</v>
      </c>
      <c r="E1519" s="1" t="s">
        <v>1316</v>
      </c>
      <c r="F1519" s="5">
        <f t="shared" si="93"/>
        <v>7449.7</v>
      </c>
      <c r="G1519" s="1">
        <v>264</v>
      </c>
      <c r="H1519" s="1" t="str">
        <f t="shared" si="94"/>
        <v>High</v>
      </c>
      <c r="I1519" s="1" t="str">
        <f t="shared" si="95"/>
        <v>Other</v>
      </c>
      <c r="J1519" s="1">
        <f t="shared" si="96"/>
        <v>342731.80999999994</v>
      </c>
    </row>
    <row r="1520" spans="1:10" ht="12.75">
      <c r="A1520" s="1" t="s">
        <v>26</v>
      </c>
      <c r="B1520" s="1" t="s">
        <v>62</v>
      </c>
      <c r="C1520" s="1" t="s">
        <v>60</v>
      </c>
      <c r="D1520" s="2">
        <v>44966</v>
      </c>
      <c r="E1520" s="1" t="s">
        <v>1317</v>
      </c>
      <c r="F1520" s="5">
        <f t="shared" si="93"/>
        <v>9315.64</v>
      </c>
      <c r="G1520" s="1">
        <v>88</v>
      </c>
      <c r="H1520" s="1" t="str">
        <f t="shared" si="94"/>
        <v>High</v>
      </c>
      <c r="I1520" s="1" t="str">
        <f t="shared" si="95"/>
        <v>Other</v>
      </c>
      <c r="J1520" s="1">
        <f t="shared" si="96"/>
        <v>342731.80999999994</v>
      </c>
    </row>
    <row r="1521" spans="1:10" ht="12.75">
      <c r="A1521" s="1" t="s">
        <v>2</v>
      </c>
      <c r="B1521" s="1" t="s">
        <v>62</v>
      </c>
      <c r="C1521" s="1" t="s">
        <v>60</v>
      </c>
      <c r="D1521" s="2">
        <v>45008</v>
      </c>
      <c r="E1521" s="1" t="s">
        <v>1318</v>
      </c>
      <c r="F1521" s="5">
        <f t="shared" si="93"/>
        <v>3820.94</v>
      </c>
      <c r="G1521" s="1">
        <v>179</v>
      </c>
      <c r="H1521" s="1" t="str">
        <f t="shared" si="94"/>
        <v>High</v>
      </c>
      <c r="I1521" s="1" t="str">
        <f t="shared" si="95"/>
        <v>Other</v>
      </c>
      <c r="J1521" s="1">
        <f t="shared" si="96"/>
        <v>342731.80999999994</v>
      </c>
    </row>
    <row r="1522" spans="1:10" ht="12.75">
      <c r="A1522" s="1" t="s">
        <v>9</v>
      </c>
      <c r="B1522" s="1" t="s">
        <v>54</v>
      </c>
      <c r="C1522" s="1" t="s">
        <v>126</v>
      </c>
      <c r="D1522" s="2">
        <v>44958</v>
      </c>
      <c r="E1522" s="1" t="s">
        <v>1319</v>
      </c>
      <c r="F1522" s="5">
        <f t="shared" si="93"/>
        <v>3782.83</v>
      </c>
      <c r="G1522" s="1">
        <v>150</v>
      </c>
      <c r="H1522" s="1" t="str">
        <f t="shared" si="94"/>
        <v>High</v>
      </c>
      <c r="I1522" s="1" t="str">
        <f t="shared" si="95"/>
        <v>Other</v>
      </c>
      <c r="J1522" s="1">
        <f t="shared" si="96"/>
        <v>338910.86999999994</v>
      </c>
    </row>
    <row r="1523" spans="1:10" ht="12.75">
      <c r="A1523" s="1" t="s">
        <v>2</v>
      </c>
      <c r="B1523" s="1" t="s">
        <v>42</v>
      </c>
      <c r="C1523" s="1" t="s">
        <v>65</v>
      </c>
      <c r="D1523" s="2">
        <v>44992</v>
      </c>
      <c r="E1523" s="1" t="s">
        <v>1320</v>
      </c>
      <c r="F1523" s="5">
        <f t="shared" si="93"/>
        <v>4525.72</v>
      </c>
      <c r="G1523" s="1">
        <v>146</v>
      </c>
      <c r="H1523" s="1" t="str">
        <f t="shared" si="94"/>
        <v>High</v>
      </c>
      <c r="I1523" s="1" t="str">
        <f t="shared" si="95"/>
        <v>Other</v>
      </c>
      <c r="J1523" s="1">
        <f t="shared" si="96"/>
        <v>338910.86999999994</v>
      </c>
    </row>
    <row r="1524" spans="1:10" ht="12.75">
      <c r="A1524" s="1" t="s">
        <v>17</v>
      </c>
      <c r="B1524" s="1" t="s">
        <v>39</v>
      </c>
      <c r="C1524" s="1" t="s">
        <v>84</v>
      </c>
      <c r="D1524" s="2">
        <v>44929</v>
      </c>
      <c r="E1524" s="1" t="s">
        <v>1321</v>
      </c>
      <c r="F1524" s="5">
        <f t="shared" si="93"/>
        <v>3730.79</v>
      </c>
      <c r="G1524" s="1">
        <v>237</v>
      </c>
      <c r="H1524" s="1" t="str">
        <f t="shared" si="94"/>
        <v>High</v>
      </c>
      <c r="I1524" s="1" t="str">
        <f t="shared" si="95"/>
        <v>Other</v>
      </c>
      <c r="J1524" s="1">
        <f t="shared" si="96"/>
        <v>334385.14999999997</v>
      </c>
    </row>
    <row r="1525" spans="1:10" ht="12.75">
      <c r="A1525" s="1" t="s">
        <v>17</v>
      </c>
      <c r="B1525" s="1" t="s">
        <v>59</v>
      </c>
      <c r="C1525" s="1" t="s">
        <v>84</v>
      </c>
      <c r="D1525" s="2">
        <v>44968</v>
      </c>
      <c r="E1525" s="1" t="s">
        <v>1322</v>
      </c>
      <c r="F1525" s="5">
        <f t="shared" si="93"/>
        <v>6068.19</v>
      </c>
      <c r="G1525" s="1">
        <v>349</v>
      </c>
      <c r="H1525" s="1" t="str">
        <f t="shared" si="94"/>
        <v>High</v>
      </c>
      <c r="I1525" s="1" t="str">
        <f t="shared" si="95"/>
        <v>Other</v>
      </c>
      <c r="J1525" s="1">
        <f t="shared" si="96"/>
        <v>334385.14999999997</v>
      </c>
    </row>
    <row r="1526" spans="1:10" ht="12.75">
      <c r="A1526" s="1" t="s">
        <v>6</v>
      </c>
      <c r="B1526" s="1" t="s">
        <v>54</v>
      </c>
      <c r="C1526" s="1" t="s">
        <v>60</v>
      </c>
      <c r="D1526" s="2">
        <v>45001</v>
      </c>
      <c r="E1526" s="1" t="s">
        <v>1323</v>
      </c>
      <c r="F1526" s="5">
        <f t="shared" si="93"/>
        <v>4944.46</v>
      </c>
      <c r="G1526" s="1">
        <v>144</v>
      </c>
      <c r="H1526" s="1" t="str">
        <f t="shared" si="94"/>
        <v>High</v>
      </c>
      <c r="I1526" s="1" t="str">
        <f t="shared" si="95"/>
        <v>Other</v>
      </c>
      <c r="J1526" s="1">
        <f t="shared" si="96"/>
        <v>334385.14999999997</v>
      </c>
    </row>
    <row r="1527" spans="1:10" ht="12.75">
      <c r="A1527" s="1" t="s">
        <v>21</v>
      </c>
      <c r="B1527" s="1" t="s">
        <v>42</v>
      </c>
      <c r="C1527" s="1" t="s">
        <v>84</v>
      </c>
      <c r="D1527" s="2">
        <v>45153</v>
      </c>
      <c r="E1527" s="1" t="s">
        <v>1324</v>
      </c>
      <c r="F1527" s="5">
        <f t="shared" si="93"/>
        <v>12331.35</v>
      </c>
      <c r="G1527" s="1">
        <v>337</v>
      </c>
      <c r="H1527" s="1" t="str">
        <f t="shared" si="94"/>
        <v>High</v>
      </c>
      <c r="I1527" s="1" t="str">
        <f t="shared" si="95"/>
        <v>Other</v>
      </c>
      <c r="J1527" s="1">
        <f t="shared" si="96"/>
        <v>334385.14999999997</v>
      </c>
    </row>
    <row r="1528" spans="1:10" ht="12.75">
      <c r="A1528" s="1" t="s">
        <v>20</v>
      </c>
      <c r="B1528" s="1" t="s">
        <v>42</v>
      </c>
      <c r="C1528" s="1" t="s">
        <v>86</v>
      </c>
      <c r="D1528" s="2">
        <v>45058</v>
      </c>
      <c r="E1528" s="1" t="s">
        <v>1325</v>
      </c>
      <c r="F1528" s="5">
        <f t="shared" si="93"/>
        <v>5290.76</v>
      </c>
      <c r="G1528" s="1">
        <v>76</v>
      </c>
      <c r="H1528" s="1" t="str">
        <f t="shared" si="94"/>
        <v>High</v>
      </c>
      <c r="I1528" s="1" t="str">
        <f t="shared" si="95"/>
        <v>Other</v>
      </c>
      <c r="J1528" s="1">
        <f t="shared" si="96"/>
        <v>334385.14999999997</v>
      </c>
    </row>
    <row r="1529" spans="1:10" ht="12.75">
      <c r="A1529" s="1" t="s">
        <v>10</v>
      </c>
      <c r="B1529" s="1" t="s">
        <v>42</v>
      </c>
      <c r="C1529" s="1" t="s">
        <v>76</v>
      </c>
      <c r="D1529" s="2">
        <v>45027</v>
      </c>
      <c r="E1529" s="1" t="s">
        <v>1326</v>
      </c>
      <c r="F1529" s="5">
        <f t="shared" si="93"/>
        <v>6874.06</v>
      </c>
      <c r="G1529" s="1">
        <v>4</v>
      </c>
      <c r="H1529" s="1" t="str">
        <f t="shared" si="94"/>
        <v>High</v>
      </c>
      <c r="I1529" s="1" t="str">
        <f t="shared" si="95"/>
        <v>Other</v>
      </c>
      <c r="J1529" s="1">
        <f t="shared" si="96"/>
        <v>334385.14999999997</v>
      </c>
    </row>
    <row r="1530" spans="1:10" ht="12.75">
      <c r="A1530" s="1" t="s">
        <v>15</v>
      </c>
      <c r="B1530" s="1" t="s">
        <v>54</v>
      </c>
      <c r="C1530" s="1" t="s">
        <v>40</v>
      </c>
      <c r="D1530" s="2">
        <v>45107</v>
      </c>
      <c r="E1530" s="1" t="s">
        <v>1327</v>
      </c>
      <c r="F1530" s="5">
        <f t="shared" si="93"/>
        <v>20402.169999999998</v>
      </c>
      <c r="G1530" s="1">
        <v>297</v>
      </c>
      <c r="H1530" s="1" t="str">
        <f t="shared" si="94"/>
        <v>High</v>
      </c>
      <c r="I1530" s="1" t="str">
        <f t="shared" si="95"/>
        <v>Other</v>
      </c>
      <c r="J1530" s="1">
        <f t="shared" si="96"/>
        <v>334385.14999999997</v>
      </c>
    </row>
    <row r="1531" spans="1:10" ht="12.75">
      <c r="A1531" s="1" t="s">
        <v>21</v>
      </c>
      <c r="B1531" s="1" t="s">
        <v>54</v>
      </c>
      <c r="C1531" s="1" t="s">
        <v>84</v>
      </c>
      <c r="D1531" s="2">
        <v>45092</v>
      </c>
      <c r="E1531" s="1" t="s">
        <v>1328</v>
      </c>
      <c r="F1531" s="5">
        <f t="shared" si="93"/>
        <v>7923.1</v>
      </c>
      <c r="G1531" s="1">
        <v>62</v>
      </c>
      <c r="H1531" s="1" t="str">
        <f t="shared" si="94"/>
        <v>High</v>
      </c>
      <c r="I1531" s="1" t="str">
        <f t="shared" si="95"/>
        <v>Other</v>
      </c>
      <c r="J1531" s="1">
        <f t="shared" si="96"/>
        <v>334385.14999999997</v>
      </c>
    </row>
    <row r="1532" spans="1:10" ht="12.75">
      <c r="A1532" s="1" t="s">
        <v>19</v>
      </c>
      <c r="B1532" s="1" t="s">
        <v>62</v>
      </c>
      <c r="C1532" s="1" t="s">
        <v>126</v>
      </c>
      <c r="D1532" s="2">
        <v>45139</v>
      </c>
      <c r="E1532" s="1" t="s">
        <v>1329</v>
      </c>
      <c r="F1532" s="5">
        <f t="shared" si="93"/>
        <v>8145.99</v>
      </c>
      <c r="G1532" s="1">
        <v>100</v>
      </c>
      <c r="H1532" s="1" t="str">
        <f t="shared" si="94"/>
        <v>High</v>
      </c>
      <c r="I1532" s="1" t="str">
        <f t="shared" si="95"/>
        <v>Other</v>
      </c>
      <c r="J1532" s="1">
        <f t="shared" si="96"/>
        <v>334385.14999999997</v>
      </c>
    </row>
    <row r="1533" spans="1:10" ht="12.75">
      <c r="A1533" s="1" t="s">
        <v>8</v>
      </c>
      <c r="B1533" s="1" t="s">
        <v>59</v>
      </c>
      <c r="C1533" s="1" t="s">
        <v>72</v>
      </c>
      <c r="D1533" s="2">
        <v>45092</v>
      </c>
      <c r="E1533" s="1" t="s">
        <v>1330</v>
      </c>
      <c r="F1533" s="5">
        <f t="shared" si="93"/>
        <v>16253.25</v>
      </c>
      <c r="G1533" s="1">
        <v>58</v>
      </c>
      <c r="H1533" s="1" t="str">
        <f t="shared" si="94"/>
        <v>High</v>
      </c>
      <c r="I1533" s="1" t="str">
        <f t="shared" si="95"/>
        <v>Other</v>
      </c>
      <c r="J1533" s="1">
        <f t="shared" si="96"/>
        <v>334385.14999999997</v>
      </c>
    </row>
    <row r="1534" spans="1:10" ht="12.75">
      <c r="A1534" s="1" t="s">
        <v>7</v>
      </c>
      <c r="B1534" s="1" t="s">
        <v>42</v>
      </c>
      <c r="C1534" s="1" t="s">
        <v>52</v>
      </c>
      <c r="D1534" s="2">
        <v>45093</v>
      </c>
      <c r="E1534" s="1" t="s">
        <v>1331</v>
      </c>
      <c r="F1534" s="5">
        <f t="shared" si="93"/>
        <v>5744.07</v>
      </c>
      <c r="G1534" s="1">
        <v>49</v>
      </c>
      <c r="H1534" s="1" t="str">
        <f t="shared" si="94"/>
        <v>High</v>
      </c>
      <c r="I1534" s="1" t="str">
        <f t="shared" si="95"/>
        <v>Other</v>
      </c>
      <c r="J1534" s="1">
        <f t="shared" si="96"/>
        <v>334385.14999999997</v>
      </c>
    </row>
    <row r="1535" spans="1:10" ht="12.75">
      <c r="A1535" s="1" t="s">
        <v>22</v>
      </c>
      <c r="B1535" s="1" t="s">
        <v>54</v>
      </c>
      <c r="C1535" s="1" t="s">
        <v>100</v>
      </c>
      <c r="D1535" s="2">
        <v>45059</v>
      </c>
      <c r="E1535" s="1" t="s">
        <v>1332</v>
      </c>
      <c r="F1535" s="5">
        <f t="shared" si="93"/>
        <v>4908.71</v>
      </c>
      <c r="G1535" s="1">
        <v>288</v>
      </c>
      <c r="H1535" s="1" t="str">
        <f t="shared" si="94"/>
        <v>High</v>
      </c>
      <c r="I1535" s="1" t="str">
        <f t="shared" si="95"/>
        <v>Other</v>
      </c>
      <c r="J1535" s="1">
        <f t="shared" si="96"/>
        <v>334385.14999999997</v>
      </c>
    </row>
    <row r="1536" spans="1:10" ht="12.75">
      <c r="A1536" s="1" t="s">
        <v>6</v>
      </c>
      <c r="B1536" s="1" t="s">
        <v>59</v>
      </c>
      <c r="C1536" s="1" t="s">
        <v>65</v>
      </c>
      <c r="D1536" s="2">
        <v>45056</v>
      </c>
      <c r="E1536" s="1" t="s">
        <v>1333</v>
      </c>
      <c r="F1536" s="5">
        <f t="shared" si="93"/>
        <v>2369.87</v>
      </c>
      <c r="G1536" s="1">
        <v>139</v>
      </c>
      <c r="H1536" s="1" t="str">
        <f t="shared" si="94"/>
        <v>High</v>
      </c>
      <c r="I1536" s="1" t="str">
        <f t="shared" si="95"/>
        <v>Other</v>
      </c>
      <c r="J1536" s="1">
        <f t="shared" si="96"/>
        <v>334385.14999999997</v>
      </c>
    </row>
    <row r="1537" spans="1:10" ht="12.75">
      <c r="A1537" s="1" t="s">
        <v>22</v>
      </c>
      <c r="B1537" s="1" t="s">
        <v>42</v>
      </c>
      <c r="C1537" s="1" t="s">
        <v>63</v>
      </c>
      <c r="D1537" s="2">
        <v>45163</v>
      </c>
      <c r="E1537" s="1" t="s">
        <v>1334</v>
      </c>
      <c r="F1537" s="5">
        <f t="shared" si="93"/>
        <v>5973.24</v>
      </c>
      <c r="G1537" s="1">
        <v>337</v>
      </c>
      <c r="H1537" s="1" t="str">
        <f t="shared" si="94"/>
        <v>High</v>
      </c>
      <c r="I1537" s="1" t="str">
        <f t="shared" si="95"/>
        <v>Other</v>
      </c>
      <c r="J1537" s="1">
        <f t="shared" si="96"/>
        <v>334385.14999999997</v>
      </c>
    </row>
    <row r="1538" spans="1:10" ht="12.75">
      <c r="A1538" s="1" t="s">
        <v>17</v>
      </c>
      <c r="B1538" s="1" t="s">
        <v>54</v>
      </c>
      <c r="C1538" s="1" t="s">
        <v>68</v>
      </c>
      <c r="D1538" s="2">
        <v>45122</v>
      </c>
      <c r="E1538" s="1" t="s">
        <v>1335</v>
      </c>
      <c r="F1538" s="5">
        <f t="shared" ref="F1538:F1601" si="97">VALUE(SUBSTITUTE(E1538,"$",""))</f>
        <v>8047.16</v>
      </c>
      <c r="G1538" s="1">
        <v>86</v>
      </c>
      <c r="H1538" s="1" t="str">
        <f t="shared" ref="H1538:H1601" si="98">IF(F1538&gt;800,"High",IF(F1538&gt;500,"Medium","Low"))</f>
        <v>High</v>
      </c>
      <c r="I1538" s="1" t="str">
        <f t="shared" ref="I1538:I1601" si="99">IF(AND(B1538="Australia",A1538="Mallorie Waber"),"Top Local","Other")</f>
        <v>Other</v>
      </c>
      <c r="J1538" s="1">
        <f t="shared" ref="J1538:J1601" si="100">SUMIF(A1538:A4818,"Mallorie Waber",F1538:F4818)</f>
        <v>334385.14999999997</v>
      </c>
    </row>
    <row r="1539" spans="1:10" ht="12.75">
      <c r="A1539" s="1" t="s">
        <v>20</v>
      </c>
      <c r="B1539" s="1" t="s">
        <v>39</v>
      </c>
      <c r="C1539" s="1" t="s">
        <v>122</v>
      </c>
      <c r="D1539" s="2">
        <v>45062</v>
      </c>
      <c r="E1539" s="1" t="s">
        <v>1336</v>
      </c>
      <c r="F1539" s="5">
        <f t="shared" si="97"/>
        <v>9656.56</v>
      </c>
      <c r="G1539" s="1">
        <v>400</v>
      </c>
      <c r="H1539" s="1" t="str">
        <f t="shared" si="98"/>
        <v>High</v>
      </c>
      <c r="I1539" s="1" t="str">
        <f t="shared" si="99"/>
        <v>Other</v>
      </c>
      <c r="J1539" s="1">
        <f t="shared" si="100"/>
        <v>334385.14999999997</v>
      </c>
    </row>
    <row r="1540" spans="1:10" ht="12.75">
      <c r="A1540" s="1" t="s">
        <v>15</v>
      </c>
      <c r="B1540" s="1" t="s">
        <v>5</v>
      </c>
      <c r="C1540" s="1" t="s">
        <v>55</v>
      </c>
      <c r="D1540" s="2">
        <v>45091</v>
      </c>
      <c r="E1540" s="1" t="s">
        <v>1337</v>
      </c>
      <c r="F1540" s="5">
        <f t="shared" si="97"/>
        <v>3925.06</v>
      </c>
      <c r="G1540" s="1">
        <v>186</v>
      </c>
      <c r="H1540" s="1" t="str">
        <f t="shared" si="98"/>
        <v>High</v>
      </c>
      <c r="I1540" s="1" t="str">
        <f t="shared" si="99"/>
        <v>Other</v>
      </c>
      <c r="J1540" s="1">
        <f t="shared" si="100"/>
        <v>334385.14999999997</v>
      </c>
    </row>
    <row r="1541" spans="1:10" ht="12.75">
      <c r="A1541" s="1" t="s">
        <v>28</v>
      </c>
      <c r="B1541" s="1" t="s">
        <v>5</v>
      </c>
      <c r="C1541" s="1" t="s">
        <v>49</v>
      </c>
      <c r="D1541" s="2">
        <v>44951</v>
      </c>
      <c r="E1541" s="1" t="s">
        <v>1338</v>
      </c>
      <c r="F1541" s="5">
        <f t="shared" si="97"/>
        <v>11682.62</v>
      </c>
      <c r="G1541" s="1">
        <v>506</v>
      </c>
      <c r="H1541" s="1" t="str">
        <f t="shared" si="98"/>
        <v>High</v>
      </c>
      <c r="I1541" s="1" t="str">
        <f t="shared" si="99"/>
        <v>Other</v>
      </c>
      <c r="J1541" s="1">
        <f t="shared" si="100"/>
        <v>334385.14999999997</v>
      </c>
    </row>
    <row r="1542" spans="1:10" ht="12.75">
      <c r="A1542" s="1" t="s">
        <v>17</v>
      </c>
      <c r="B1542" s="1" t="s">
        <v>59</v>
      </c>
      <c r="C1542" s="1" t="s">
        <v>68</v>
      </c>
      <c r="D1542" s="2">
        <v>45135</v>
      </c>
      <c r="E1542" s="1" t="s">
        <v>1339</v>
      </c>
      <c r="F1542" s="5">
        <f t="shared" si="97"/>
        <v>7874.15</v>
      </c>
      <c r="G1542" s="1">
        <v>13</v>
      </c>
      <c r="H1542" s="1" t="str">
        <f t="shared" si="98"/>
        <v>High</v>
      </c>
      <c r="I1542" s="1" t="str">
        <f t="shared" si="99"/>
        <v>Other</v>
      </c>
      <c r="J1542" s="1">
        <f t="shared" si="100"/>
        <v>334385.14999999997</v>
      </c>
    </row>
    <row r="1543" spans="1:10" ht="12.75">
      <c r="A1543" s="1" t="s">
        <v>7</v>
      </c>
      <c r="B1543" s="1" t="s">
        <v>62</v>
      </c>
      <c r="C1543" s="1" t="s">
        <v>40</v>
      </c>
      <c r="D1543" s="2">
        <v>44954</v>
      </c>
      <c r="E1543" s="1" t="s">
        <v>1340</v>
      </c>
      <c r="F1543" s="5">
        <f t="shared" si="97"/>
        <v>5061.37</v>
      </c>
      <c r="G1543" s="1">
        <v>179</v>
      </c>
      <c r="H1543" s="1" t="str">
        <f t="shared" si="98"/>
        <v>High</v>
      </c>
      <c r="I1543" s="1" t="str">
        <f t="shared" si="99"/>
        <v>Other</v>
      </c>
      <c r="J1543" s="1">
        <f t="shared" si="100"/>
        <v>334385.14999999997</v>
      </c>
    </row>
    <row r="1544" spans="1:10" ht="12.75">
      <c r="A1544" s="1" t="s">
        <v>8</v>
      </c>
      <c r="B1544" s="1" t="s">
        <v>39</v>
      </c>
      <c r="C1544" s="1" t="s">
        <v>60</v>
      </c>
      <c r="D1544" s="2">
        <v>45106</v>
      </c>
      <c r="E1544" s="1" t="s">
        <v>1341</v>
      </c>
      <c r="F1544" s="5">
        <f t="shared" si="97"/>
        <v>2099.2399999999998</v>
      </c>
      <c r="G1544" s="1">
        <v>186</v>
      </c>
      <c r="H1544" s="1" t="str">
        <f t="shared" si="98"/>
        <v>High</v>
      </c>
      <c r="I1544" s="1" t="str">
        <f t="shared" si="99"/>
        <v>Other</v>
      </c>
      <c r="J1544" s="1">
        <f t="shared" si="100"/>
        <v>334385.14999999997</v>
      </c>
    </row>
    <row r="1545" spans="1:10" ht="12.75">
      <c r="A1545" s="1" t="s">
        <v>18</v>
      </c>
      <c r="B1545" s="1" t="s">
        <v>5</v>
      </c>
      <c r="C1545" s="1" t="s">
        <v>147</v>
      </c>
      <c r="D1545" s="2">
        <v>45101</v>
      </c>
      <c r="E1545" s="1" t="s">
        <v>1342</v>
      </c>
      <c r="F1545" s="5">
        <f t="shared" si="97"/>
        <v>237.57</v>
      </c>
      <c r="G1545" s="1">
        <v>311</v>
      </c>
      <c r="H1545" s="1" t="str">
        <f t="shared" si="98"/>
        <v>Low</v>
      </c>
      <c r="I1545" s="1" t="str">
        <f t="shared" si="99"/>
        <v>Other</v>
      </c>
      <c r="J1545" s="1">
        <f t="shared" si="100"/>
        <v>334385.14999999997</v>
      </c>
    </row>
    <row r="1546" spans="1:10" ht="12.75">
      <c r="A1546" s="1" t="s">
        <v>23</v>
      </c>
      <c r="B1546" s="1" t="s">
        <v>62</v>
      </c>
      <c r="C1546" s="1" t="s">
        <v>40</v>
      </c>
      <c r="D1546" s="2">
        <v>45108</v>
      </c>
      <c r="E1546" s="1" t="s">
        <v>1343</v>
      </c>
      <c r="F1546" s="5">
        <f t="shared" si="97"/>
        <v>8829.77</v>
      </c>
      <c r="G1546" s="1">
        <v>445</v>
      </c>
      <c r="H1546" s="1" t="str">
        <f t="shared" si="98"/>
        <v>High</v>
      </c>
      <c r="I1546" s="1" t="str">
        <f t="shared" si="99"/>
        <v>Other</v>
      </c>
      <c r="J1546" s="1">
        <f t="shared" si="100"/>
        <v>334385.14999999997</v>
      </c>
    </row>
    <row r="1547" spans="1:10" ht="12.75">
      <c r="A1547" s="1" t="s">
        <v>26</v>
      </c>
      <c r="B1547" s="1" t="s">
        <v>59</v>
      </c>
      <c r="C1547" s="1" t="s">
        <v>45</v>
      </c>
      <c r="D1547" s="2">
        <v>44982</v>
      </c>
      <c r="E1547" s="1" t="s">
        <v>1344</v>
      </c>
      <c r="F1547" s="5">
        <f t="shared" si="97"/>
        <v>1733.09</v>
      </c>
      <c r="G1547" s="1">
        <v>135</v>
      </c>
      <c r="H1547" s="1" t="str">
        <f t="shared" si="98"/>
        <v>High</v>
      </c>
      <c r="I1547" s="1" t="str">
        <f t="shared" si="99"/>
        <v>Other</v>
      </c>
      <c r="J1547" s="1">
        <f t="shared" si="100"/>
        <v>334385.14999999997</v>
      </c>
    </row>
    <row r="1548" spans="1:10" ht="12.75">
      <c r="A1548" s="1" t="s">
        <v>24</v>
      </c>
      <c r="B1548" s="1" t="s">
        <v>62</v>
      </c>
      <c r="C1548" s="1" t="s">
        <v>49</v>
      </c>
      <c r="D1548" s="2">
        <v>45139</v>
      </c>
      <c r="E1548" s="1" t="s">
        <v>1345</v>
      </c>
      <c r="F1548" s="5">
        <f t="shared" si="97"/>
        <v>3047.18</v>
      </c>
      <c r="G1548" s="1">
        <v>12</v>
      </c>
      <c r="H1548" s="1" t="str">
        <f t="shared" si="98"/>
        <v>High</v>
      </c>
      <c r="I1548" s="1" t="str">
        <f t="shared" si="99"/>
        <v>Other</v>
      </c>
      <c r="J1548" s="1">
        <f t="shared" si="100"/>
        <v>334385.14999999997</v>
      </c>
    </row>
    <row r="1549" spans="1:10" ht="12.75">
      <c r="A1549" s="1" t="s">
        <v>22</v>
      </c>
      <c r="B1549" s="1" t="s">
        <v>5</v>
      </c>
      <c r="C1549" s="1" t="s">
        <v>72</v>
      </c>
      <c r="D1549" s="2">
        <v>45098</v>
      </c>
      <c r="E1549" s="1" t="s">
        <v>1346</v>
      </c>
      <c r="F1549" s="5">
        <f t="shared" si="97"/>
        <v>8497.7199999999993</v>
      </c>
      <c r="G1549" s="1">
        <v>276</v>
      </c>
      <c r="H1549" s="1" t="str">
        <f t="shared" si="98"/>
        <v>High</v>
      </c>
      <c r="I1549" s="1" t="str">
        <f t="shared" si="99"/>
        <v>Other</v>
      </c>
      <c r="J1549" s="1">
        <f t="shared" si="100"/>
        <v>334385.14999999997</v>
      </c>
    </row>
    <row r="1550" spans="1:10" ht="12.75">
      <c r="A1550" s="1" t="s">
        <v>25</v>
      </c>
      <c r="B1550" s="1" t="s">
        <v>54</v>
      </c>
      <c r="C1550" s="1" t="s">
        <v>76</v>
      </c>
      <c r="D1550" s="2">
        <v>44951</v>
      </c>
      <c r="E1550" s="1" t="s">
        <v>1347</v>
      </c>
      <c r="F1550" s="5">
        <f t="shared" si="97"/>
        <v>12557.56</v>
      </c>
      <c r="G1550" s="1">
        <v>26</v>
      </c>
      <c r="H1550" s="1" t="str">
        <f t="shared" si="98"/>
        <v>High</v>
      </c>
      <c r="I1550" s="1" t="str">
        <f t="shared" si="99"/>
        <v>Other</v>
      </c>
      <c r="J1550" s="1">
        <f t="shared" si="100"/>
        <v>334385.14999999997</v>
      </c>
    </row>
    <row r="1551" spans="1:10" ht="12.75">
      <c r="A1551" s="1" t="s">
        <v>20</v>
      </c>
      <c r="B1551" s="1" t="s">
        <v>39</v>
      </c>
      <c r="C1551" s="1" t="s">
        <v>72</v>
      </c>
      <c r="D1551" s="2">
        <v>45063</v>
      </c>
      <c r="E1551" s="1" t="s">
        <v>1348</v>
      </c>
      <c r="F1551" s="5">
        <f t="shared" si="97"/>
        <v>1406.91</v>
      </c>
      <c r="G1551" s="1">
        <v>231</v>
      </c>
      <c r="H1551" s="1" t="str">
        <f t="shared" si="98"/>
        <v>High</v>
      </c>
      <c r="I1551" s="1" t="str">
        <f t="shared" si="99"/>
        <v>Other</v>
      </c>
      <c r="J1551" s="1">
        <f t="shared" si="100"/>
        <v>334385.14999999997</v>
      </c>
    </row>
    <row r="1552" spans="1:10" ht="12.75">
      <c r="A1552" s="1" t="s">
        <v>27</v>
      </c>
      <c r="B1552" s="1" t="s">
        <v>5</v>
      </c>
      <c r="C1552" s="1" t="s">
        <v>43</v>
      </c>
      <c r="D1552" s="2">
        <v>45161</v>
      </c>
      <c r="E1552" s="1" t="s">
        <v>1349</v>
      </c>
      <c r="F1552" s="5">
        <f t="shared" si="97"/>
        <v>4496.32</v>
      </c>
      <c r="G1552" s="1">
        <v>240</v>
      </c>
      <c r="H1552" s="1" t="str">
        <f t="shared" si="98"/>
        <v>High</v>
      </c>
      <c r="I1552" s="1" t="str">
        <f t="shared" si="99"/>
        <v>Other</v>
      </c>
      <c r="J1552" s="1">
        <f t="shared" si="100"/>
        <v>334385.14999999997</v>
      </c>
    </row>
    <row r="1553" spans="1:10" ht="12.75">
      <c r="A1553" s="1" t="s">
        <v>25</v>
      </c>
      <c r="B1553" s="1" t="s">
        <v>5</v>
      </c>
      <c r="C1553" s="1" t="s">
        <v>49</v>
      </c>
      <c r="D1553" s="2">
        <v>44988</v>
      </c>
      <c r="E1553" s="1" t="s">
        <v>1350</v>
      </c>
      <c r="F1553" s="5">
        <f t="shared" si="97"/>
        <v>8220.25</v>
      </c>
      <c r="G1553" s="1">
        <v>125</v>
      </c>
      <c r="H1553" s="1" t="str">
        <f t="shared" si="98"/>
        <v>High</v>
      </c>
      <c r="I1553" s="1" t="str">
        <f t="shared" si="99"/>
        <v>Other</v>
      </c>
      <c r="J1553" s="1">
        <f t="shared" si="100"/>
        <v>334385.14999999997</v>
      </c>
    </row>
    <row r="1554" spans="1:10" ht="12.75">
      <c r="A1554" s="1" t="s">
        <v>26</v>
      </c>
      <c r="B1554" s="1" t="s">
        <v>42</v>
      </c>
      <c r="C1554" s="1" t="s">
        <v>126</v>
      </c>
      <c r="D1554" s="2">
        <v>45076</v>
      </c>
      <c r="E1554" s="1" t="s">
        <v>1351</v>
      </c>
      <c r="F1554" s="5">
        <f t="shared" si="97"/>
        <v>9588.0300000000007</v>
      </c>
      <c r="G1554" s="1">
        <v>562</v>
      </c>
      <c r="H1554" s="1" t="str">
        <f t="shared" si="98"/>
        <v>High</v>
      </c>
      <c r="I1554" s="1" t="str">
        <f t="shared" si="99"/>
        <v>Other</v>
      </c>
      <c r="J1554" s="1">
        <f t="shared" si="100"/>
        <v>334385.14999999997</v>
      </c>
    </row>
    <row r="1555" spans="1:10" ht="12.75">
      <c r="A1555" s="1" t="s">
        <v>18</v>
      </c>
      <c r="B1555" s="1" t="s">
        <v>59</v>
      </c>
      <c r="C1555" s="1" t="s">
        <v>65</v>
      </c>
      <c r="D1555" s="2">
        <v>45106</v>
      </c>
      <c r="E1555" s="1" t="s">
        <v>1352</v>
      </c>
      <c r="F1555" s="5">
        <f t="shared" si="97"/>
        <v>114.82</v>
      </c>
      <c r="G1555" s="1">
        <v>231</v>
      </c>
      <c r="H1555" s="1" t="str">
        <f t="shared" si="98"/>
        <v>Low</v>
      </c>
      <c r="I1555" s="1" t="str">
        <f t="shared" si="99"/>
        <v>Other</v>
      </c>
      <c r="J1555" s="1">
        <f t="shared" si="100"/>
        <v>334385.14999999997</v>
      </c>
    </row>
    <row r="1556" spans="1:10" ht="12.75">
      <c r="A1556" s="1" t="s">
        <v>27</v>
      </c>
      <c r="B1556" s="1" t="s">
        <v>62</v>
      </c>
      <c r="C1556" s="1" t="s">
        <v>68</v>
      </c>
      <c r="D1556" s="2">
        <v>44930</v>
      </c>
      <c r="E1556" s="1" t="s">
        <v>1353</v>
      </c>
      <c r="F1556" s="5">
        <f t="shared" si="97"/>
        <v>8804.98</v>
      </c>
      <c r="G1556" s="1">
        <v>214</v>
      </c>
      <c r="H1556" s="1" t="str">
        <f t="shared" si="98"/>
        <v>High</v>
      </c>
      <c r="I1556" s="1" t="str">
        <f t="shared" si="99"/>
        <v>Other</v>
      </c>
      <c r="J1556" s="1">
        <f t="shared" si="100"/>
        <v>334385.14999999997</v>
      </c>
    </row>
    <row r="1557" spans="1:10" ht="12.75">
      <c r="A1557" s="1" t="s">
        <v>11</v>
      </c>
      <c r="B1557" s="1" t="s">
        <v>5</v>
      </c>
      <c r="C1557" s="1" t="s">
        <v>65</v>
      </c>
      <c r="D1557" s="2">
        <v>44940</v>
      </c>
      <c r="E1557" s="1" t="s">
        <v>1354</v>
      </c>
      <c r="F1557" s="5">
        <f t="shared" si="97"/>
        <v>2900.61</v>
      </c>
      <c r="G1557" s="1">
        <v>68</v>
      </c>
      <c r="H1557" s="1" t="str">
        <f t="shared" si="98"/>
        <v>High</v>
      </c>
      <c r="I1557" s="1" t="str">
        <f t="shared" si="99"/>
        <v>Other</v>
      </c>
      <c r="J1557" s="1">
        <f t="shared" si="100"/>
        <v>334385.14999999997</v>
      </c>
    </row>
    <row r="1558" spans="1:10" ht="12.75">
      <c r="A1558" s="1" t="s">
        <v>18</v>
      </c>
      <c r="B1558" s="1" t="s">
        <v>59</v>
      </c>
      <c r="C1558" s="1" t="s">
        <v>40</v>
      </c>
      <c r="D1558" s="2">
        <v>44972</v>
      </c>
      <c r="E1558" s="1" t="s">
        <v>1355</v>
      </c>
      <c r="F1558" s="5">
        <f t="shared" si="97"/>
        <v>16773.080000000002</v>
      </c>
      <c r="G1558" s="1">
        <v>58</v>
      </c>
      <c r="H1558" s="1" t="str">
        <f t="shared" si="98"/>
        <v>High</v>
      </c>
      <c r="I1558" s="1" t="str">
        <f t="shared" si="99"/>
        <v>Other</v>
      </c>
      <c r="J1558" s="1">
        <f t="shared" si="100"/>
        <v>334385.14999999997</v>
      </c>
    </row>
    <row r="1559" spans="1:10" ht="12.75">
      <c r="A1559" s="1" t="s">
        <v>24</v>
      </c>
      <c r="B1559" s="1" t="s">
        <v>54</v>
      </c>
      <c r="C1559" s="1" t="s">
        <v>76</v>
      </c>
      <c r="D1559" s="2">
        <v>44936</v>
      </c>
      <c r="E1559" s="1" t="s">
        <v>1356</v>
      </c>
      <c r="F1559" s="5">
        <f t="shared" si="97"/>
        <v>4153.59</v>
      </c>
      <c r="G1559" s="1">
        <v>513</v>
      </c>
      <c r="H1559" s="1" t="str">
        <f t="shared" si="98"/>
        <v>High</v>
      </c>
      <c r="I1559" s="1" t="str">
        <f t="shared" si="99"/>
        <v>Other</v>
      </c>
      <c r="J1559" s="1">
        <f t="shared" si="100"/>
        <v>334385.14999999997</v>
      </c>
    </row>
    <row r="1560" spans="1:10" ht="12.75">
      <c r="A1560" s="1" t="s">
        <v>9</v>
      </c>
      <c r="B1560" s="1" t="s">
        <v>59</v>
      </c>
      <c r="C1560" s="1" t="s">
        <v>84</v>
      </c>
      <c r="D1560" s="2">
        <v>45050</v>
      </c>
      <c r="E1560" s="1" t="s">
        <v>1357</v>
      </c>
      <c r="F1560" s="5">
        <f t="shared" si="97"/>
        <v>12571.07</v>
      </c>
      <c r="G1560" s="1">
        <v>226</v>
      </c>
      <c r="H1560" s="1" t="str">
        <f t="shared" si="98"/>
        <v>High</v>
      </c>
      <c r="I1560" s="1" t="str">
        <f t="shared" si="99"/>
        <v>Other</v>
      </c>
      <c r="J1560" s="1">
        <f t="shared" si="100"/>
        <v>334385.14999999997</v>
      </c>
    </row>
    <row r="1561" spans="1:10" ht="12.75">
      <c r="A1561" s="1" t="s">
        <v>27</v>
      </c>
      <c r="B1561" s="1" t="s">
        <v>59</v>
      </c>
      <c r="C1561" s="1" t="s">
        <v>76</v>
      </c>
      <c r="D1561" s="2">
        <v>45069</v>
      </c>
      <c r="E1561" s="1" t="s">
        <v>1358</v>
      </c>
      <c r="F1561" s="5">
        <f t="shared" si="97"/>
        <v>2553.46</v>
      </c>
      <c r="G1561" s="1">
        <v>5</v>
      </c>
      <c r="H1561" s="1" t="str">
        <f t="shared" si="98"/>
        <v>High</v>
      </c>
      <c r="I1561" s="1" t="str">
        <f t="shared" si="99"/>
        <v>Other</v>
      </c>
      <c r="J1561" s="1">
        <f t="shared" si="100"/>
        <v>334385.14999999997</v>
      </c>
    </row>
    <row r="1562" spans="1:10" ht="12.75">
      <c r="A1562" s="1" t="s">
        <v>16</v>
      </c>
      <c r="B1562" s="1" t="s">
        <v>54</v>
      </c>
      <c r="C1562" s="1" t="s">
        <v>81</v>
      </c>
      <c r="D1562" s="2">
        <v>45042</v>
      </c>
      <c r="E1562" s="1" t="s">
        <v>1359</v>
      </c>
      <c r="F1562" s="5">
        <f t="shared" si="97"/>
        <v>1888.94</v>
      </c>
      <c r="G1562" s="1">
        <v>159</v>
      </c>
      <c r="H1562" s="1" t="str">
        <f t="shared" si="98"/>
        <v>High</v>
      </c>
      <c r="I1562" s="1" t="str">
        <f t="shared" si="99"/>
        <v>Other</v>
      </c>
      <c r="J1562" s="1">
        <f t="shared" si="100"/>
        <v>334385.14999999997</v>
      </c>
    </row>
    <row r="1563" spans="1:10" ht="12.75">
      <c r="A1563" s="1" t="s">
        <v>22</v>
      </c>
      <c r="B1563" s="1" t="s">
        <v>62</v>
      </c>
      <c r="C1563" s="1" t="s">
        <v>68</v>
      </c>
      <c r="D1563" s="2">
        <v>45112</v>
      </c>
      <c r="E1563" s="1" t="s">
        <v>1360</v>
      </c>
      <c r="F1563" s="5">
        <f t="shared" si="97"/>
        <v>1310.04</v>
      </c>
      <c r="G1563" s="1">
        <v>71</v>
      </c>
      <c r="H1563" s="1" t="str">
        <f t="shared" si="98"/>
        <v>High</v>
      </c>
      <c r="I1563" s="1" t="str">
        <f t="shared" si="99"/>
        <v>Other</v>
      </c>
      <c r="J1563" s="1">
        <f t="shared" si="100"/>
        <v>334385.14999999997</v>
      </c>
    </row>
    <row r="1564" spans="1:10" ht="12.75">
      <c r="A1564" s="1" t="s">
        <v>9</v>
      </c>
      <c r="B1564" s="1" t="s">
        <v>39</v>
      </c>
      <c r="C1564" s="1" t="s">
        <v>68</v>
      </c>
      <c r="D1564" s="2">
        <v>45128</v>
      </c>
      <c r="E1564" s="1" t="s">
        <v>1361</v>
      </c>
      <c r="F1564" s="5">
        <f t="shared" si="97"/>
        <v>7805.9</v>
      </c>
      <c r="G1564" s="1">
        <v>179</v>
      </c>
      <c r="H1564" s="1" t="str">
        <f t="shared" si="98"/>
        <v>High</v>
      </c>
      <c r="I1564" s="1" t="str">
        <f t="shared" si="99"/>
        <v>Other</v>
      </c>
      <c r="J1564" s="1">
        <f t="shared" si="100"/>
        <v>334385.14999999997</v>
      </c>
    </row>
    <row r="1565" spans="1:10" ht="12.75">
      <c r="A1565" s="1" t="s">
        <v>21</v>
      </c>
      <c r="B1565" s="1" t="s">
        <v>59</v>
      </c>
      <c r="C1565" s="1" t="s">
        <v>40</v>
      </c>
      <c r="D1565" s="2">
        <v>44978</v>
      </c>
      <c r="E1565" s="1" t="s">
        <v>1362</v>
      </c>
      <c r="F1565" s="5">
        <f t="shared" si="97"/>
        <v>6101.12</v>
      </c>
      <c r="G1565" s="1">
        <v>261</v>
      </c>
      <c r="H1565" s="1" t="str">
        <f t="shared" si="98"/>
        <v>High</v>
      </c>
      <c r="I1565" s="1" t="str">
        <f t="shared" si="99"/>
        <v>Other</v>
      </c>
      <c r="J1565" s="1">
        <f t="shared" si="100"/>
        <v>334385.14999999997</v>
      </c>
    </row>
    <row r="1566" spans="1:10" ht="12.75">
      <c r="A1566" s="1" t="s">
        <v>12</v>
      </c>
      <c r="B1566" s="1" t="s">
        <v>59</v>
      </c>
      <c r="C1566" s="1" t="s">
        <v>60</v>
      </c>
      <c r="D1566" s="2">
        <v>44960</v>
      </c>
      <c r="E1566" s="1" t="s">
        <v>1363</v>
      </c>
      <c r="F1566" s="5">
        <f t="shared" si="97"/>
        <v>1425.81</v>
      </c>
      <c r="G1566" s="1">
        <v>133</v>
      </c>
      <c r="H1566" s="1" t="str">
        <f t="shared" si="98"/>
        <v>High</v>
      </c>
      <c r="I1566" s="1" t="str">
        <f t="shared" si="99"/>
        <v>Other</v>
      </c>
      <c r="J1566" s="1">
        <f t="shared" si="100"/>
        <v>334385.14999999997</v>
      </c>
    </row>
    <row r="1567" spans="1:10" ht="12.75">
      <c r="A1567" s="1" t="s">
        <v>20</v>
      </c>
      <c r="B1567" s="1" t="s">
        <v>5</v>
      </c>
      <c r="C1567" s="1" t="s">
        <v>126</v>
      </c>
      <c r="D1567" s="2">
        <v>45115</v>
      </c>
      <c r="E1567" s="1" t="s">
        <v>1364</v>
      </c>
      <c r="F1567" s="5">
        <f t="shared" si="97"/>
        <v>8724.4</v>
      </c>
      <c r="G1567" s="1">
        <v>147</v>
      </c>
      <c r="H1567" s="1" t="str">
        <f t="shared" si="98"/>
        <v>High</v>
      </c>
      <c r="I1567" s="1" t="str">
        <f t="shared" si="99"/>
        <v>Other</v>
      </c>
      <c r="J1567" s="1">
        <f t="shared" si="100"/>
        <v>334385.14999999997</v>
      </c>
    </row>
    <row r="1568" spans="1:10" ht="12.75">
      <c r="A1568" s="1" t="s">
        <v>2</v>
      </c>
      <c r="B1568" s="1" t="s">
        <v>42</v>
      </c>
      <c r="C1568" s="1" t="s">
        <v>55</v>
      </c>
      <c r="D1568" s="2">
        <v>45077</v>
      </c>
      <c r="E1568" s="1" t="s">
        <v>1365</v>
      </c>
      <c r="F1568" s="5">
        <f t="shared" si="97"/>
        <v>664.82</v>
      </c>
      <c r="G1568" s="1">
        <v>147</v>
      </c>
      <c r="H1568" s="1" t="str">
        <f t="shared" si="98"/>
        <v>Medium</v>
      </c>
      <c r="I1568" s="1" t="str">
        <f t="shared" si="99"/>
        <v>Other</v>
      </c>
      <c r="J1568" s="1">
        <f t="shared" si="100"/>
        <v>334385.14999999997</v>
      </c>
    </row>
    <row r="1569" spans="1:10" ht="12.75">
      <c r="A1569" s="1" t="s">
        <v>10</v>
      </c>
      <c r="B1569" s="1" t="s">
        <v>54</v>
      </c>
      <c r="C1569" s="1" t="s">
        <v>40</v>
      </c>
      <c r="D1569" s="2">
        <v>45104</v>
      </c>
      <c r="E1569" s="1" t="s">
        <v>1366</v>
      </c>
      <c r="F1569" s="5">
        <f t="shared" si="97"/>
        <v>4351.3100000000004</v>
      </c>
      <c r="G1569" s="1">
        <v>103</v>
      </c>
      <c r="H1569" s="1" t="str">
        <f t="shared" si="98"/>
        <v>High</v>
      </c>
      <c r="I1569" s="1" t="str">
        <f t="shared" si="99"/>
        <v>Other</v>
      </c>
      <c r="J1569" s="1">
        <f t="shared" si="100"/>
        <v>333720.32999999996</v>
      </c>
    </row>
    <row r="1570" spans="1:10" ht="12.75">
      <c r="A1570" s="1" t="s">
        <v>10</v>
      </c>
      <c r="B1570" s="1" t="s">
        <v>42</v>
      </c>
      <c r="C1570" s="1" t="s">
        <v>55</v>
      </c>
      <c r="D1570" s="2">
        <v>45059</v>
      </c>
      <c r="E1570" s="1" t="s">
        <v>1367</v>
      </c>
      <c r="F1570" s="5">
        <f t="shared" si="97"/>
        <v>5825.09</v>
      </c>
      <c r="G1570" s="1">
        <v>123</v>
      </c>
      <c r="H1570" s="1" t="str">
        <f t="shared" si="98"/>
        <v>High</v>
      </c>
      <c r="I1570" s="1" t="str">
        <f t="shared" si="99"/>
        <v>Other</v>
      </c>
      <c r="J1570" s="1">
        <f t="shared" si="100"/>
        <v>333720.32999999996</v>
      </c>
    </row>
    <row r="1571" spans="1:10" ht="12.75">
      <c r="A1571" s="1" t="s">
        <v>10</v>
      </c>
      <c r="B1571" s="1" t="s">
        <v>59</v>
      </c>
      <c r="C1571" s="1" t="s">
        <v>86</v>
      </c>
      <c r="D1571" s="2">
        <v>45077</v>
      </c>
      <c r="E1571" s="1" t="s">
        <v>1368</v>
      </c>
      <c r="F1571" s="5">
        <f t="shared" si="97"/>
        <v>2418.9299999999998</v>
      </c>
      <c r="G1571" s="1">
        <v>110</v>
      </c>
      <c r="H1571" s="1" t="str">
        <f t="shared" si="98"/>
        <v>High</v>
      </c>
      <c r="I1571" s="1" t="str">
        <f t="shared" si="99"/>
        <v>Other</v>
      </c>
      <c r="J1571" s="1">
        <f t="shared" si="100"/>
        <v>333720.32999999996</v>
      </c>
    </row>
    <row r="1572" spans="1:10" ht="12.75">
      <c r="A1572" s="1" t="s">
        <v>29</v>
      </c>
      <c r="B1572" s="1" t="s">
        <v>59</v>
      </c>
      <c r="C1572" s="1" t="s">
        <v>60</v>
      </c>
      <c r="D1572" s="2">
        <v>44985</v>
      </c>
      <c r="E1572" s="1" t="s">
        <v>1369</v>
      </c>
      <c r="F1572" s="5">
        <f t="shared" si="97"/>
        <v>7725.52</v>
      </c>
      <c r="G1572" s="1">
        <v>38</v>
      </c>
      <c r="H1572" s="1" t="str">
        <f t="shared" si="98"/>
        <v>High</v>
      </c>
      <c r="I1572" s="1" t="str">
        <f t="shared" si="99"/>
        <v>Other</v>
      </c>
      <c r="J1572" s="1">
        <f t="shared" si="100"/>
        <v>333720.32999999996</v>
      </c>
    </row>
    <row r="1573" spans="1:10" ht="12.75">
      <c r="A1573" s="1" t="s">
        <v>16</v>
      </c>
      <c r="B1573" s="1" t="s">
        <v>54</v>
      </c>
      <c r="C1573" s="1" t="s">
        <v>63</v>
      </c>
      <c r="D1573" s="2">
        <v>45013</v>
      </c>
      <c r="E1573" s="1" t="s">
        <v>1370</v>
      </c>
      <c r="F1573" s="5">
        <f t="shared" si="97"/>
        <v>7144.08</v>
      </c>
      <c r="G1573" s="1">
        <v>32</v>
      </c>
      <c r="H1573" s="1" t="str">
        <f t="shared" si="98"/>
        <v>High</v>
      </c>
      <c r="I1573" s="1" t="str">
        <f t="shared" si="99"/>
        <v>Other</v>
      </c>
      <c r="J1573" s="1">
        <f t="shared" si="100"/>
        <v>333720.32999999996</v>
      </c>
    </row>
    <row r="1574" spans="1:10" ht="12.75">
      <c r="A1574" s="1" t="s">
        <v>20</v>
      </c>
      <c r="B1574" s="1" t="s">
        <v>59</v>
      </c>
      <c r="C1574" s="1" t="s">
        <v>52</v>
      </c>
      <c r="D1574" s="2">
        <v>44940</v>
      </c>
      <c r="E1574" s="1" t="s">
        <v>1371</v>
      </c>
      <c r="F1574" s="5">
        <f t="shared" si="97"/>
        <v>2043.13</v>
      </c>
      <c r="G1574" s="1">
        <v>243</v>
      </c>
      <c r="H1574" s="1" t="str">
        <f t="shared" si="98"/>
        <v>High</v>
      </c>
      <c r="I1574" s="1" t="str">
        <f t="shared" si="99"/>
        <v>Other</v>
      </c>
      <c r="J1574" s="1">
        <f t="shared" si="100"/>
        <v>333720.32999999996</v>
      </c>
    </row>
    <row r="1575" spans="1:10" ht="12.75">
      <c r="A1575" s="1" t="s">
        <v>16</v>
      </c>
      <c r="B1575" s="1" t="s">
        <v>54</v>
      </c>
      <c r="C1575" s="1" t="s">
        <v>40</v>
      </c>
      <c r="D1575" s="2">
        <v>44978</v>
      </c>
      <c r="E1575" s="1" t="s">
        <v>1372</v>
      </c>
      <c r="F1575" s="5">
        <f t="shared" si="97"/>
        <v>6526.01</v>
      </c>
      <c r="G1575" s="1">
        <v>147</v>
      </c>
      <c r="H1575" s="1" t="str">
        <f t="shared" si="98"/>
        <v>High</v>
      </c>
      <c r="I1575" s="1" t="str">
        <f t="shared" si="99"/>
        <v>Other</v>
      </c>
      <c r="J1575" s="1">
        <f t="shared" si="100"/>
        <v>333720.32999999996</v>
      </c>
    </row>
    <row r="1576" spans="1:10" ht="12.75">
      <c r="A1576" s="1" t="s">
        <v>6</v>
      </c>
      <c r="B1576" s="1" t="s">
        <v>62</v>
      </c>
      <c r="C1576" s="1" t="s">
        <v>43</v>
      </c>
      <c r="D1576" s="2">
        <v>45139</v>
      </c>
      <c r="E1576" s="1" t="s">
        <v>1373</v>
      </c>
      <c r="F1576" s="5">
        <f t="shared" si="97"/>
        <v>11334.77</v>
      </c>
      <c r="G1576" s="1">
        <v>89</v>
      </c>
      <c r="H1576" s="1" t="str">
        <f t="shared" si="98"/>
        <v>High</v>
      </c>
      <c r="I1576" s="1" t="str">
        <f t="shared" si="99"/>
        <v>Other</v>
      </c>
      <c r="J1576" s="1">
        <f t="shared" si="100"/>
        <v>333720.32999999996</v>
      </c>
    </row>
    <row r="1577" spans="1:10" ht="12.75">
      <c r="A1577" s="1" t="s">
        <v>28</v>
      </c>
      <c r="B1577" s="1" t="s">
        <v>54</v>
      </c>
      <c r="C1577" s="1" t="s">
        <v>49</v>
      </c>
      <c r="D1577" s="2">
        <v>45065</v>
      </c>
      <c r="E1577" s="1" t="s">
        <v>1374</v>
      </c>
      <c r="F1577" s="5">
        <f t="shared" si="97"/>
        <v>2492.67</v>
      </c>
      <c r="G1577" s="1">
        <v>58</v>
      </c>
      <c r="H1577" s="1" t="str">
        <f t="shared" si="98"/>
        <v>High</v>
      </c>
      <c r="I1577" s="1" t="str">
        <f t="shared" si="99"/>
        <v>Other</v>
      </c>
      <c r="J1577" s="1">
        <f t="shared" si="100"/>
        <v>333720.32999999996</v>
      </c>
    </row>
    <row r="1578" spans="1:10" ht="12.75">
      <c r="A1578" s="1" t="s">
        <v>13</v>
      </c>
      <c r="B1578" s="1" t="s">
        <v>59</v>
      </c>
      <c r="C1578" s="1" t="s">
        <v>84</v>
      </c>
      <c r="D1578" s="2">
        <v>45120</v>
      </c>
      <c r="E1578" s="1" t="s">
        <v>1375</v>
      </c>
      <c r="F1578" s="5">
        <f t="shared" si="97"/>
        <v>2066.48</v>
      </c>
      <c r="G1578" s="1">
        <v>59</v>
      </c>
      <c r="H1578" s="1" t="str">
        <f t="shared" si="98"/>
        <v>High</v>
      </c>
      <c r="I1578" s="1" t="str">
        <f t="shared" si="99"/>
        <v>Other</v>
      </c>
      <c r="J1578" s="1">
        <f t="shared" si="100"/>
        <v>333720.32999999996</v>
      </c>
    </row>
    <row r="1579" spans="1:10" ht="12.75">
      <c r="A1579" s="1" t="s">
        <v>27</v>
      </c>
      <c r="B1579" s="1" t="s">
        <v>5</v>
      </c>
      <c r="C1579" s="1" t="s">
        <v>45</v>
      </c>
      <c r="D1579" s="2">
        <v>45036</v>
      </c>
      <c r="E1579" s="1" t="s">
        <v>1376</v>
      </c>
      <c r="F1579" s="5">
        <f t="shared" si="97"/>
        <v>7009.01</v>
      </c>
      <c r="G1579" s="1">
        <v>150</v>
      </c>
      <c r="H1579" s="1" t="str">
        <f t="shared" si="98"/>
        <v>High</v>
      </c>
      <c r="I1579" s="1" t="str">
        <f t="shared" si="99"/>
        <v>Other</v>
      </c>
      <c r="J1579" s="1">
        <f t="shared" si="100"/>
        <v>333720.32999999996</v>
      </c>
    </row>
    <row r="1580" spans="1:10" ht="12.75">
      <c r="A1580" s="1" t="s">
        <v>6</v>
      </c>
      <c r="B1580" s="1" t="s">
        <v>42</v>
      </c>
      <c r="C1580" s="1" t="s">
        <v>43</v>
      </c>
      <c r="D1580" s="2">
        <v>45107</v>
      </c>
      <c r="E1580" s="1" t="s">
        <v>1377</v>
      </c>
      <c r="F1580" s="5">
        <f t="shared" si="97"/>
        <v>4562.97</v>
      </c>
      <c r="G1580" s="1">
        <v>21</v>
      </c>
      <c r="H1580" s="1" t="str">
        <f t="shared" si="98"/>
        <v>High</v>
      </c>
      <c r="I1580" s="1" t="str">
        <f t="shared" si="99"/>
        <v>Other</v>
      </c>
      <c r="J1580" s="1">
        <f t="shared" si="100"/>
        <v>333720.32999999996</v>
      </c>
    </row>
    <row r="1581" spans="1:10" ht="12.75">
      <c r="A1581" s="1" t="s">
        <v>24</v>
      </c>
      <c r="B1581" s="1" t="s">
        <v>39</v>
      </c>
      <c r="C1581" s="1" t="s">
        <v>55</v>
      </c>
      <c r="D1581" s="2">
        <v>44993</v>
      </c>
      <c r="E1581" s="1" t="s">
        <v>1378</v>
      </c>
      <c r="F1581" s="5">
        <f t="shared" si="97"/>
        <v>3442.99</v>
      </c>
      <c r="G1581" s="1">
        <v>142</v>
      </c>
      <c r="H1581" s="1" t="str">
        <f t="shared" si="98"/>
        <v>High</v>
      </c>
      <c r="I1581" s="1" t="str">
        <f t="shared" si="99"/>
        <v>Other</v>
      </c>
      <c r="J1581" s="1">
        <f t="shared" si="100"/>
        <v>333720.32999999996</v>
      </c>
    </row>
    <row r="1582" spans="1:10" ht="12.75">
      <c r="A1582" s="1" t="s">
        <v>23</v>
      </c>
      <c r="B1582" s="1" t="s">
        <v>59</v>
      </c>
      <c r="C1582" s="1" t="s">
        <v>81</v>
      </c>
      <c r="D1582" s="2">
        <v>44994</v>
      </c>
      <c r="E1582" s="1" t="s">
        <v>1379</v>
      </c>
      <c r="F1582" s="5">
        <f t="shared" si="97"/>
        <v>6669.6</v>
      </c>
      <c r="G1582" s="1">
        <v>99</v>
      </c>
      <c r="H1582" s="1" t="str">
        <f t="shared" si="98"/>
        <v>High</v>
      </c>
      <c r="I1582" s="1" t="str">
        <f t="shared" si="99"/>
        <v>Other</v>
      </c>
      <c r="J1582" s="1">
        <f t="shared" si="100"/>
        <v>333720.32999999996</v>
      </c>
    </row>
    <row r="1583" spans="1:10" ht="12.75">
      <c r="A1583" s="1" t="s">
        <v>22</v>
      </c>
      <c r="B1583" s="1" t="s">
        <v>62</v>
      </c>
      <c r="C1583" s="1" t="s">
        <v>100</v>
      </c>
      <c r="D1583" s="2">
        <v>45093</v>
      </c>
      <c r="E1583" s="1" t="s">
        <v>1380</v>
      </c>
      <c r="F1583" s="5">
        <f t="shared" si="97"/>
        <v>1902.47</v>
      </c>
      <c r="G1583" s="1">
        <v>217</v>
      </c>
      <c r="H1583" s="1" t="str">
        <f t="shared" si="98"/>
        <v>High</v>
      </c>
      <c r="I1583" s="1" t="str">
        <f t="shared" si="99"/>
        <v>Other</v>
      </c>
      <c r="J1583" s="1">
        <f t="shared" si="100"/>
        <v>333720.32999999996</v>
      </c>
    </row>
    <row r="1584" spans="1:10" ht="12.75">
      <c r="A1584" s="1" t="s">
        <v>20</v>
      </c>
      <c r="B1584" s="1" t="s">
        <v>39</v>
      </c>
      <c r="C1584" s="1" t="s">
        <v>65</v>
      </c>
      <c r="D1584" s="2">
        <v>45107</v>
      </c>
      <c r="E1584" s="1" t="s">
        <v>1381</v>
      </c>
      <c r="F1584" s="5">
        <f t="shared" si="97"/>
        <v>6157.17</v>
      </c>
      <c r="G1584" s="1">
        <v>43</v>
      </c>
      <c r="H1584" s="1" t="str">
        <f t="shared" si="98"/>
        <v>High</v>
      </c>
      <c r="I1584" s="1" t="str">
        <f t="shared" si="99"/>
        <v>Other</v>
      </c>
      <c r="J1584" s="1">
        <f t="shared" si="100"/>
        <v>333720.32999999996</v>
      </c>
    </row>
    <row r="1585" spans="1:10" ht="12.75">
      <c r="A1585" s="1" t="s">
        <v>12</v>
      </c>
      <c r="B1585" s="1" t="s">
        <v>42</v>
      </c>
      <c r="C1585" s="1" t="s">
        <v>40</v>
      </c>
      <c r="D1585" s="2">
        <v>45135</v>
      </c>
      <c r="E1585" s="1" t="s">
        <v>1382</v>
      </c>
      <c r="F1585" s="5">
        <f t="shared" si="97"/>
        <v>3012.68</v>
      </c>
      <c r="G1585" s="1">
        <v>129</v>
      </c>
      <c r="H1585" s="1" t="str">
        <f t="shared" si="98"/>
        <v>High</v>
      </c>
      <c r="I1585" s="1" t="str">
        <f t="shared" si="99"/>
        <v>Other</v>
      </c>
      <c r="J1585" s="1">
        <f t="shared" si="100"/>
        <v>333720.32999999996</v>
      </c>
    </row>
    <row r="1586" spans="1:10" ht="12.75">
      <c r="A1586" s="1" t="s">
        <v>18</v>
      </c>
      <c r="B1586" s="1" t="s">
        <v>62</v>
      </c>
      <c r="C1586" s="1" t="s">
        <v>45</v>
      </c>
      <c r="D1586" s="2">
        <v>45150</v>
      </c>
      <c r="E1586" s="1" t="s">
        <v>1383</v>
      </c>
      <c r="F1586" s="5">
        <f t="shared" si="97"/>
        <v>3473.62</v>
      </c>
      <c r="G1586" s="1">
        <v>170</v>
      </c>
      <c r="H1586" s="1" t="str">
        <f t="shared" si="98"/>
        <v>High</v>
      </c>
      <c r="I1586" s="1" t="str">
        <f t="shared" si="99"/>
        <v>Other</v>
      </c>
      <c r="J1586" s="1">
        <f t="shared" si="100"/>
        <v>333720.32999999996</v>
      </c>
    </row>
    <row r="1587" spans="1:10" ht="12.75">
      <c r="A1587" s="1" t="s">
        <v>16</v>
      </c>
      <c r="B1587" s="1" t="s">
        <v>39</v>
      </c>
      <c r="C1587" s="1" t="s">
        <v>40</v>
      </c>
      <c r="D1587" s="2">
        <v>45114</v>
      </c>
      <c r="E1587" s="1" t="s">
        <v>1384</v>
      </c>
      <c r="F1587" s="5">
        <f t="shared" si="97"/>
        <v>4129.9799999999996</v>
      </c>
      <c r="G1587" s="1">
        <v>332</v>
      </c>
      <c r="H1587" s="1" t="str">
        <f t="shared" si="98"/>
        <v>High</v>
      </c>
      <c r="I1587" s="1" t="str">
        <f t="shared" si="99"/>
        <v>Other</v>
      </c>
      <c r="J1587" s="1">
        <f t="shared" si="100"/>
        <v>333720.32999999996</v>
      </c>
    </row>
    <row r="1588" spans="1:10" ht="12.75">
      <c r="A1588" s="1" t="s">
        <v>16</v>
      </c>
      <c r="B1588" s="1" t="s">
        <v>59</v>
      </c>
      <c r="C1588" s="1" t="s">
        <v>43</v>
      </c>
      <c r="D1588" s="2">
        <v>45163</v>
      </c>
      <c r="E1588" s="1" t="s">
        <v>1385</v>
      </c>
      <c r="F1588" s="5">
        <f t="shared" si="97"/>
        <v>14566.22</v>
      </c>
      <c r="G1588" s="1">
        <v>45</v>
      </c>
      <c r="H1588" s="1" t="str">
        <f t="shared" si="98"/>
        <v>High</v>
      </c>
      <c r="I1588" s="1" t="str">
        <f t="shared" si="99"/>
        <v>Other</v>
      </c>
      <c r="J1588" s="1">
        <f t="shared" si="100"/>
        <v>333720.32999999996</v>
      </c>
    </row>
    <row r="1589" spans="1:10" ht="12.75">
      <c r="A1589" s="1" t="s">
        <v>13</v>
      </c>
      <c r="B1589" s="1" t="s">
        <v>62</v>
      </c>
      <c r="C1589" s="1" t="s">
        <v>63</v>
      </c>
      <c r="D1589" s="2">
        <v>44943</v>
      </c>
      <c r="E1589" s="1" t="s">
        <v>1386</v>
      </c>
      <c r="F1589" s="5">
        <f t="shared" si="97"/>
        <v>4049.61</v>
      </c>
      <c r="G1589" s="1">
        <v>255</v>
      </c>
      <c r="H1589" s="1" t="str">
        <f t="shared" si="98"/>
        <v>High</v>
      </c>
      <c r="I1589" s="1" t="str">
        <f t="shared" si="99"/>
        <v>Other</v>
      </c>
      <c r="J1589" s="1">
        <f t="shared" si="100"/>
        <v>333720.32999999996</v>
      </c>
    </row>
    <row r="1590" spans="1:10" ht="12.75">
      <c r="A1590" s="1" t="s">
        <v>15</v>
      </c>
      <c r="B1590" s="1" t="s">
        <v>5</v>
      </c>
      <c r="C1590" s="1" t="s">
        <v>147</v>
      </c>
      <c r="D1590" s="2">
        <v>44989</v>
      </c>
      <c r="E1590" s="1" t="s">
        <v>1387</v>
      </c>
      <c r="F1590" s="5">
        <f t="shared" si="97"/>
        <v>5924.44</v>
      </c>
      <c r="G1590" s="1">
        <v>396</v>
      </c>
      <c r="H1590" s="1" t="str">
        <f t="shared" si="98"/>
        <v>High</v>
      </c>
      <c r="I1590" s="1" t="str">
        <f t="shared" si="99"/>
        <v>Other</v>
      </c>
      <c r="J1590" s="1">
        <f t="shared" si="100"/>
        <v>333720.32999999996</v>
      </c>
    </row>
    <row r="1591" spans="1:10" ht="12.75">
      <c r="A1591" s="1" t="s">
        <v>14</v>
      </c>
      <c r="B1591" s="1" t="s">
        <v>54</v>
      </c>
      <c r="C1591" s="1" t="s">
        <v>81</v>
      </c>
      <c r="D1591" s="2">
        <v>45163</v>
      </c>
      <c r="E1591" s="1" t="s">
        <v>1388</v>
      </c>
      <c r="F1591" s="5">
        <f t="shared" si="97"/>
        <v>10100.950000000001</v>
      </c>
      <c r="G1591" s="1">
        <v>4</v>
      </c>
      <c r="H1591" s="1" t="str">
        <f t="shared" si="98"/>
        <v>High</v>
      </c>
      <c r="I1591" s="1" t="str">
        <f t="shared" si="99"/>
        <v>Other</v>
      </c>
      <c r="J1591" s="1">
        <f t="shared" si="100"/>
        <v>333720.32999999996</v>
      </c>
    </row>
    <row r="1592" spans="1:10" ht="12.75">
      <c r="A1592" s="1" t="s">
        <v>17</v>
      </c>
      <c r="B1592" s="1" t="s">
        <v>39</v>
      </c>
      <c r="C1592" s="1" t="s">
        <v>45</v>
      </c>
      <c r="D1592" s="2">
        <v>45031</v>
      </c>
      <c r="E1592" s="1" t="s">
        <v>1389</v>
      </c>
      <c r="F1592" s="5">
        <f t="shared" si="97"/>
        <v>2362.0100000000002</v>
      </c>
      <c r="G1592" s="1">
        <v>272</v>
      </c>
      <c r="H1592" s="1" t="str">
        <f t="shared" si="98"/>
        <v>High</v>
      </c>
      <c r="I1592" s="1" t="str">
        <f t="shared" si="99"/>
        <v>Other</v>
      </c>
      <c r="J1592" s="1">
        <f t="shared" si="100"/>
        <v>333720.32999999996</v>
      </c>
    </row>
    <row r="1593" spans="1:10" ht="12.75">
      <c r="A1593" s="1" t="s">
        <v>8</v>
      </c>
      <c r="B1593" s="1" t="s">
        <v>59</v>
      </c>
      <c r="C1593" s="1" t="s">
        <v>68</v>
      </c>
      <c r="D1593" s="2">
        <v>44996</v>
      </c>
      <c r="E1593" s="1" t="s">
        <v>1390</v>
      </c>
      <c r="F1593" s="5">
        <f t="shared" si="97"/>
        <v>2638.76</v>
      </c>
      <c r="G1593" s="1">
        <v>24</v>
      </c>
      <c r="H1593" s="1" t="str">
        <f t="shared" si="98"/>
        <v>High</v>
      </c>
      <c r="I1593" s="1" t="str">
        <f t="shared" si="99"/>
        <v>Other</v>
      </c>
      <c r="J1593" s="1">
        <f t="shared" si="100"/>
        <v>333720.32999999996</v>
      </c>
    </row>
    <row r="1594" spans="1:10" ht="12.75">
      <c r="A1594" s="1" t="s">
        <v>25</v>
      </c>
      <c r="B1594" s="1" t="s">
        <v>59</v>
      </c>
      <c r="C1594" s="1" t="s">
        <v>100</v>
      </c>
      <c r="D1594" s="2">
        <v>45066</v>
      </c>
      <c r="E1594" s="1" t="s">
        <v>1391</v>
      </c>
      <c r="F1594" s="5">
        <f t="shared" si="97"/>
        <v>3496.41</v>
      </c>
      <c r="G1594" s="1">
        <v>18</v>
      </c>
      <c r="H1594" s="1" t="str">
        <f t="shared" si="98"/>
        <v>High</v>
      </c>
      <c r="I1594" s="1" t="str">
        <f t="shared" si="99"/>
        <v>Other</v>
      </c>
      <c r="J1594" s="1">
        <f t="shared" si="100"/>
        <v>333720.32999999996</v>
      </c>
    </row>
    <row r="1595" spans="1:10" ht="12.75">
      <c r="A1595" s="1" t="s">
        <v>7</v>
      </c>
      <c r="B1595" s="1" t="s">
        <v>54</v>
      </c>
      <c r="C1595" s="1" t="s">
        <v>86</v>
      </c>
      <c r="D1595" s="2">
        <v>45091</v>
      </c>
      <c r="E1595" s="1" t="s">
        <v>1392</v>
      </c>
      <c r="F1595" s="5">
        <f t="shared" si="97"/>
        <v>17222.86</v>
      </c>
      <c r="G1595" s="1">
        <v>44</v>
      </c>
      <c r="H1595" s="1" t="str">
        <f t="shared" si="98"/>
        <v>High</v>
      </c>
      <c r="I1595" s="1" t="str">
        <f t="shared" si="99"/>
        <v>Other</v>
      </c>
      <c r="J1595" s="1">
        <f t="shared" si="100"/>
        <v>333720.32999999996</v>
      </c>
    </row>
    <row r="1596" spans="1:10" ht="12.75">
      <c r="A1596" s="1" t="s">
        <v>11</v>
      </c>
      <c r="B1596" s="1" t="s">
        <v>54</v>
      </c>
      <c r="C1596" s="1" t="s">
        <v>52</v>
      </c>
      <c r="D1596" s="2">
        <v>45030</v>
      </c>
      <c r="E1596" s="1" t="s">
        <v>1393</v>
      </c>
      <c r="F1596" s="5">
        <f t="shared" si="97"/>
        <v>1604.87</v>
      </c>
      <c r="G1596" s="1">
        <v>71</v>
      </c>
      <c r="H1596" s="1" t="str">
        <f t="shared" si="98"/>
        <v>High</v>
      </c>
      <c r="I1596" s="1" t="str">
        <f t="shared" si="99"/>
        <v>Other</v>
      </c>
      <c r="J1596" s="1">
        <f t="shared" si="100"/>
        <v>333720.32999999996</v>
      </c>
    </row>
    <row r="1597" spans="1:10" ht="12.75">
      <c r="A1597" s="1" t="s">
        <v>11</v>
      </c>
      <c r="B1597" s="1" t="s">
        <v>59</v>
      </c>
      <c r="C1597" s="1" t="s">
        <v>49</v>
      </c>
      <c r="D1597" s="2">
        <v>45114</v>
      </c>
      <c r="E1597" s="1" t="s">
        <v>1394</v>
      </c>
      <c r="F1597" s="5">
        <f t="shared" si="97"/>
        <v>7170.21</v>
      </c>
      <c r="G1597" s="1">
        <v>151</v>
      </c>
      <c r="H1597" s="1" t="str">
        <f t="shared" si="98"/>
        <v>High</v>
      </c>
      <c r="I1597" s="1" t="str">
        <f t="shared" si="99"/>
        <v>Other</v>
      </c>
      <c r="J1597" s="1">
        <f t="shared" si="100"/>
        <v>333720.32999999996</v>
      </c>
    </row>
    <row r="1598" spans="1:10" ht="12.75">
      <c r="A1598" s="1" t="s">
        <v>9</v>
      </c>
      <c r="B1598" s="1" t="s">
        <v>42</v>
      </c>
      <c r="C1598" s="1" t="s">
        <v>40</v>
      </c>
      <c r="D1598" s="2">
        <v>45162</v>
      </c>
      <c r="E1598" s="1" t="s">
        <v>1395</v>
      </c>
      <c r="F1598" s="5">
        <f t="shared" si="97"/>
        <v>4090.16</v>
      </c>
      <c r="G1598" s="1">
        <v>75</v>
      </c>
      <c r="H1598" s="1" t="str">
        <f t="shared" si="98"/>
        <v>High</v>
      </c>
      <c r="I1598" s="1" t="str">
        <f t="shared" si="99"/>
        <v>Other</v>
      </c>
      <c r="J1598" s="1">
        <f t="shared" si="100"/>
        <v>333720.32999999996</v>
      </c>
    </row>
    <row r="1599" spans="1:10" ht="12.75">
      <c r="A1599" s="1" t="s">
        <v>11</v>
      </c>
      <c r="B1599" s="1" t="s">
        <v>42</v>
      </c>
      <c r="C1599" s="1" t="s">
        <v>63</v>
      </c>
      <c r="D1599" s="2">
        <v>44981</v>
      </c>
      <c r="E1599" s="1" t="s">
        <v>1396</v>
      </c>
      <c r="F1599" s="5">
        <f t="shared" si="97"/>
        <v>9574.3799999999992</v>
      </c>
      <c r="G1599" s="1">
        <v>134</v>
      </c>
      <c r="H1599" s="1" t="str">
        <f t="shared" si="98"/>
        <v>High</v>
      </c>
      <c r="I1599" s="1" t="str">
        <f t="shared" si="99"/>
        <v>Other</v>
      </c>
      <c r="J1599" s="1">
        <f t="shared" si="100"/>
        <v>333720.32999999996</v>
      </c>
    </row>
    <row r="1600" spans="1:10" ht="12.75">
      <c r="A1600" s="1" t="s">
        <v>18</v>
      </c>
      <c r="B1600" s="1" t="s">
        <v>62</v>
      </c>
      <c r="C1600" s="1" t="s">
        <v>100</v>
      </c>
      <c r="D1600" s="2">
        <v>45055</v>
      </c>
      <c r="E1600" s="1" t="s">
        <v>1397</v>
      </c>
      <c r="F1600" s="5">
        <f t="shared" si="97"/>
        <v>717.9</v>
      </c>
      <c r="G1600" s="1">
        <v>213</v>
      </c>
      <c r="H1600" s="1" t="str">
        <f t="shared" si="98"/>
        <v>Medium</v>
      </c>
      <c r="I1600" s="1" t="str">
        <f t="shared" si="99"/>
        <v>Other</v>
      </c>
      <c r="J1600" s="1">
        <f t="shared" si="100"/>
        <v>333720.32999999996</v>
      </c>
    </row>
    <row r="1601" spans="1:10" ht="12.75">
      <c r="A1601" s="1" t="s">
        <v>8</v>
      </c>
      <c r="B1601" s="1" t="s">
        <v>5</v>
      </c>
      <c r="C1601" s="1" t="s">
        <v>147</v>
      </c>
      <c r="D1601" s="2">
        <v>44965</v>
      </c>
      <c r="E1601" s="1" t="s">
        <v>1398</v>
      </c>
      <c r="F1601" s="5">
        <f t="shared" si="97"/>
        <v>7734.54</v>
      </c>
      <c r="G1601" s="1">
        <v>227</v>
      </c>
      <c r="H1601" s="1" t="str">
        <f t="shared" si="98"/>
        <v>High</v>
      </c>
      <c r="I1601" s="1" t="str">
        <f t="shared" si="99"/>
        <v>Other</v>
      </c>
      <c r="J1601" s="1">
        <f t="shared" si="100"/>
        <v>333720.32999999996</v>
      </c>
    </row>
    <row r="1602" spans="1:10" ht="12.75">
      <c r="A1602" s="1" t="s">
        <v>26</v>
      </c>
      <c r="B1602" s="1" t="s">
        <v>39</v>
      </c>
      <c r="C1602" s="1" t="s">
        <v>147</v>
      </c>
      <c r="D1602" s="2">
        <v>45009</v>
      </c>
      <c r="E1602" s="1" t="s">
        <v>1399</v>
      </c>
      <c r="F1602" s="5">
        <f t="shared" ref="F1602:F1665" si="101">VALUE(SUBSTITUTE(E1602,"$",""))</f>
        <v>1606.49</v>
      </c>
      <c r="G1602" s="1">
        <v>305</v>
      </c>
      <c r="H1602" s="1" t="str">
        <f t="shared" ref="H1602:H1665" si="102">IF(F1602&gt;800,"High",IF(F1602&gt;500,"Medium","Low"))</f>
        <v>High</v>
      </c>
      <c r="I1602" s="1" t="str">
        <f t="shared" ref="I1602:I1665" si="103">IF(AND(B1602="Australia",A1602="Mallorie Waber"),"Top Local","Other")</f>
        <v>Other</v>
      </c>
      <c r="J1602" s="1">
        <f t="shared" ref="J1602:J1665" si="104">SUMIF(A1602:A4882,"Mallorie Waber",F1602:F4882)</f>
        <v>333720.32999999996</v>
      </c>
    </row>
    <row r="1603" spans="1:10" ht="12.75">
      <c r="A1603" s="1" t="s">
        <v>19</v>
      </c>
      <c r="B1603" s="1" t="s">
        <v>59</v>
      </c>
      <c r="C1603" s="1" t="s">
        <v>65</v>
      </c>
      <c r="D1603" s="2">
        <v>45097</v>
      </c>
      <c r="E1603" s="1" t="s">
        <v>1400</v>
      </c>
      <c r="F1603" s="5">
        <f t="shared" si="101"/>
        <v>9170.09</v>
      </c>
      <c r="G1603" s="1">
        <v>79</v>
      </c>
      <c r="H1603" s="1" t="str">
        <f t="shared" si="102"/>
        <v>High</v>
      </c>
      <c r="I1603" s="1" t="str">
        <f t="shared" si="103"/>
        <v>Other</v>
      </c>
      <c r="J1603" s="1">
        <f t="shared" si="104"/>
        <v>333720.32999999996</v>
      </c>
    </row>
    <row r="1604" spans="1:10" ht="12.75">
      <c r="A1604" s="1" t="s">
        <v>2</v>
      </c>
      <c r="B1604" s="1" t="s">
        <v>62</v>
      </c>
      <c r="C1604" s="1" t="s">
        <v>86</v>
      </c>
      <c r="D1604" s="2">
        <v>44992</v>
      </c>
      <c r="E1604" s="1" t="s">
        <v>1401</v>
      </c>
      <c r="F1604" s="5">
        <f t="shared" si="101"/>
        <v>1583.57</v>
      </c>
      <c r="G1604" s="1">
        <v>122</v>
      </c>
      <c r="H1604" s="1" t="str">
        <f t="shared" si="102"/>
        <v>High</v>
      </c>
      <c r="I1604" s="1" t="str">
        <f t="shared" si="103"/>
        <v>Other</v>
      </c>
      <c r="J1604" s="1">
        <f t="shared" si="104"/>
        <v>333720.32999999996</v>
      </c>
    </row>
    <row r="1605" spans="1:10" ht="12.75">
      <c r="A1605" s="1" t="s">
        <v>8</v>
      </c>
      <c r="B1605" s="1" t="s">
        <v>5</v>
      </c>
      <c r="C1605" s="1" t="s">
        <v>81</v>
      </c>
      <c r="D1605" s="2">
        <v>45097</v>
      </c>
      <c r="E1605" s="1" t="s">
        <v>1402</v>
      </c>
      <c r="F1605" s="5">
        <f t="shared" si="101"/>
        <v>7684.52</v>
      </c>
      <c r="G1605" s="1">
        <v>83</v>
      </c>
      <c r="H1605" s="1" t="str">
        <f t="shared" si="102"/>
        <v>High</v>
      </c>
      <c r="I1605" s="1" t="str">
        <f t="shared" si="103"/>
        <v>Other</v>
      </c>
      <c r="J1605" s="1">
        <f t="shared" si="104"/>
        <v>332136.75999999995</v>
      </c>
    </row>
    <row r="1606" spans="1:10" ht="12.75">
      <c r="A1606" s="1" t="s">
        <v>22</v>
      </c>
      <c r="B1606" s="1" t="s">
        <v>54</v>
      </c>
      <c r="C1606" s="1" t="s">
        <v>68</v>
      </c>
      <c r="D1606" s="2">
        <v>44974</v>
      </c>
      <c r="E1606" s="1" t="s">
        <v>1403</v>
      </c>
      <c r="F1606" s="5">
        <f t="shared" si="101"/>
        <v>16765.07</v>
      </c>
      <c r="G1606" s="1">
        <v>261</v>
      </c>
      <c r="H1606" s="1" t="str">
        <f t="shared" si="102"/>
        <v>High</v>
      </c>
      <c r="I1606" s="1" t="str">
        <f t="shared" si="103"/>
        <v>Other</v>
      </c>
      <c r="J1606" s="1">
        <f t="shared" si="104"/>
        <v>332136.75999999995</v>
      </c>
    </row>
    <row r="1607" spans="1:10" ht="12.75">
      <c r="A1607" s="1" t="s">
        <v>9</v>
      </c>
      <c r="B1607" s="1" t="s">
        <v>39</v>
      </c>
      <c r="C1607" s="1" t="s">
        <v>51</v>
      </c>
      <c r="D1607" s="2">
        <v>44952</v>
      </c>
      <c r="E1607" s="1" t="s">
        <v>1404</v>
      </c>
      <c r="F1607" s="5">
        <f t="shared" si="101"/>
        <v>11796.63</v>
      </c>
      <c r="G1607" s="1">
        <v>45</v>
      </c>
      <c r="H1607" s="1" t="str">
        <f t="shared" si="102"/>
        <v>High</v>
      </c>
      <c r="I1607" s="1" t="str">
        <f t="shared" si="103"/>
        <v>Other</v>
      </c>
      <c r="J1607" s="1">
        <f t="shared" si="104"/>
        <v>332136.75999999995</v>
      </c>
    </row>
    <row r="1608" spans="1:10" ht="12.75">
      <c r="A1608" s="1" t="s">
        <v>9</v>
      </c>
      <c r="B1608" s="1" t="s">
        <v>5</v>
      </c>
      <c r="C1608" s="1" t="s">
        <v>40</v>
      </c>
      <c r="D1608" s="2">
        <v>45048</v>
      </c>
      <c r="E1608" s="1" t="s">
        <v>1405</v>
      </c>
      <c r="F1608" s="5">
        <f t="shared" si="101"/>
        <v>2766.65</v>
      </c>
      <c r="G1608" s="1">
        <v>148</v>
      </c>
      <c r="H1608" s="1" t="str">
        <f t="shared" si="102"/>
        <v>High</v>
      </c>
      <c r="I1608" s="1" t="str">
        <f t="shared" si="103"/>
        <v>Other</v>
      </c>
      <c r="J1608" s="1">
        <f t="shared" si="104"/>
        <v>332136.75999999995</v>
      </c>
    </row>
    <row r="1609" spans="1:10" ht="12.75">
      <c r="A1609" s="1" t="s">
        <v>24</v>
      </c>
      <c r="B1609" s="1" t="s">
        <v>62</v>
      </c>
      <c r="C1609" s="1" t="s">
        <v>51</v>
      </c>
      <c r="D1609" s="2">
        <v>45114</v>
      </c>
      <c r="E1609" s="1" t="s">
        <v>1406</v>
      </c>
      <c r="F1609" s="5">
        <f t="shared" si="101"/>
        <v>13232.74</v>
      </c>
      <c r="G1609" s="1">
        <v>7</v>
      </c>
      <c r="H1609" s="1" t="str">
        <f t="shared" si="102"/>
        <v>High</v>
      </c>
      <c r="I1609" s="1" t="str">
        <f t="shared" si="103"/>
        <v>Other</v>
      </c>
      <c r="J1609" s="1">
        <f t="shared" si="104"/>
        <v>332136.75999999995</v>
      </c>
    </row>
    <row r="1610" spans="1:10" ht="12.75">
      <c r="A1610" s="1" t="s">
        <v>19</v>
      </c>
      <c r="B1610" s="1" t="s">
        <v>5</v>
      </c>
      <c r="C1610" s="1" t="s">
        <v>122</v>
      </c>
      <c r="D1610" s="2">
        <v>45160</v>
      </c>
      <c r="E1610" s="1" t="s">
        <v>1407</v>
      </c>
      <c r="F1610" s="5">
        <f t="shared" si="101"/>
        <v>2820.41</v>
      </c>
      <c r="G1610" s="1">
        <v>50</v>
      </c>
      <c r="H1610" s="1" t="str">
        <f t="shared" si="102"/>
        <v>High</v>
      </c>
      <c r="I1610" s="1" t="str">
        <f t="shared" si="103"/>
        <v>Other</v>
      </c>
      <c r="J1610" s="1">
        <f t="shared" si="104"/>
        <v>332136.75999999995</v>
      </c>
    </row>
    <row r="1611" spans="1:10" ht="12.75">
      <c r="A1611" s="1" t="s">
        <v>18</v>
      </c>
      <c r="B1611" s="1" t="s">
        <v>5</v>
      </c>
      <c r="C1611" s="1" t="s">
        <v>52</v>
      </c>
      <c r="D1611" s="2">
        <v>45149</v>
      </c>
      <c r="E1611" s="1" t="s">
        <v>1408</v>
      </c>
      <c r="F1611" s="5">
        <f t="shared" si="101"/>
        <v>2483.3200000000002</v>
      </c>
      <c r="G1611" s="1">
        <v>65</v>
      </c>
      <c r="H1611" s="1" t="str">
        <f t="shared" si="102"/>
        <v>High</v>
      </c>
      <c r="I1611" s="1" t="str">
        <f t="shared" si="103"/>
        <v>Other</v>
      </c>
      <c r="J1611" s="1">
        <f t="shared" si="104"/>
        <v>332136.75999999995</v>
      </c>
    </row>
    <row r="1612" spans="1:10" ht="12.75">
      <c r="A1612" s="1" t="s">
        <v>14</v>
      </c>
      <c r="B1612" s="1" t="s">
        <v>39</v>
      </c>
      <c r="C1612" s="1" t="s">
        <v>51</v>
      </c>
      <c r="D1612" s="2">
        <v>44939</v>
      </c>
      <c r="E1612" s="1" t="s">
        <v>1409</v>
      </c>
      <c r="F1612" s="5">
        <f t="shared" si="101"/>
        <v>9124.16</v>
      </c>
      <c r="G1612" s="1">
        <v>209</v>
      </c>
      <c r="H1612" s="1" t="str">
        <f t="shared" si="102"/>
        <v>High</v>
      </c>
      <c r="I1612" s="1" t="str">
        <f t="shared" si="103"/>
        <v>Other</v>
      </c>
      <c r="J1612" s="1">
        <f t="shared" si="104"/>
        <v>332136.75999999995</v>
      </c>
    </row>
    <row r="1613" spans="1:10" ht="12.75">
      <c r="A1613" s="1" t="s">
        <v>23</v>
      </c>
      <c r="B1613" s="1" t="s">
        <v>5</v>
      </c>
      <c r="C1613" s="1" t="s">
        <v>55</v>
      </c>
      <c r="D1613" s="2">
        <v>44987</v>
      </c>
      <c r="E1613" s="1" t="s">
        <v>1410</v>
      </c>
      <c r="F1613" s="5">
        <f t="shared" si="101"/>
        <v>12728.16</v>
      </c>
      <c r="G1613" s="1">
        <v>111</v>
      </c>
      <c r="H1613" s="1" t="str">
        <f t="shared" si="102"/>
        <v>High</v>
      </c>
      <c r="I1613" s="1" t="str">
        <f t="shared" si="103"/>
        <v>Other</v>
      </c>
      <c r="J1613" s="1">
        <f t="shared" si="104"/>
        <v>332136.75999999995</v>
      </c>
    </row>
    <row r="1614" spans="1:10" ht="12.75">
      <c r="A1614" s="1" t="s">
        <v>14</v>
      </c>
      <c r="B1614" s="1" t="s">
        <v>5</v>
      </c>
      <c r="C1614" s="1" t="s">
        <v>102</v>
      </c>
      <c r="D1614" s="2">
        <v>45134</v>
      </c>
      <c r="E1614" s="1" t="s">
        <v>1411</v>
      </c>
      <c r="F1614" s="5">
        <f t="shared" si="101"/>
        <v>12624.64</v>
      </c>
      <c r="G1614" s="1">
        <v>41</v>
      </c>
      <c r="H1614" s="1" t="str">
        <f t="shared" si="102"/>
        <v>High</v>
      </c>
      <c r="I1614" s="1" t="str">
        <f t="shared" si="103"/>
        <v>Other</v>
      </c>
      <c r="J1614" s="1">
        <f t="shared" si="104"/>
        <v>332136.75999999995</v>
      </c>
    </row>
    <row r="1615" spans="1:10" ht="12.75">
      <c r="A1615" s="1" t="s">
        <v>12</v>
      </c>
      <c r="B1615" s="1" t="s">
        <v>54</v>
      </c>
      <c r="C1615" s="1" t="s">
        <v>65</v>
      </c>
      <c r="D1615" s="2">
        <v>44995</v>
      </c>
      <c r="E1615" s="1" t="s">
        <v>1412</v>
      </c>
      <c r="F1615" s="5">
        <f t="shared" si="101"/>
        <v>17584.16</v>
      </c>
      <c r="G1615" s="1">
        <v>110</v>
      </c>
      <c r="H1615" s="1" t="str">
        <f t="shared" si="102"/>
        <v>High</v>
      </c>
      <c r="I1615" s="1" t="str">
        <f t="shared" si="103"/>
        <v>Other</v>
      </c>
      <c r="J1615" s="1">
        <f t="shared" si="104"/>
        <v>332136.75999999995</v>
      </c>
    </row>
    <row r="1616" spans="1:10" ht="12.75">
      <c r="A1616" s="1" t="s">
        <v>28</v>
      </c>
      <c r="B1616" s="1" t="s">
        <v>59</v>
      </c>
      <c r="C1616" s="1" t="s">
        <v>43</v>
      </c>
      <c r="D1616" s="2">
        <v>45161</v>
      </c>
      <c r="E1616" s="1" t="s">
        <v>1413</v>
      </c>
      <c r="F1616" s="5">
        <f t="shared" si="101"/>
        <v>13156.49</v>
      </c>
      <c r="G1616" s="1">
        <v>360</v>
      </c>
      <c r="H1616" s="1" t="str">
        <f t="shared" si="102"/>
        <v>High</v>
      </c>
      <c r="I1616" s="1" t="str">
        <f t="shared" si="103"/>
        <v>Other</v>
      </c>
      <c r="J1616" s="1">
        <f t="shared" si="104"/>
        <v>332136.75999999995</v>
      </c>
    </row>
    <row r="1617" spans="1:10" ht="12.75">
      <c r="A1617" s="1" t="s">
        <v>26</v>
      </c>
      <c r="B1617" s="1" t="s">
        <v>59</v>
      </c>
      <c r="C1617" s="1" t="s">
        <v>63</v>
      </c>
      <c r="D1617" s="2">
        <v>45041</v>
      </c>
      <c r="E1617" s="1" t="s">
        <v>1414</v>
      </c>
      <c r="F1617" s="5">
        <f t="shared" si="101"/>
        <v>4164.1000000000004</v>
      </c>
      <c r="G1617" s="1">
        <v>167</v>
      </c>
      <c r="H1617" s="1" t="str">
        <f t="shared" si="102"/>
        <v>High</v>
      </c>
      <c r="I1617" s="1" t="str">
        <f t="shared" si="103"/>
        <v>Other</v>
      </c>
      <c r="J1617" s="1">
        <f t="shared" si="104"/>
        <v>332136.75999999995</v>
      </c>
    </row>
    <row r="1618" spans="1:10" ht="12.75">
      <c r="A1618" s="1" t="s">
        <v>6</v>
      </c>
      <c r="B1618" s="1" t="s">
        <v>39</v>
      </c>
      <c r="C1618" s="1" t="s">
        <v>72</v>
      </c>
      <c r="D1618" s="2">
        <v>44992</v>
      </c>
      <c r="E1618" s="1" t="s">
        <v>1415</v>
      </c>
      <c r="F1618" s="5">
        <f t="shared" si="101"/>
        <v>11698.98</v>
      </c>
      <c r="G1618" s="1">
        <v>436</v>
      </c>
      <c r="H1618" s="1" t="str">
        <f t="shared" si="102"/>
        <v>High</v>
      </c>
      <c r="I1618" s="1" t="str">
        <f t="shared" si="103"/>
        <v>Other</v>
      </c>
      <c r="J1618" s="1">
        <f t="shared" si="104"/>
        <v>332136.75999999995</v>
      </c>
    </row>
    <row r="1619" spans="1:10" ht="12.75">
      <c r="A1619" s="1" t="s">
        <v>29</v>
      </c>
      <c r="B1619" s="1" t="s">
        <v>39</v>
      </c>
      <c r="C1619" s="1" t="s">
        <v>68</v>
      </c>
      <c r="D1619" s="2">
        <v>45119</v>
      </c>
      <c r="E1619" s="1" t="s">
        <v>1416</v>
      </c>
      <c r="F1619" s="5">
        <f t="shared" si="101"/>
        <v>4964.25</v>
      </c>
      <c r="G1619" s="1">
        <v>56</v>
      </c>
      <c r="H1619" s="1" t="str">
        <f t="shared" si="102"/>
        <v>High</v>
      </c>
      <c r="I1619" s="1" t="str">
        <f t="shared" si="103"/>
        <v>Other</v>
      </c>
      <c r="J1619" s="1">
        <f t="shared" si="104"/>
        <v>332136.75999999995</v>
      </c>
    </row>
    <row r="1620" spans="1:10" ht="12.75">
      <c r="A1620" s="1" t="s">
        <v>9</v>
      </c>
      <c r="B1620" s="1" t="s">
        <v>59</v>
      </c>
      <c r="C1620" s="1" t="s">
        <v>60</v>
      </c>
      <c r="D1620" s="2">
        <v>45062</v>
      </c>
      <c r="E1620" s="1" t="s">
        <v>1417</v>
      </c>
      <c r="F1620" s="5">
        <f t="shared" si="101"/>
        <v>8258.3700000000008</v>
      </c>
      <c r="G1620" s="1">
        <v>132</v>
      </c>
      <c r="H1620" s="1" t="str">
        <f t="shared" si="102"/>
        <v>High</v>
      </c>
      <c r="I1620" s="1" t="str">
        <f t="shared" si="103"/>
        <v>Other</v>
      </c>
      <c r="J1620" s="1">
        <f t="shared" si="104"/>
        <v>332136.75999999995</v>
      </c>
    </row>
    <row r="1621" spans="1:10" ht="12.75">
      <c r="A1621" s="1" t="s">
        <v>23</v>
      </c>
      <c r="B1621" s="1" t="s">
        <v>42</v>
      </c>
      <c r="C1621" s="1" t="s">
        <v>49</v>
      </c>
      <c r="D1621" s="2">
        <v>44987</v>
      </c>
      <c r="E1621" s="1" t="s">
        <v>1418</v>
      </c>
      <c r="F1621" s="5">
        <f t="shared" si="101"/>
        <v>3938.2</v>
      </c>
      <c r="G1621" s="1">
        <v>70</v>
      </c>
      <c r="H1621" s="1" t="str">
        <f t="shared" si="102"/>
        <v>High</v>
      </c>
      <c r="I1621" s="1" t="str">
        <f t="shared" si="103"/>
        <v>Other</v>
      </c>
      <c r="J1621" s="1">
        <f t="shared" si="104"/>
        <v>332136.75999999995</v>
      </c>
    </row>
    <row r="1622" spans="1:10" ht="12.75">
      <c r="A1622" s="1" t="s">
        <v>14</v>
      </c>
      <c r="B1622" s="1" t="s">
        <v>54</v>
      </c>
      <c r="C1622" s="1" t="s">
        <v>43</v>
      </c>
      <c r="D1622" s="2">
        <v>45076</v>
      </c>
      <c r="E1622" s="1" t="s">
        <v>1419</v>
      </c>
      <c r="F1622" s="5">
        <f t="shared" si="101"/>
        <v>1368.27</v>
      </c>
      <c r="G1622" s="1">
        <v>163</v>
      </c>
      <c r="H1622" s="1" t="str">
        <f t="shared" si="102"/>
        <v>High</v>
      </c>
      <c r="I1622" s="1" t="str">
        <f t="shared" si="103"/>
        <v>Other</v>
      </c>
      <c r="J1622" s="1">
        <f t="shared" si="104"/>
        <v>332136.75999999995</v>
      </c>
    </row>
    <row r="1623" spans="1:10" ht="12.75">
      <c r="A1623" s="1" t="s">
        <v>14</v>
      </c>
      <c r="B1623" s="1" t="s">
        <v>39</v>
      </c>
      <c r="C1623" s="1" t="s">
        <v>86</v>
      </c>
      <c r="D1623" s="2">
        <v>45087</v>
      </c>
      <c r="E1623" s="1" t="s">
        <v>1420</v>
      </c>
      <c r="F1623" s="5">
        <f t="shared" si="101"/>
        <v>12449.46</v>
      </c>
      <c r="G1623" s="1">
        <v>177</v>
      </c>
      <c r="H1623" s="1" t="str">
        <f t="shared" si="102"/>
        <v>High</v>
      </c>
      <c r="I1623" s="1" t="str">
        <f t="shared" si="103"/>
        <v>Other</v>
      </c>
      <c r="J1623" s="1">
        <f t="shared" si="104"/>
        <v>332136.75999999995</v>
      </c>
    </row>
    <row r="1624" spans="1:10" ht="12.75">
      <c r="A1624" s="1" t="s">
        <v>7</v>
      </c>
      <c r="B1624" s="1" t="s">
        <v>59</v>
      </c>
      <c r="C1624" s="1" t="s">
        <v>51</v>
      </c>
      <c r="D1624" s="2">
        <v>45132</v>
      </c>
      <c r="E1624" s="1" t="s">
        <v>1421</v>
      </c>
      <c r="F1624" s="5">
        <f t="shared" si="101"/>
        <v>7323.82</v>
      </c>
      <c r="G1624" s="1">
        <v>339</v>
      </c>
      <c r="H1624" s="1" t="str">
        <f t="shared" si="102"/>
        <v>High</v>
      </c>
      <c r="I1624" s="1" t="str">
        <f t="shared" si="103"/>
        <v>Other</v>
      </c>
      <c r="J1624" s="1">
        <f t="shared" si="104"/>
        <v>332136.75999999995</v>
      </c>
    </row>
    <row r="1625" spans="1:10" ht="12.75">
      <c r="A1625" s="1" t="s">
        <v>28</v>
      </c>
      <c r="B1625" s="1" t="s">
        <v>54</v>
      </c>
      <c r="C1625" s="1" t="s">
        <v>40</v>
      </c>
      <c r="D1625" s="2">
        <v>45086</v>
      </c>
      <c r="E1625" s="1" t="s">
        <v>1422</v>
      </c>
      <c r="F1625" s="5">
        <f t="shared" si="101"/>
        <v>4560.8100000000004</v>
      </c>
      <c r="G1625" s="1">
        <v>102</v>
      </c>
      <c r="H1625" s="1" t="str">
        <f t="shared" si="102"/>
        <v>High</v>
      </c>
      <c r="I1625" s="1" t="str">
        <f t="shared" si="103"/>
        <v>Other</v>
      </c>
      <c r="J1625" s="1">
        <f t="shared" si="104"/>
        <v>332136.75999999995</v>
      </c>
    </row>
    <row r="1626" spans="1:10" ht="12.75">
      <c r="A1626" s="1" t="s">
        <v>6</v>
      </c>
      <c r="B1626" s="1" t="s">
        <v>59</v>
      </c>
      <c r="C1626" s="1" t="s">
        <v>72</v>
      </c>
      <c r="D1626" s="2">
        <v>45058</v>
      </c>
      <c r="E1626" s="1" t="s">
        <v>1423</v>
      </c>
      <c r="F1626" s="5">
        <f t="shared" si="101"/>
        <v>777.46</v>
      </c>
      <c r="G1626" s="1">
        <v>58</v>
      </c>
      <c r="H1626" s="1" t="str">
        <f t="shared" si="102"/>
        <v>Medium</v>
      </c>
      <c r="I1626" s="1" t="str">
        <f t="shared" si="103"/>
        <v>Other</v>
      </c>
      <c r="J1626" s="1">
        <f t="shared" si="104"/>
        <v>332136.75999999995</v>
      </c>
    </row>
    <row r="1627" spans="1:10" ht="12.75">
      <c r="A1627" s="1" t="s">
        <v>23</v>
      </c>
      <c r="B1627" s="1" t="s">
        <v>59</v>
      </c>
      <c r="C1627" s="1" t="s">
        <v>65</v>
      </c>
      <c r="D1627" s="2">
        <v>45055</v>
      </c>
      <c r="E1627" s="1" t="s">
        <v>1424</v>
      </c>
      <c r="F1627" s="5">
        <f t="shared" si="101"/>
        <v>3857.27</v>
      </c>
      <c r="G1627" s="1">
        <v>5</v>
      </c>
      <c r="H1627" s="1" t="str">
        <f t="shared" si="102"/>
        <v>High</v>
      </c>
      <c r="I1627" s="1" t="str">
        <f t="shared" si="103"/>
        <v>Other</v>
      </c>
      <c r="J1627" s="1">
        <f t="shared" si="104"/>
        <v>332136.75999999995</v>
      </c>
    </row>
    <row r="1628" spans="1:10" ht="12.75">
      <c r="A1628" s="1" t="s">
        <v>7</v>
      </c>
      <c r="B1628" s="1" t="s">
        <v>62</v>
      </c>
      <c r="C1628" s="1" t="s">
        <v>86</v>
      </c>
      <c r="D1628" s="2">
        <v>45147</v>
      </c>
      <c r="E1628" s="1" t="s">
        <v>1425</v>
      </c>
      <c r="F1628" s="5">
        <f t="shared" si="101"/>
        <v>7442.69</v>
      </c>
      <c r="G1628" s="1">
        <v>179</v>
      </c>
      <c r="H1628" s="1" t="str">
        <f t="shared" si="102"/>
        <v>High</v>
      </c>
      <c r="I1628" s="1" t="str">
        <f t="shared" si="103"/>
        <v>Other</v>
      </c>
      <c r="J1628" s="1">
        <f t="shared" si="104"/>
        <v>332136.75999999995</v>
      </c>
    </row>
    <row r="1629" spans="1:10" ht="12.75">
      <c r="A1629" s="1" t="s">
        <v>10</v>
      </c>
      <c r="B1629" s="1" t="s">
        <v>42</v>
      </c>
      <c r="C1629" s="1" t="s">
        <v>102</v>
      </c>
      <c r="D1629" s="2">
        <v>45029</v>
      </c>
      <c r="E1629" s="1" t="s">
        <v>1426</v>
      </c>
      <c r="F1629" s="5">
        <f t="shared" si="101"/>
        <v>5799.3</v>
      </c>
      <c r="G1629" s="1">
        <v>125</v>
      </c>
      <c r="H1629" s="1" t="str">
        <f t="shared" si="102"/>
        <v>High</v>
      </c>
      <c r="I1629" s="1" t="str">
        <f t="shared" si="103"/>
        <v>Other</v>
      </c>
      <c r="J1629" s="1">
        <f t="shared" si="104"/>
        <v>332136.75999999995</v>
      </c>
    </row>
    <row r="1630" spans="1:10" ht="12.75">
      <c r="A1630" s="1" t="s">
        <v>27</v>
      </c>
      <c r="B1630" s="1" t="s">
        <v>59</v>
      </c>
      <c r="C1630" s="1" t="s">
        <v>126</v>
      </c>
      <c r="D1630" s="2">
        <v>45048</v>
      </c>
      <c r="E1630" s="1" t="s">
        <v>1427</v>
      </c>
      <c r="F1630" s="5">
        <f t="shared" si="101"/>
        <v>8836.9</v>
      </c>
      <c r="G1630" s="1">
        <v>48</v>
      </c>
      <c r="H1630" s="1" t="str">
        <f t="shared" si="102"/>
        <v>High</v>
      </c>
      <c r="I1630" s="1" t="str">
        <f t="shared" si="103"/>
        <v>Other</v>
      </c>
      <c r="J1630" s="1">
        <f t="shared" si="104"/>
        <v>332136.75999999995</v>
      </c>
    </row>
    <row r="1631" spans="1:10" ht="12.75">
      <c r="A1631" s="1" t="s">
        <v>21</v>
      </c>
      <c r="B1631" s="1" t="s">
        <v>59</v>
      </c>
      <c r="C1631" s="1" t="s">
        <v>51</v>
      </c>
      <c r="D1631" s="2">
        <v>45147</v>
      </c>
      <c r="E1631" s="1" t="s">
        <v>1428</v>
      </c>
      <c r="F1631" s="5">
        <f t="shared" si="101"/>
        <v>4185</v>
      </c>
      <c r="G1631" s="1">
        <v>315</v>
      </c>
      <c r="H1631" s="1" t="str">
        <f t="shared" si="102"/>
        <v>High</v>
      </c>
      <c r="I1631" s="1" t="str">
        <f t="shared" si="103"/>
        <v>Other</v>
      </c>
      <c r="J1631" s="1">
        <f t="shared" si="104"/>
        <v>332136.75999999995</v>
      </c>
    </row>
    <row r="1632" spans="1:10" ht="12.75">
      <c r="A1632" s="1" t="s">
        <v>25</v>
      </c>
      <c r="B1632" s="1" t="s">
        <v>5</v>
      </c>
      <c r="C1632" s="1" t="s">
        <v>100</v>
      </c>
      <c r="D1632" s="2">
        <v>45161</v>
      </c>
      <c r="E1632" s="1" t="s">
        <v>1429</v>
      </c>
      <c r="F1632" s="5">
        <f t="shared" si="101"/>
        <v>6984.06</v>
      </c>
      <c r="G1632" s="1">
        <v>174</v>
      </c>
      <c r="H1632" s="1" t="str">
        <f t="shared" si="102"/>
        <v>High</v>
      </c>
      <c r="I1632" s="1" t="str">
        <f t="shared" si="103"/>
        <v>Other</v>
      </c>
      <c r="J1632" s="1">
        <f t="shared" si="104"/>
        <v>332136.75999999995</v>
      </c>
    </row>
    <row r="1633" spans="1:10" ht="12.75">
      <c r="A1633" s="1" t="s">
        <v>23</v>
      </c>
      <c r="B1633" s="1" t="s">
        <v>42</v>
      </c>
      <c r="C1633" s="1" t="s">
        <v>76</v>
      </c>
      <c r="D1633" s="2">
        <v>45059</v>
      </c>
      <c r="E1633" s="1" t="s">
        <v>1430</v>
      </c>
      <c r="F1633" s="5">
        <f t="shared" si="101"/>
        <v>7362.7</v>
      </c>
      <c r="G1633" s="1">
        <v>179</v>
      </c>
      <c r="H1633" s="1" t="str">
        <f t="shared" si="102"/>
        <v>High</v>
      </c>
      <c r="I1633" s="1" t="str">
        <f t="shared" si="103"/>
        <v>Other</v>
      </c>
      <c r="J1633" s="1">
        <f t="shared" si="104"/>
        <v>332136.75999999995</v>
      </c>
    </row>
    <row r="1634" spans="1:10" ht="12.75">
      <c r="A1634" s="1" t="s">
        <v>18</v>
      </c>
      <c r="B1634" s="1" t="s">
        <v>59</v>
      </c>
      <c r="C1634" s="1" t="s">
        <v>86</v>
      </c>
      <c r="D1634" s="2">
        <v>44958</v>
      </c>
      <c r="E1634" s="1" t="s">
        <v>1431</v>
      </c>
      <c r="F1634" s="5">
        <f t="shared" si="101"/>
        <v>10338.27</v>
      </c>
      <c r="G1634" s="1">
        <v>73</v>
      </c>
      <c r="H1634" s="1" t="str">
        <f t="shared" si="102"/>
        <v>High</v>
      </c>
      <c r="I1634" s="1" t="str">
        <f t="shared" si="103"/>
        <v>Other</v>
      </c>
      <c r="J1634" s="1">
        <f t="shared" si="104"/>
        <v>332136.75999999995</v>
      </c>
    </row>
    <row r="1635" spans="1:10" ht="12.75">
      <c r="A1635" s="1" t="s">
        <v>25</v>
      </c>
      <c r="B1635" s="1" t="s">
        <v>59</v>
      </c>
      <c r="C1635" s="1" t="s">
        <v>55</v>
      </c>
      <c r="D1635" s="2">
        <v>45100</v>
      </c>
      <c r="E1635" s="1" t="s">
        <v>1432</v>
      </c>
      <c r="F1635" s="5">
        <f t="shared" si="101"/>
        <v>6215.72</v>
      </c>
      <c r="G1635" s="1">
        <v>324</v>
      </c>
      <c r="H1635" s="1" t="str">
        <f t="shared" si="102"/>
        <v>High</v>
      </c>
      <c r="I1635" s="1" t="str">
        <f t="shared" si="103"/>
        <v>Other</v>
      </c>
      <c r="J1635" s="1">
        <f t="shared" si="104"/>
        <v>332136.75999999995</v>
      </c>
    </row>
    <row r="1636" spans="1:10" ht="12.75">
      <c r="A1636" s="1" t="s">
        <v>9</v>
      </c>
      <c r="B1636" s="1" t="s">
        <v>39</v>
      </c>
      <c r="C1636" s="1" t="s">
        <v>102</v>
      </c>
      <c r="D1636" s="2">
        <v>45070</v>
      </c>
      <c r="E1636" s="1" t="s">
        <v>1433</v>
      </c>
      <c r="F1636" s="5">
        <f t="shared" si="101"/>
        <v>10400.66</v>
      </c>
      <c r="G1636" s="1">
        <v>144</v>
      </c>
      <c r="H1636" s="1" t="str">
        <f t="shared" si="102"/>
        <v>High</v>
      </c>
      <c r="I1636" s="1" t="str">
        <f t="shared" si="103"/>
        <v>Other</v>
      </c>
      <c r="J1636" s="1">
        <f t="shared" si="104"/>
        <v>332136.75999999995</v>
      </c>
    </row>
    <row r="1637" spans="1:10" ht="12.75">
      <c r="A1637" s="1" t="s">
        <v>15</v>
      </c>
      <c r="B1637" s="1" t="s">
        <v>62</v>
      </c>
      <c r="C1637" s="1" t="s">
        <v>40</v>
      </c>
      <c r="D1637" s="2">
        <v>45017</v>
      </c>
      <c r="E1637" s="1" t="s">
        <v>1434</v>
      </c>
      <c r="F1637" s="5">
        <f t="shared" si="101"/>
        <v>1062.6099999999999</v>
      </c>
      <c r="G1637" s="1">
        <v>217</v>
      </c>
      <c r="H1637" s="1" t="str">
        <f t="shared" si="102"/>
        <v>High</v>
      </c>
      <c r="I1637" s="1" t="str">
        <f t="shared" si="103"/>
        <v>Other</v>
      </c>
      <c r="J1637" s="1">
        <f t="shared" si="104"/>
        <v>332136.75999999995</v>
      </c>
    </row>
    <row r="1638" spans="1:10" ht="12.75">
      <c r="A1638" s="1" t="s">
        <v>25</v>
      </c>
      <c r="B1638" s="1" t="s">
        <v>62</v>
      </c>
      <c r="C1638" s="1" t="s">
        <v>147</v>
      </c>
      <c r="D1638" s="2">
        <v>45134</v>
      </c>
      <c r="E1638" s="1" t="s">
        <v>1435</v>
      </c>
      <c r="F1638" s="5">
        <f t="shared" si="101"/>
        <v>10095.709999999999</v>
      </c>
      <c r="G1638" s="1">
        <v>151</v>
      </c>
      <c r="H1638" s="1" t="str">
        <f t="shared" si="102"/>
        <v>High</v>
      </c>
      <c r="I1638" s="1" t="str">
        <f t="shared" si="103"/>
        <v>Other</v>
      </c>
      <c r="J1638" s="1">
        <f t="shared" si="104"/>
        <v>332136.75999999995</v>
      </c>
    </row>
    <row r="1639" spans="1:10" ht="12.75">
      <c r="A1639" s="1" t="s">
        <v>17</v>
      </c>
      <c r="B1639" s="1" t="s">
        <v>42</v>
      </c>
      <c r="C1639" s="1" t="s">
        <v>45</v>
      </c>
      <c r="D1639" s="2">
        <v>44953</v>
      </c>
      <c r="E1639" s="1" t="s">
        <v>1436</v>
      </c>
      <c r="F1639" s="5">
        <f t="shared" si="101"/>
        <v>23251.68</v>
      </c>
      <c r="G1639" s="1">
        <v>210</v>
      </c>
      <c r="H1639" s="1" t="str">
        <f t="shared" si="102"/>
        <v>High</v>
      </c>
      <c r="I1639" s="1" t="str">
        <f t="shared" si="103"/>
        <v>Other</v>
      </c>
      <c r="J1639" s="1">
        <f t="shared" si="104"/>
        <v>332136.75999999995</v>
      </c>
    </row>
    <row r="1640" spans="1:10" ht="12.75">
      <c r="A1640" s="1" t="s">
        <v>15</v>
      </c>
      <c r="B1640" s="1" t="s">
        <v>42</v>
      </c>
      <c r="C1640" s="1" t="s">
        <v>102</v>
      </c>
      <c r="D1640" s="2">
        <v>45150</v>
      </c>
      <c r="E1640" s="1" t="s">
        <v>1437</v>
      </c>
      <c r="F1640" s="5">
        <f t="shared" si="101"/>
        <v>2669.61</v>
      </c>
      <c r="G1640" s="1">
        <v>143</v>
      </c>
      <c r="H1640" s="1" t="str">
        <f t="shared" si="102"/>
        <v>High</v>
      </c>
      <c r="I1640" s="1" t="str">
        <f t="shared" si="103"/>
        <v>Other</v>
      </c>
      <c r="J1640" s="1">
        <f t="shared" si="104"/>
        <v>332136.75999999995</v>
      </c>
    </row>
    <row r="1641" spans="1:10" ht="12.75">
      <c r="A1641" s="1" t="s">
        <v>20</v>
      </c>
      <c r="B1641" s="1" t="s">
        <v>62</v>
      </c>
      <c r="C1641" s="1" t="s">
        <v>91</v>
      </c>
      <c r="D1641" s="2">
        <v>44958</v>
      </c>
      <c r="E1641" s="1" t="s">
        <v>1438</v>
      </c>
      <c r="F1641" s="5">
        <f t="shared" si="101"/>
        <v>10265.969999999999</v>
      </c>
      <c r="G1641" s="1">
        <v>49</v>
      </c>
      <c r="H1641" s="1" t="str">
        <f t="shared" si="102"/>
        <v>High</v>
      </c>
      <c r="I1641" s="1" t="str">
        <f t="shared" si="103"/>
        <v>Other</v>
      </c>
      <c r="J1641" s="1">
        <f t="shared" si="104"/>
        <v>332136.75999999995</v>
      </c>
    </row>
    <row r="1642" spans="1:10" ht="12.75">
      <c r="A1642" s="1" t="s">
        <v>19</v>
      </c>
      <c r="B1642" s="1" t="s">
        <v>42</v>
      </c>
      <c r="C1642" s="1" t="s">
        <v>52</v>
      </c>
      <c r="D1642" s="2">
        <v>44987</v>
      </c>
      <c r="E1642" s="1" t="s">
        <v>1439</v>
      </c>
      <c r="F1642" s="5">
        <f t="shared" si="101"/>
        <v>5423.54</v>
      </c>
      <c r="G1642" s="1">
        <v>203</v>
      </c>
      <c r="H1642" s="1" t="str">
        <f t="shared" si="102"/>
        <v>High</v>
      </c>
      <c r="I1642" s="1" t="str">
        <f t="shared" si="103"/>
        <v>Other</v>
      </c>
      <c r="J1642" s="1">
        <f t="shared" si="104"/>
        <v>332136.75999999995</v>
      </c>
    </row>
    <row r="1643" spans="1:10" ht="12.75">
      <c r="A1643" s="1" t="s">
        <v>12</v>
      </c>
      <c r="B1643" s="1" t="s">
        <v>5</v>
      </c>
      <c r="C1643" s="1" t="s">
        <v>51</v>
      </c>
      <c r="D1643" s="2">
        <v>45107</v>
      </c>
      <c r="E1643" s="1" t="s">
        <v>1440</v>
      </c>
      <c r="F1643" s="5">
        <f t="shared" si="101"/>
        <v>3272.68</v>
      </c>
      <c r="G1643" s="1">
        <v>32</v>
      </c>
      <c r="H1643" s="1" t="str">
        <f t="shared" si="102"/>
        <v>High</v>
      </c>
      <c r="I1643" s="1" t="str">
        <f t="shared" si="103"/>
        <v>Other</v>
      </c>
      <c r="J1643" s="1">
        <f t="shared" si="104"/>
        <v>332136.75999999995</v>
      </c>
    </row>
    <row r="1644" spans="1:10" ht="12.75">
      <c r="A1644" s="1" t="s">
        <v>21</v>
      </c>
      <c r="B1644" s="1" t="s">
        <v>5</v>
      </c>
      <c r="C1644" s="1" t="s">
        <v>76</v>
      </c>
      <c r="D1644" s="2">
        <v>44943</v>
      </c>
      <c r="E1644" s="1" t="s">
        <v>1441</v>
      </c>
      <c r="F1644" s="5">
        <f t="shared" si="101"/>
        <v>8840.59</v>
      </c>
      <c r="G1644" s="1">
        <v>92</v>
      </c>
      <c r="H1644" s="1" t="str">
        <f t="shared" si="102"/>
        <v>High</v>
      </c>
      <c r="I1644" s="1" t="str">
        <f t="shared" si="103"/>
        <v>Other</v>
      </c>
      <c r="J1644" s="1">
        <f t="shared" si="104"/>
        <v>332136.75999999995</v>
      </c>
    </row>
    <row r="1645" spans="1:10" ht="12.75">
      <c r="A1645" s="1" t="s">
        <v>7</v>
      </c>
      <c r="B1645" s="1" t="s">
        <v>59</v>
      </c>
      <c r="C1645" s="1" t="s">
        <v>72</v>
      </c>
      <c r="D1645" s="2">
        <v>45114</v>
      </c>
      <c r="E1645" s="1" t="s">
        <v>1442</v>
      </c>
      <c r="F1645" s="5">
        <f t="shared" si="101"/>
        <v>14460.51</v>
      </c>
      <c r="G1645" s="1">
        <v>124</v>
      </c>
      <c r="H1645" s="1" t="str">
        <f t="shared" si="102"/>
        <v>High</v>
      </c>
      <c r="I1645" s="1" t="str">
        <f t="shared" si="103"/>
        <v>Other</v>
      </c>
      <c r="J1645" s="1">
        <f t="shared" si="104"/>
        <v>332136.75999999995</v>
      </c>
    </row>
    <row r="1646" spans="1:10" ht="12.75">
      <c r="A1646" s="1" t="s">
        <v>2</v>
      </c>
      <c r="B1646" s="1" t="s">
        <v>54</v>
      </c>
      <c r="C1646" s="1" t="s">
        <v>40</v>
      </c>
      <c r="D1646" s="2">
        <v>44957</v>
      </c>
      <c r="E1646" s="1" t="s">
        <v>1443</v>
      </c>
      <c r="F1646" s="5">
        <f t="shared" si="101"/>
        <v>1461.99</v>
      </c>
      <c r="G1646" s="1">
        <v>109</v>
      </c>
      <c r="H1646" s="1" t="str">
        <f t="shared" si="102"/>
        <v>High</v>
      </c>
      <c r="I1646" s="1" t="str">
        <f t="shared" si="103"/>
        <v>Other</v>
      </c>
      <c r="J1646" s="1">
        <f t="shared" si="104"/>
        <v>332136.75999999995</v>
      </c>
    </row>
    <row r="1647" spans="1:10" ht="12.75">
      <c r="A1647" s="1" t="s">
        <v>28</v>
      </c>
      <c r="B1647" s="1" t="s">
        <v>39</v>
      </c>
      <c r="C1647" s="1" t="s">
        <v>51</v>
      </c>
      <c r="D1647" s="2">
        <v>45148</v>
      </c>
      <c r="E1647" s="1" t="s">
        <v>1444</v>
      </c>
      <c r="F1647" s="5">
        <f t="shared" si="101"/>
        <v>3701.6</v>
      </c>
      <c r="G1647" s="1">
        <v>131</v>
      </c>
      <c r="H1647" s="1" t="str">
        <f t="shared" si="102"/>
        <v>High</v>
      </c>
      <c r="I1647" s="1" t="str">
        <f t="shared" si="103"/>
        <v>Other</v>
      </c>
      <c r="J1647" s="1">
        <f t="shared" si="104"/>
        <v>330674.76999999996</v>
      </c>
    </row>
    <row r="1648" spans="1:10" ht="12.75">
      <c r="A1648" s="1" t="s">
        <v>28</v>
      </c>
      <c r="B1648" s="1" t="s">
        <v>59</v>
      </c>
      <c r="C1648" s="1" t="s">
        <v>45</v>
      </c>
      <c r="D1648" s="2">
        <v>45156</v>
      </c>
      <c r="E1648" s="1" t="s">
        <v>1445</v>
      </c>
      <c r="F1648" s="5">
        <f t="shared" si="101"/>
        <v>13951.32</v>
      </c>
      <c r="G1648" s="1">
        <v>329</v>
      </c>
      <c r="H1648" s="1" t="str">
        <f t="shared" si="102"/>
        <v>High</v>
      </c>
      <c r="I1648" s="1" t="str">
        <f t="shared" si="103"/>
        <v>Other</v>
      </c>
      <c r="J1648" s="1">
        <f t="shared" si="104"/>
        <v>330674.76999999996</v>
      </c>
    </row>
    <row r="1649" spans="1:10" ht="12.75">
      <c r="A1649" s="1" t="s">
        <v>7</v>
      </c>
      <c r="B1649" s="1" t="s">
        <v>54</v>
      </c>
      <c r="C1649" s="1" t="s">
        <v>84</v>
      </c>
      <c r="D1649" s="2">
        <v>45092</v>
      </c>
      <c r="E1649" s="1" t="s">
        <v>1446</v>
      </c>
      <c r="F1649" s="5">
        <f t="shared" si="101"/>
        <v>5774.92</v>
      </c>
      <c r="G1649" s="1">
        <v>325</v>
      </c>
      <c r="H1649" s="1" t="str">
        <f t="shared" si="102"/>
        <v>High</v>
      </c>
      <c r="I1649" s="1" t="str">
        <f t="shared" si="103"/>
        <v>Other</v>
      </c>
      <c r="J1649" s="1">
        <f t="shared" si="104"/>
        <v>330674.76999999996</v>
      </c>
    </row>
    <row r="1650" spans="1:10" ht="12.75">
      <c r="A1650" s="1" t="s">
        <v>14</v>
      </c>
      <c r="B1650" s="1" t="s">
        <v>59</v>
      </c>
      <c r="C1650" s="1" t="s">
        <v>122</v>
      </c>
      <c r="D1650" s="2">
        <v>44952</v>
      </c>
      <c r="E1650" s="1" t="s">
        <v>1447</v>
      </c>
      <c r="F1650" s="5">
        <f t="shared" si="101"/>
        <v>9718.8700000000008</v>
      </c>
      <c r="G1650" s="1">
        <v>10</v>
      </c>
      <c r="H1650" s="1" t="str">
        <f t="shared" si="102"/>
        <v>High</v>
      </c>
      <c r="I1650" s="1" t="str">
        <f t="shared" si="103"/>
        <v>Other</v>
      </c>
      <c r="J1650" s="1">
        <f t="shared" si="104"/>
        <v>330674.76999999996</v>
      </c>
    </row>
    <row r="1651" spans="1:10" ht="12.75">
      <c r="A1651" s="1" t="s">
        <v>12</v>
      </c>
      <c r="B1651" s="1" t="s">
        <v>59</v>
      </c>
      <c r="C1651" s="1" t="s">
        <v>76</v>
      </c>
      <c r="D1651" s="2">
        <v>45045</v>
      </c>
      <c r="E1651" s="1" t="s">
        <v>1448</v>
      </c>
      <c r="F1651" s="5">
        <f t="shared" si="101"/>
        <v>87.52</v>
      </c>
      <c r="G1651" s="1">
        <v>69</v>
      </c>
      <c r="H1651" s="1" t="str">
        <f t="shared" si="102"/>
        <v>Low</v>
      </c>
      <c r="I1651" s="1" t="str">
        <f t="shared" si="103"/>
        <v>Other</v>
      </c>
      <c r="J1651" s="1">
        <f t="shared" si="104"/>
        <v>330674.76999999996</v>
      </c>
    </row>
    <row r="1652" spans="1:10" ht="12.75">
      <c r="A1652" s="1" t="s">
        <v>2</v>
      </c>
      <c r="B1652" s="1" t="s">
        <v>62</v>
      </c>
      <c r="C1652" s="1" t="s">
        <v>84</v>
      </c>
      <c r="D1652" s="2">
        <v>44988</v>
      </c>
      <c r="E1652" s="1" t="s">
        <v>1449</v>
      </c>
      <c r="F1652" s="5">
        <f t="shared" si="101"/>
        <v>3398.51</v>
      </c>
      <c r="G1652" s="1">
        <v>74</v>
      </c>
      <c r="H1652" s="1" t="str">
        <f t="shared" si="102"/>
        <v>High</v>
      </c>
      <c r="I1652" s="1" t="str">
        <f t="shared" si="103"/>
        <v>Other</v>
      </c>
      <c r="J1652" s="1">
        <f t="shared" si="104"/>
        <v>330674.76999999996</v>
      </c>
    </row>
    <row r="1653" spans="1:10" ht="12.75">
      <c r="A1653" s="1" t="s">
        <v>8</v>
      </c>
      <c r="B1653" s="1" t="s">
        <v>5</v>
      </c>
      <c r="C1653" s="1" t="s">
        <v>91</v>
      </c>
      <c r="D1653" s="2">
        <v>44979</v>
      </c>
      <c r="E1653" s="1" t="s">
        <v>1450</v>
      </c>
      <c r="F1653" s="5">
        <f t="shared" si="101"/>
        <v>4371.7700000000004</v>
      </c>
      <c r="G1653" s="1">
        <v>375</v>
      </c>
      <c r="H1653" s="1" t="str">
        <f t="shared" si="102"/>
        <v>High</v>
      </c>
      <c r="I1653" s="1" t="str">
        <f t="shared" si="103"/>
        <v>Other</v>
      </c>
      <c r="J1653" s="1">
        <f t="shared" si="104"/>
        <v>327276.25999999995</v>
      </c>
    </row>
    <row r="1654" spans="1:10" ht="12.75">
      <c r="A1654" s="1" t="s">
        <v>22</v>
      </c>
      <c r="B1654" s="1" t="s">
        <v>59</v>
      </c>
      <c r="C1654" s="1" t="s">
        <v>49</v>
      </c>
      <c r="D1654" s="2">
        <v>44989</v>
      </c>
      <c r="E1654" s="1" t="s">
        <v>1451</v>
      </c>
      <c r="F1654" s="5">
        <f t="shared" si="101"/>
        <v>3632.32</v>
      </c>
      <c r="G1654" s="1">
        <v>169</v>
      </c>
      <c r="H1654" s="1" t="str">
        <f t="shared" si="102"/>
        <v>High</v>
      </c>
      <c r="I1654" s="1" t="str">
        <f t="shared" si="103"/>
        <v>Other</v>
      </c>
      <c r="J1654" s="1">
        <f t="shared" si="104"/>
        <v>327276.25999999995</v>
      </c>
    </row>
    <row r="1655" spans="1:10" ht="12.75">
      <c r="A1655" s="1" t="s">
        <v>6</v>
      </c>
      <c r="B1655" s="1" t="s">
        <v>42</v>
      </c>
      <c r="C1655" s="1" t="s">
        <v>49</v>
      </c>
      <c r="D1655" s="2">
        <v>45114</v>
      </c>
      <c r="E1655" s="1" t="s">
        <v>1452</v>
      </c>
      <c r="F1655" s="5">
        <f t="shared" si="101"/>
        <v>3343.85</v>
      </c>
      <c r="G1655" s="1">
        <v>10</v>
      </c>
      <c r="H1655" s="1" t="str">
        <f t="shared" si="102"/>
        <v>High</v>
      </c>
      <c r="I1655" s="1" t="str">
        <f t="shared" si="103"/>
        <v>Other</v>
      </c>
      <c r="J1655" s="1">
        <f t="shared" si="104"/>
        <v>327276.25999999995</v>
      </c>
    </row>
    <row r="1656" spans="1:10" ht="12.75">
      <c r="A1656" s="1" t="s">
        <v>25</v>
      </c>
      <c r="B1656" s="1" t="s">
        <v>54</v>
      </c>
      <c r="C1656" s="1" t="s">
        <v>126</v>
      </c>
      <c r="D1656" s="2">
        <v>45094</v>
      </c>
      <c r="E1656" s="1" t="s">
        <v>1453</v>
      </c>
      <c r="F1656" s="5">
        <f t="shared" si="101"/>
        <v>4400.28</v>
      </c>
      <c r="G1656" s="1">
        <v>364</v>
      </c>
      <c r="H1656" s="1" t="str">
        <f t="shared" si="102"/>
        <v>High</v>
      </c>
      <c r="I1656" s="1" t="str">
        <f t="shared" si="103"/>
        <v>Other</v>
      </c>
      <c r="J1656" s="1">
        <f t="shared" si="104"/>
        <v>327276.25999999995</v>
      </c>
    </row>
    <row r="1657" spans="1:10" ht="12.75">
      <c r="A1657" s="1" t="s">
        <v>15</v>
      </c>
      <c r="B1657" s="1" t="s">
        <v>62</v>
      </c>
      <c r="C1657" s="1" t="s">
        <v>126</v>
      </c>
      <c r="D1657" s="2">
        <v>45140</v>
      </c>
      <c r="E1657" s="1" t="s">
        <v>1454</v>
      </c>
      <c r="F1657" s="5">
        <f t="shared" si="101"/>
        <v>10802.13</v>
      </c>
      <c r="G1657" s="1">
        <v>124</v>
      </c>
      <c r="H1657" s="1" t="str">
        <f t="shared" si="102"/>
        <v>High</v>
      </c>
      <c r="I1657" s="1" t="str">
        <f t="shared" si="103"/>
        <v>Other</v>
      </c>
      <c r="J1657" s="1">
        <f t="shared" si="104"/>
        <v>327276.25999999995</v>
      </c>
    </row>
    <row r="1658" spans="1:10" ht="12.75">
      <c r="A1658" s="1" t="s">
        <v>22</v>
      </c>
      <c r="B1658" s="1" t="s">
        <v>59</v>
      </c>
      <c r="C1658" s="1" t="s">
        <v>122</v>
      </c>
      <c r="D1658" s="2">
        <v>45150</v>
      </c>
      <c r="E1658" s="1" t="s">
        <v>1455</v>
      </c>
      <c r="F1658" s="5">
        <f t="shared" si="101"/>
        <v>9154.17</v>
      </c>
      <c r="G1658" s="1">
        <v>123</v>
      </c>
      <c r="H1658" s="1" t="str">
        <f t="shared" si="102"/>
        <v>High</v>
      </c>
      <c r="I1658" s="1" t="str">
        <f t="shared" si="103"/>
        <v>Other</v>
      </c>
      <c r="J1658" s="1">
        <f t="shared" si="104"/>
        <v>327276.25999999995</v>
      </c>
    </row>
    <row r="1659" spans="1:10" ht="12.75">
      <c r="A1659" s="1" t="s">
        <v>9</v>
      </c>
      <c r="B1659" s="1" t="s">
        <v>54</v>
      </c>
      <c r="C1659" s="1" t="s">
        <v>45</v>
      </c>
      <c r="D1659" s="2">
        <v>44954</v>
      </c>
      <c r="E1659" s="1" t="s">
        <v>1456</v>
      </c>
      <c r="F1659" s="5">
        <f t="shared" si="101"/>
        <v>5360.89</v>
      </c>
      <c r="G1659" s="1">
        <v>340</v>
      </c>
      <c r="H1659" s="1" t="str">
        <f t="shared" si="102"/>
        <v>High</v>
      </c>
      <c r="I1659" s="1" t="str">
        <f t="shared" si="103"/>
        <v>Other</v>
      </c>
      <c r="J1659" s="1">
        <f t="shared" si="104"/>
        <v>327276.25999999995</v>
      </c>
    </row>
    <row r="1660" spans="1:10" ht="12.75">
      <c r="A1660" s="1" t="s">
        <v>12</v>
      </c>
      <c r="B1660" s="1" t="s">
        <v>5</v>
      </c>
      <c r="C1660" s="1" t="s">
        <v>60</v>
      </c>
      <c r="D1660" s="2">
        <v>45045</v>
      </c>
      <c r="E1660" s="1" t="s">
        <v>1457</v>
      </c>
      <c r="F1660" s="5">
        <f t="shared" si="101"/>
        <v>11597.46</v>
      </c>
      <c r="G1660" s="1">
        <v>462</v>
      </c>
      <c r="H1660" s="1" t="str">
        <f t="shared" si="102"/>
        <v>High</v>
      </c>
      <c r="I1660" s="1" t="str">
        <f t="shared" si="103"/>
        <v>Other</v>
      </c>
      <c r="J1660" s="1">
        <f t="shared" si="104"/>
        <v>327276.25999999995</v>
      </c>
    </row>
    <row r="1661" spans="1:10" ht="12.75">
      <c r="A1661" s="1" t="s">
        <v>14</v>
      </c>
      <c r="B1661" s="1" t="s">
        <v>5</v>
      </c>
      <c r="C1661" s="1" t="s">
        <v>86</v>
      </c>
      <c r="D1661" s="2">
        <v>45021</v>
      </c>
      <c r="E1661" s="1" t="s">
        <v>1458</v>
      </c>
      <c r="F1661" s="5">
        <f t="shared" si="101"/>
        <v>14939.24</v>
      </c>
      <c r="G1661" s="1">
        <v>238</v>
      </c>
      <c r="H1661" s="1" t="str">
        <f t="shared" si="102"/>
        <v>High</v>
      </c>
      <c r="I1661" s="1" t="str">
        <f t="shared" si="103"/>
        <v>Other</v>
      </c>
      <c r="J1661" s="1">
        <f t="shared" si="104"/>
        <v>327276.25999999995</v>
      </c>
    </row>
    <row r="1662" spans="1:10" ht="12.75">
      <c r="A1662" s="1" t="s">
        <v>8</v>
      </c>
      <c r="B1662" s="1" t="s">
        <v>62</v>
      </c>
      <c r="C1662" s="1" t="s">
        <v>86</v>
      </c>
      <c r="D1662" s="2">
        <v>44944</v>
      </c>
      <c r="E1662" s="1" t="s">
        <v>1459</v>
      </c>
      <c r="F1662" s="5">
        <f t="shared" si="101"/>
        <v>10845.85</v>
      </c>
      <c r="G1662" s="1">
        <v>146</v>
      </c>
      <c r="H1662" s="1" t="str">
        <f t="shared" si="102"/>
        <v>High</v>
      </c>
      <c r="I1662" s="1" t="str">
        <f t="shared" si="103"/>
        <v>Other</v>
      </c>
      <c r="J1662" s="1">
        <f t="shared" si="104"/>
        <v>327276.25999999995</v>
      </c>
    </row>
    <row r="1663" spans="1:10" ht="12.75">
      <c r="A1663" s="1" t="s">
        <v>11</v>
      </c>
      <c r="B1663" s="1" t="s">
        <v>39</v>
      </c>
      <c r="C1663" s="1" t="s">
        <v>122</v>
      </c>
      <c r="D1663" s="2">
        <v>45062</v>
      </c>
      <c r="E1663" s="1" t="s">
        <v>1460</v>
      </c>
      <c r="F1663" s="5">
        <f t="shared" si="101"/>
        <v>2832.78</v>
      </c>
      <c r="G1663" s="1">
        <v>104</v>
      </c>
      <c r="H1663" s="1" t="str">
        <f t="shared" si="102"/>
        <v>High</v>
      </c>
      <c r="I1663" s="1" t="str">
        <f t="shared" si="103"/>
        <v>Other</v>
      </c>
      <c r="J1663" s="1">
        <f t="shared" si="104"/>
        <v>327276.25999999995</v>
      </c>
    </row>
    <row r="1664" spans="1:10" ht="12.75">
      <c r="A1664" s="1" t="s">
        <v>12</v>
      </c>
      <c r="B1664" s="1" t="s">
        <v>5</v>
      </c>
      <c r="C1664" s="1" t="s">
        <v>84</v>
      </c>
      <c r="D1664" s="2">
        <v>45162</v>
      </c>
      <c r="E1664" s="1" t="s">
        <v>1461</v>
      </c>
      <c r="F1664" s="5">
        <f t="shared" si="101"/>
        <v>8879.7199999999993</v>
      </c>
      <c r="G1664" s="1">
        <v>177</v>
      </c>
      <c r="H1664" s="1" t="str">
        <f t="shared" si="102"/>
        <v>High</v>
      </c>
      <c r="I1664" s="1" t="str">
        <f t="shared" si="103"/>
        <v>Other</v>
      </c>
      <c r="J1664" s="1">
        <f t="shared" si="104"/>
        <v>327276.25999999995</v>
      </c>
    </row>
    <row r="1665" spans="1:10" ht="12.75">
      <c r="A1665" s="1" t="s">
        <v>24</v>
      </c>
      <c r="B1665" s="1" t="s">
        <v>42</v>
      </c>
      <c r="C1665" s="1" t="s">
        <v>43</v>
      </c>
      <c r="D1665" s="2">
        <v>44944</v>
      </c>
      <c r="E1665" s="1" t="s">
        <v>1462</v>
      </c>
      <c r="F1665" s="5">
        <f t="shared" si="101"/>
        <v>298.33999999999997</v>
      </c>
      <c r="G1665" s="1">
        <v>399</v>
      </c>
      <c r="H1665" s="1" t="str">
        <f t="shared" si="102"/>
        <v>Low</v>
      </c>
      <c r="I1665" s="1" t="str">
        <f t="shared" si="103"/>
        <v>Other</v>
      </c>
      <c r="J1665" s="1">
        <f t="shared" si="104"/>
        <v>327276.25999999995</v>
      </c>
    </row>
    <row r="1666" spans="1:10" ht="12.75">
      <c r="A1666" s="1" t="s">
        <v>8</v>
      </c>
      <c r="B1666" s="1" t="s">
        <v>59</v>
      </c>
      <c r="C1666" s="1" t="s">
        <v>63</v>
      </c>
      <c r="D1666" s="2">
        <v>45160</v>
      </c>
      <c r="E1666" s="1" t="s">
        <v>1463</v>
      </c>
      <c r="F1666" s="5">
        <f t="shared" ref="F1666:F1729" si="105">VALUE(SUBSTITUTE(E1666,"$",""))</f>
        <v>7799.51</v>
      </c>
      <c r="G1666" s="1">
        <v>10</v>
      </c>
      <c r="H1666" s="1" t="str">
        <f t="shared" ref="H1666:H1729" si="106">IF(F1666&gt;800,"High",IF(F1666&gt;500,"Medium","Low"))</f>
        <v>High</v>
      </c>
      <c r="I1666" s="1" t="str">
        <f t="shared" ref="I1666:I1729" si="107">IF(AND(B1666="Australia",A1666="Mallorie Waber"),"Top Local","Other")</f>
        <v>Other</v>
      </c>
      <c r="J1666" s="1">
        <f t="shared" ref="J1666:J1729" si="108">SUMIF(A1666:A4946,"Mallorie Waber",F1666:F4946)</f>
        <v>327276.25999999995</v>
      </c>
    </row>
    <row r="1667" spans="1:10" ht="12.75">
      <c r="A1667" s="1" t="s">
        <v>23</v>
      </c>
      <c r="B1667" s="1" t="s">
        <v>39</v>
      </c>
      <c r="C1667" s="1" t="s">
        <v>51</v>
      </c>
      <c r="D1667" s="2">
        <v>44992</v>
      </c>
      <c r="E1667" s="1" t="s">
        <v>1464</v>
      </c>
      <c r="F1667" s="5">
        <f t="shared" si="105"/>
        <v>8.0399999999999991</v>
      </c>
      <c r="G1667" s="1">
        <v>85</v>
      </c>
      <c r="H1667" s="1" t="str">
        <f t="shared" si="106"/>
        <v>Low</v>
      </c>
      <c r="I1667" s="1" t="str">
        <f t="shared" si="107"/>
        <v>Other</v>
      </c>
      <c r="J1667" s="1">
        <f t="shared" si="108"/>
        <v>327276.25999999995</v>
      </c>
    </row>
    <row r="1668" spans="1:10" ht="12.75">
      <c r="A1668" s="1" t="s">
        <v>28</v>
      </c>
      <c r="B1668" s="1" t="s">
        <v>39</v>
      </c>
      <c r="C1668" s="1" t="s">
        <v>102</v>
      </c>
      <c r="D1668" s="2">
        <v>44989</v>
      </c>
      <c r="E1668" s="1" t="s">
        <v>1465</v>
      </c>
      <c r="F1668" s="5">
        <f t="shared" si="105"/>
        <v>3212.35</v>
      </c>
      <c r="G1668" s="1">
        <v>66</v>
      </c>
      <c r="H1668" s="1" t="str">
        <f t="shared" si="106"/>
        <v>High</v>
      </c>
      <c r="I1668" s="1" t="str">
        <f t="shared" si="107"/>
        <v>Other</v>
      </c>
      <c r="J1668" s="1">
        <f t="shared" si="108"/>
        <v>327276.25999999995</v>
      </c>
    </row>
    <row r="1669" spans="1:10" ht="12.75">
      <c r="A1669" s="1" t="s">
        <v>21</v>
      </c>
      <c r="B1669" s="1" t="s">
        <v>62</v>
      </c>
      <c r="C1669" s="1" t="s">
        <v>86</v>
      </c>
      <c r="D1669" s="2">
        <v>45038</v>
      </c>
      <c r="E1669" s="1" t="s">
        <v>1466</v>
      </c>
      <c r="F1669" s="5">
        <f t="shared" si="105"/>
        <v>12048.56</v>
      </c>
      <c r="G1669" s="1">
        <v>113</v>
      </c>
      <c r="H1669" s="1" t="str">
        <f t="shared" si="106"/>
        <v>High</v>
      </c>
      <c r="I1669" s="1" t="str">
        <f t="shared" si="107"/>
        <v>Other</v>
      </c>
      <c r="J1669" s="1">
        <f t="shared" si="108"/>
        <v>327276.25999999995</v>
      </c>
    </row>
    <row r="1670" spans="1:10" ht="12.75">
      <c r="A1670" s="1" t="s">
        <v>8</v>
      </c>
      <c r="B1670" s="1" t="s">
        <v>5</v>
      </c>
      <c r="C1670" s="1" t="s">
        <v>72</v>
      </c>
      <c r="D1670" s="2">
        <v>45086</v>
      </c>
      <c r="E1670" s="1" t="s">
        <v>1467</v>
      </c>
      <c r="F1670" s="5">
        <f t="shared" si="105"/>
        <v>4499.6400000000003</v>
      </c>
      <c r="G1670" s="1">
        <v>91</v>
      </c>
      <c r="H1670" s="1" t="str">
        <f t="shared" si="106"/>
        <v>High</v>
      </c>
      <c r="I1670" s="1" t="str">
        <f t="shared" si="107"/>
        <v>Other</v>
      </c>
      <c r="J1670" s="1">
        <f t="shared" si="108"/>
        <v>327276.25999999995</v>
      </c>
    </row>
    <row r="1671" spans="1:10" ht="12.75">
      <c r="A1671" s="1" t="s">
        <v>15</v>
      </c>
      <c r="B1671" s="1" t="s">
        <v>62</v>
      </c>
      <c r="C1671" s="1" t="s">
        <v>81</v>
      </c>
      <c r="D1671" s="2">
        <v>45132</v>
      </c>
      <c r="E1671" s="1" t="s">
        <v>1468</v>
      </c>
      <c r="F1671" s="5">
        <f t="shared" si="105"/>
        <v>9984.16</v>
      </c>
      <c r="G1671" s="1">
        <v>207</v>
      </c>
      <c r="H1671" s="1" t="str">
        <f t="shared" si="106"/>
        <v>High</v>
      </c>
      <c r="I1671" s="1" t="str">
        <f t="shared" si="107"/>
        <v>Other</v>
      </c>
      <c r="J1671" s="1">
        <f t="shared" si="108"/>
        <v>327276.25999999995</v>
      </c>
    </row>
    <row r="1672" spans="1:10" ht="12.75">
      <c r="A1672" s="1" t="s">
        <v>15</v>
      </c>
      <c r="B1672" s="1" t="s">
        <v>42</v>
      </c>
      <c r="C1672" s="1" t="s">
        <v>49</v>
      </c>
      <c r="D1672" s="2">
        <v>45141</v>
      </c>
      <c r="E1672" s="1" t="s">
        <v>1469</v>
      </c>
      <c r="F1672" s="5">
        <f t="shared" si="105"/>
        <v>11867.83</v>
      </c>
      <c r="G1672" s="1">
        <v>95</v>
      </c>
      <c r="H1672" s="1" t="str">
        <f t="shared" si="106"/>
        <v>High</v>
      </c>
      <c r="I1672" s="1" t="str">
        <f t="shared" si="107"/>
        <v>Other</v>
      </c>
      <c r="J1672" s="1">
        <f t="shared" si="108"/>
        <v>327276.25999999995</v>
      </c>
    </row>
    <row r="1673" spans="1:10" ht="12.75">
      <c r="A1673" s="1" t="s">
        <v>19</v>
      </c>
      <c r="B1673" s="1" t="s">
        <v>5</v>
      </c>
      <c r="C1673" s="1" t="s">
        <v>86</v>
      </c>
      <c r="D1673" s="2">
        <v>45141</v>
      </c>
      <c r="E1673" s="1" t="s">
        <v>1470</v>
      </c>
      <c r="F1673" s="5">
        <f t="shared" si="105"/>
        <v>4806.6499999999996</v>
      </c>
      <c r="G1673" s="1">
        <v>132</v>
      </c>
      <c r="H1673" s="1" t="str">
        <f t="shared" si="106"/>
        <v>High</v>
      </c>
      <c r="I1673" s="1" t="str">
        <f t="shared" si="107"/>
        <v>Other</v>
      </c>
      <c r="J1673" s="1">
        <f t="shared" si="108"/>
        <v>327276.25999999995</v>
      </c>
    </row>
    <row r="1674" spans="1:10" ht="12.75">
      <c r="A1674" s="1" t="s">
        <v>11</v>
      </c>
      <c r="B1674" s="1" t="s">
        <v>39</v>
      </c>
      <c r="C1674" s="1" t="s">
        <v>72</v>
      </c>
      <c r="D1674" s="2">
        <v>45049</v>
      </c>
      <c r="E1674" s="1" t="s">
        <v>1471</v>
      </c>
      <c r="F1674" s="5">
        <f t="shared" si="105"/>
        <v>13420.93</v>
      </c>
      <c r="G1674" s="1">
        <v>232</v>
      </c>
      <c r="H1674" s="1" t="str">
        <f t="shared" si="106"/>
        <v>High</v>
      </c>
      <c r="I1674" s="1" t="str">
        <f t="shared" si="107"/>
        <v>Other</v>
      </c>
      <c r="J1674" s="1">
        <f t="shared" si="108"/>
        <v>327276.25999999995</v>
      </c>
    </row>
    <row r="1675" spans="1:10" ht="12.75">
      <c r="A1675" s="1" t="s">
        <v>13</v>
      </c>
      <c r="B1675" s="1" t="s">
        <v>62</v>
      </c>
      <c r="C1675" s="1" t="s">
        <v>52</v>
      </c>
      <c r="D1675" s="2">
        <v>44945</v>
      </c>
      <c r="E1675" s="1" t="s">
        <v>1472</v>
      </c>
      <c r="F1675" s="5">
        <f t="shared" si="105"/>
        <v>10407.51</v>
      </c>
      <c r="G1675" s="1">
        <v>301</v>
      </c>
      <c r="H1675" s="1" t="str">
        <f t="shared" si="106"/>
        <v>High</v>
      </c>
      <c r="I1675" s="1" t="str">
        <f t="shared" si="107"/>
        <v>Other</v>
      </c>
      <c r="J1675" s="1">
        <f t="shared" si="108"/>
        <v>327276.25999999995</v>
      </c>
    </row>
    <row r="1676" spans="1:10" ht="12.75">
      <c r="A1676" s="1" t="s">
        <v>26</v>
      </c>
      <c r="B1676" s="1" t="s">
        <v>59</v>
      </c>
      <c r="C1676" s="1" t="s">
        <v>55</v>
      </c>
      <c r="D1676" s="2">
        <v>44968</v>
      </c>
      <c r="E1676" s="1" t="s">
        <v>1473</v>
      </c>
      <c r="F1676" s="5">
        <f t="shared" si="105"/>
        <v>10849.39</v>
      </c>
      <c r="G1676" s="1">
        <v>330</v>
      </c>
      <c r="H1676" s="1" t="str">
        <f t="shared" si="106"/>
        <v>High</v>
      </c>
      <c r="I1676" s="1" t="str">
        <f t="shared" si="107"/>
        <v>Other</v>
      </c>
      <c r="J1676" s="1">
        <f t="shared" si="108"/>
        <v>327276.25999999995</v>
      </c>
    </row>
    <row r="1677" spans="1:10" ht="12.75">
      <c r="A1677" s="1" t="s">
        <v>10</v>
      </c>
      <c r="B1677" s="1" t="s">
        <v>42</v>
      </c>
      <c r="C1677" s="1" t="s">
        <v>91</v>
      </c>
      <c r="D1677" s="2">
        <v>45091</v>
      </c>
      <c r="E1677" s="1" t="s">
        <v>1474</v>
      </c>
      <c r="F1677" s="5">
        <f t="shared" si="105"/>
        <v>7247.29</v>
      </c>
      <c r="G1677" s="1">
        <v>402</v>
      </c>
      <c r="H1677" s="1" t="str">
        <f t="shared" si="106"/>
        <v>High</v>
      </c>
      <c r="I1677" s="1" t="str">
        <f t="shared" si="107"/>
        <v>Other</v>
      </c>
      <c r="J1677" s="1">
        <f t="shared" si="108"/>
        <v>327276.25999999995</v>
      </c>
    </row>
    <row r="1678" spans="1:10" ht="12.75">
      <c r="A1678" s="1" t="s">
        <v>12</v>
      </c>
      <c r="B1678" s="1" t="s">
        <v>59</v>
      </c>
      <c r="C1678" s="1" t="s">
        <v>55</v>
      </c>
      <c r="D1678" s="2">
        <v>45008</v>
      </c>
      <c r="E1678" s="1" t="s">
        <v>1475</v>
      </c>
      <c r="F1678" s="5">
        <f t="shared" si="105"/>
        <v>6387.65</v>
      </c>
      <c r="G1678" s="1">
        <v>227</v>
      </c>
      <c r="H1678" s="1" t="str">
        <f t="shared" si="106"/>
        <v>High</v>
      </c>
      <c r="I1678" s="1" t="str">
        <f t="shared" si="107"/>
        <v>Other</v>
      </c>
      <c r="J1678" s="1">
        <f t="shared" si="108"/>
        <v>327276.25999999995</v>
      </c>
    </row>
    <row r="1679" spans="1:10" ht="12.75">
      <c r="A1679" s="1" t="s">
        <v>9</v>
      </c>
      <c r="B1679" s="1" t="s">
        <v>62</v>
      </c>
      <c r="C1679" s="1" t="s">
        <v>43</v>
      </c>
      <c r="D1679" s="2">
        <v>44974</v>
      </c>
      <c r="E1679" s="1" t="s">
        <v>1476</v>
      </c>
      <c r="F1679" s="5">
        <f t="shared" si="105"/>
        <v>8373.42</v>
      </c>
      <c r="G1679" s="1">
        <v>108</v>
      </c>
      <c r="H1679" s="1" t="str">
        <f t="shared" si="106"/>
        <v>High</v>
      </c>
      <c r="I1679" s="1" t="str">
        <f t="shared" si="107"/>
        <v>Other</v>
      </c>
      <c r="J1679" s="1">
        <f t="shared" si="108"/>
        <v>327276.25999999995</v>
      </c>
    </row>
    <row r="1680" spans="1:10" ht="12.75">
      <c r="A1680" s="1" t="s">
        <v>6</v>
      </c>
      <c r="B1680" s="1" t="s">
        <v>62</v>
      </c>
      <c r="C1680" s="1" t="s">
        <v>49</v>
      </c>
      <c r="D1680" s="2">
        <v>45002</v>
      </c>
      <c r="E1680" s="1" t="s">
        <v>1477</v>
      </c>
      <c r="F1680" s="5">
        <f t="shared" si="105"/>
        <v>1887.19</v>
      </c>
      <c r="G1680" s="1">
        <v>488</v>
      </c>
      <c r="H1680" s="1" t="str">
        <f t="shared" si="106"/>
        <v>High</v>
      </c>
      <c r="I1680" s="1" t="str">
        <f t="shared" si="107"/>
        <v>Other</v>
      </c>
      <c r="J1680" s="1">
        <f t="shared" si="108"/>
        <v>327276.25999999995</v>
      </c>
    </row>
    <row r="1681" spans="1:10" ht="12.75">
      <c r="A1681" s="1" t="s">
        <v>2</v>
      </c>
      <c r="B1681" s="1" t="s">
        <v>5</v>
      </c>
      <c r="C1681" s="1" t="s">
        <v>76</v>
      </c>
      <c r="D1681" s="2">
        <v>45106</v>
      </c>
      <c r="E1681" s="1" t="s">
        <v>1478</v>
      </c>
      <c r="F1681" s="5">
        <f t="shared" si="105"/>
        <v>6054.04</v>
      </c>
      <c r="G1681" s="1">
        <v>287</v>
      </c>
      <c r="H1681" s="1" t="str">
        <f t="shared" si="106"/>
        <v>High</v>
      </c>
      <c r="I1681" s="1" t="str">
        <f t="shared" si="107"/>
        <v>Top Local</v>
      </c>
      <c r="J1681" s="1">
        <f t="shared" si="108"/>
        <v>327276.25999999995</v>
      </c>
    </row>
    <row r="1682" spans="1:10" ht="12.75">
      <c r="A1682" s="1" t="s">
        <v>17</v>
      </c>
      <c r="B1682" s="1" t="s">
        <v>62</v>
      </c>
      <c r="C1682" s="1" t="s">
        <v>102</v>
      </c>
      <c r="D1682" s="2">
        <v>45162</v>
      </c>
      <c r="E1682" s="1" t="s">
        <v>1479</v>
      </c>
      <c r="F1682" s="5">
        <f t="shared" si="105"/>
        <v>16254.61</v>
      </c>
      <c r="G1682" s="1">
        <v>268</v>
      </c>
      <c r="H1682" s="1" t="str">
        <f t="shared" si="106"/>
        <v>High</v>
      </c>
      <c r="I1682" s="1" t="str">
        <f t="shared" si="107"/>
        <v>Other</v>
      </c>
      <c r="J1682" s="1">
        <f t="shared" si="108"/>
        <v>321222.21999999991</v>
      </c>
    </row>
    <row r="1683" spans="1:10" ht="12.75">
      <c r="A1683" s="1" t="s">
        <v>20</v>
      </c>
      <c r="B1683" s="1" t="s">
        <v>62</v>
      </c>
      <c r="C1683" s="1" t="s">
        <v>76</v>
      </c>
      <c r="D1683" s="2">
        <v>45111</v>
      </c>
      <c r="E1683" s="1" t="s">
        <v>1480</v>
      </c>
      <c r="F1683" s="5">
        <f t="shared" si="105"/>
        <v>13173.56</v>
      </c>
      <c r="G1683" s="1">
        <v>301</v>
      </c>
      <c r="H1683" s="1" t="str">
        <f t="shared" si="106"/>
        <v>High</v>
      </c>
      <c r="I1683" s="1" t="str">
        <f t="shared" si="107"/>
        <v>Other</v>
      </c>
      <c r="J1683" s="1">
        <f t="shared" si="108"/>
        <v>321222.21999999991</v>
      </c>
    </row>
    <row r="1684" spans="1:10" ht="12.75">
      <c r="A1684" s="1" t="s">
        <v>26</v>
      </c>
      <c r="B1684" s="1" t="s">
        <v>54</v>
      </c>
      <c r="C1684" s="1" t="s">
        <v>91</v>
      </c>
      <c r="D1684" s="2">
        <v>45013</v>
      </c>
      <c r="E1684" s="1" t="s">
        <v>1481</v>
      </c>
      <c r="F1684" s="5">
        <f t="shared" si="105"/>
        <v>2721.46</v>
      </c>
      <c r="G1684" s="1">
        <v>72</v>
      </c>
      <c r="H1684" s="1" t="str">
        <f t="shared" si="106"/>
        <v>High</v>
      </c>
      <c r="I1684" s="1" t="str">
        <f t="shared" si="107"/>
        <v>Other</v>
      </c>
      <c r="J1684" s="1">
        <f t="shared" si="108"/>
        <v>321222.21999999991</v>
      </c>
    </row>
    <row r="1685" spans="1:10" ht="12.75">
      <c r="A1685" s="1" t="s">
        <v>24</v>
      </c>
      <c r="B1685" s="1" t="s">
        <v>42</v>
      </c>
      <c r="C1685" s="1" t="s">
        <v>49</v>
      </c>
      <c r="D1685" s="2">
        <v>45035</v>
      </c>
      <c r="E1685" s="1" t="s">
        <v>1482</v>
      </c>
      <c r="F1685" s="5">
        <f t="shared" si="105"/>
        <v>19283.64</v>
      </c>
      <c r="G1685" s="1">
        <v>139</v>
      </c>
      <c r="H1685" s="1" t="str">
        <f t="shared" si="106"/>
        <v>High</v>
      </c>
      <c r="I1685" s="1" t="str">
        <f t="shared" si="107"/>
        <v>Other</v>
      </c>
      <c r="J1685" s="1">
        <f t="shared" si="108"/>
        <v>321222.21999999991</v>
      </c>
    </row>
    <row r="1686" spans="1:10" ht="12.75">
      <c r="A1686" s="1" t="s">
        <v>17</v>
      </c>
      <c r="B1686" s="1" t="s">
        <v>54</v>
      </c>
      <c r="C1686" s="1" t="s">
        <v>40</v>
      </c>
      <c r="D1686" s="2">
        <v>44944</v>
      </c>
      <c r="E1686" s="1" t="s">
        <v>1483</v>
      </c>
      <c r="F1686" s="5">
        <f t="shared" si="105"/>
        <v>9327.52</v>
      </c>
      <c r="G1686" s="1">
        <v>232</v>
      </c>
      <c r="H1686" s="1" t="str">
        <f t="shared" si="106"/>
        <v>High</v>
      </c>
      <c r="I1686" s="1" t="str">
        <f t="shared" si="107"/>
        <v>Other</v>
      </c>
      <c r="J1686" s="1">
        <f t="shared" si="108"/>
        <v>321222.21999999991</v>
      </c>
    </row>
    <row r="1687" spans="1:10" ht="12.75">
      <c r="A1687" s="1" t="s">
        <v>10</v>
      </c>
      <c r="B1687" s="1" t="s">
        <v>54</v>
      </c>
      <c r="C1687" s="1" t="s">
        <v>81</v>
      </c>
      <c r="D1687" s="2">
        <v>44943</v>
      </c>
      <c r="E1687" s="1" t="s">
        <v>1484</v>
      </c>
      <c r="F1687" s="5">
        <f t="shared" si="105"/>
        <v>3184.03</v>
      </c>
      <c r="G1687" s="1">
        <v>85</v>
      </c>
      <c r="H1687" s="1" t="str">
        <f t="shared" si="106"/>
        <v>High</v>
      </c>
      <c r="I1687" s="1" t="str">
        <f t="shared" si="107"/>
        <v>Other</v>
      </c>
      <c r="J1687" s="1">
        <f t="shared" si="108"/>
        <v>321222.21999999991</v>
      </c>
    </row>
    <row r="1688" spans="1:10" ht="12.75">
      <c r="A1688" s="1" t="s">
        <v>27</v>
      </c>
      <c r="B1688" s="1" t="s">
        <v>54</v>
      </c>
      <c r="C1688" s="1" t="s">
        <v>40</v>
      </c>
      <c r="D1688" s="2">
        <v>44972</v>
      </c>
      <c r="E1688" s="1" t="s">
        <v>1485</v>
      </c>
      <c r="F1688" s="5">
        <f t="shared" si="105"/>
        <v>9738.74</v>
      </c>
      <c r="G1688" s="1">
        <v>209</v>
      </c>
      <c r="H1688" s="1" t="str">
        <f t="shared" si="106"/>
        <v>High</v>
      </c>
      <c r="I1688" s="1" t="str">
        <f t="shared" si="107"/>
        <v>Other</v>
      </c>
      <c r="J1688" s="1">
        <f t="shared" si="108"/>
        <v>321222.21999999991</v>
      </c>
    </row>
    <row r="1689" spans="1:10" ht="12.75">
      <c r="A1689" s="1" t="s">
        <v>27</v>
      </c>
      <c r="B1689" s="1" t="s">
        <v>39</v>
      </c>
      <c r="C1689" s="1" t="s">
        <v>72</v>
      </c>
      <c r="D1689" s="2">
        <v>44968</v>
      </c>
      <c r="E1689" s="1" t="s">
        <v>1486</v>
      </c>
      <c r="F1689" s="5">
        <f t="shared" si="105"/>
        <v>16486.650000000001</v>
      </c>
      <c r="G1689" s="1">
        <v>314</v>
      </c>
      <c r="H1689" s="1" t="str">
        <f t="shared" si="106"/>
        <v>High</v>
      </c>
      <c r="I1689" s="1" t="str">
        <f t="shared" si="107"/>
        <v>Other</v>
      </c>
      <c r="J1689" s="1">
        <f t="shared" si="108"/>
        <v>321222.21999999991</v>
      </c>
    </row>
    <row r="1690" spans="1:10" ht="12.75">
      <c r="A1690" s="1" t="s">
        <v>25</v>
      </c>
      <c r="B1690" s="1" t="s">
        <v>59</v>
      </c>
      <c r="C1690" s="1" t="s">
        <v>86</v>
      </c>
      <c r="D1690" s="2">
        <v>45006</v>
      </c>
      <c r="E1690" s="1" t="s">
        <v>1487</v>
      </c>
      <c r="F1690" s="5">
        <f t="shared" si="105"/>
        <v>16792.23</v>
      </c>
      <c r="G1690" s="1">
        <v>184</v>
      </c>
      <c r="H1690" s="1" t="str">
        <f t="shared" si="106"/>
        <v>High</v>
      </c>
      <c r="I1690" s="1" t="str">
        <f t="shared" si="107"/>
        <v>Other</v>
      </c>
      <c r="J1690" s="1">
        <f t="shared" si="108"/>
        <v>321222.21999999991</v>
      </c>
    </row>
    <row r="1691" spans="1:10" ht="12.75">
      <c r="A1691" s="1" t="s">
        <v>23</v>
      </c>
      <c r="B1691" s="1" t="s">
        <v>54</v>
      </c>
      <c r="C1691" s="1" t="s">
        <v>91</v>
      </c>
      <c r="D1691" s="2">
        <v>44931</v>
      </c>
      <c r="E1691" s="1" t="s">
        <v>1488</v>
      </c>
      <c r="F1691" s="5">
        <f t="shared" si="105"/>
        <v>5752.62</v>
      </c>
      <c r="G1691" s="1">
        <v>125</v>
      </c>
      <c r="H1691" s="1" t="str">
        <f t="shared" si="106"/>
        <v>High</v>
      </c>
      <c r="I1691" s="1" t="str">
        <f t="shared" si="107"/>
        <v>Other</v>
      </c>
      <c r="J1691" s="1">
        <f t="shared" si="108"/>
        <v>321222.21999999991</v>
      </c>
    </row>
    <row r="1692" spans="1:10" ht="12.75">
      <c r="A1692" s="1" t="s">
        <v>7</v>
      </c>
      <c r="B1692" s="1" t="s">
        <v>42</v>
      </c>
      <c r="C1692" s="1" t="s">
        <v>100</v>
      </c>
      <c r="D1692" s="2">
        <v>45076</v>
      </c>
      <c r="E1692" s="1" t="s">
        <v>1489</v>
      </c>
      <c r="F1692" s="5">
        <f t="shared" si="105"/>
        <v>6833.28</v>
      </c>
      <c r="G1692" s="1">
        <v>157</v>
      </c>
      <c r="H1692" s="1" t="str">
        <f t="shared" si="106"/>
        <v>High</v>
      </c>
      <c r="I1692" s="1" t="str">
        <f t="shared" si="107"/>
        <v>Other</v>
      </c>
      <c r="J1692" s="1">
        <f t="shared" si="108"/>
        <v>321222.21999999991</v>
      </c>
    </row>
    <row r="1693" spans="1:10" ht="12.75">
      <c r="A1693" s="1" t="s">
        <v>11</v>
      </c>
      <c r="B1693" s="1" t="s">
        <v>59</v>
      </c>
      <c r="C1693" s="1" t="s">
        <v>51</v>
      </c>
      <c r="D1693" s="2">
        <v>44930</v>
      </c>
      <c r="E1693" s="1" t="s">
        <v>1490</v>
      </c>
      <c r="F1693" s="5">
        <f t="shared" si="105"/>
        <v>2815.72</v>
      </c>
      <c r="G1693" s="1">
        <v>222</v>
      </c>
      <c r="H1693" s="1" t="str">
        <f t="shared" si="106"/>
        <v>High</v>
      </c>
      <c r="I1693" s="1" t="str">
        <f t="shared" si="107"/>
        <v>Other</v>
      </c>
      <c r="J1693" s="1">
        <f t="shared" si="108"/>
        <v>321222.21999999991</v>
      </c>
    </row>
    <row r="1694" spans="1:10" ht="12.75">
      <c r="A1694" s="1" t="s">
        <v>28</v>
      </c>
      <c r="B1694" s="1" t="s">
        <v>5</v>
      </c>
      <c r="C1694" s="1" t="s">
        <v>81</v>
      </c>
      <c r="D1694" s="2">
        <v>45038</v>
      </c>
      <c r="E1694" s="1" t="s">
        <v>1491</v>
      </c>
      <c r="F1694" s="5">
        <f t="shared" si="105"/>
        <v>1545.36</v>
      </c>
      <c r="G1694" s="1">
        <v>269</v>
      </c>
      <c r="H1694" s="1" t="str">
        <f t="shared" si="106"/>
        <v>High</v>
      </c>
      <c r="I1694" s="1" t="str">
        <f t="shared" si="107"/>
        <v>Other</v>
      </c>
      <c r="J1694" s="1">
        <f t="shared" si="108"/>
        <v>321222.21999999991</v>
      </c>
    </row>
    <row r="1695" spans="1:10" ht="12.75">
      <c r="A1695" s="1" t="s">
        <v>20</v>
      </c>
      <c r="B1695" s="1" t="s">
        <v>62</v>
      </c>
      <c r="C1695" s="1" t="s">
        <v>72</v>
      </c>
      <c r="D1695" s="2">
        <v>44967</v>
      </c>
      <c r="E1695" s="1" t="s">
        <v>1492</v>
      </c>
      <c r="F1695" s="5">
        <f t="shared" si="105"/>
        <v>3432.73</v>
      </c>
      <c r="G1695" s="1">
        <v>120</v>
      </c>
      <c r="H1695" s="1" t="str">
        <f t="shared" si="106"/>
        <v>High</v>
      </c>
      <c r="I1695" s="1" t="str">
        <f t="shared" si="107"/>
        <v>Other</v>
      </c>
      <c r="J1695" s="1">
        <f t="shared" si="108"/>
        <v>321222.21999999991</v>
      </c>
    </row>
    <row r="1696" spans="1:10" ht="12.75">
      <c r="A1696" s="1" t="s">
        <v>21</v>
      </c>
      <c r="B1696" s="1" t="s">
        <v>42</v>
      </c>
      <c r="C1696" s="1" t="s">
        <v>76</v>
      </c>
      <c r="D1696" s="2">
        <v>45150</v>
      </c>
      <c r="E1696" s="1" t="s">
        <v>1493</v>
      </c>
      <c r="F1696" s="5">
        <f t="shared" si="105"/>
        <v>1001.99</v>
      </c>
      <c r="G1696" s="1">
        <v>217</v>
      </c>
      <c r="H1696" s="1" t="str">
        <f t="shared" si="106"/>
        <v>High</v>
      </c>
      <c r="I1696" s="1" t="str">
        <f t="shared" si="107"/>
        <v>Other</v>
      </c>
      <c r="J1696" s="1">
        <f t="shared" si="108"/>
        <v>321222.21999999991</v>
      </c>
    </row>
    <row r="1697" spans="1:10" ht="12.75">
      <c r="A1697" s="1" t="s">
        <v>23</v>
      </c>
      <c r="B1697" s="1" t="s">
        <v>59</v>
      </c>
      <c r="C1697" s="1" t="s">
        <v>68</v>
      </c>
      <c r="D1697" s="2">
        <v>45148</v>
      </c>
      <c r="E1697" s="1" t="s">
        <v>1494</v>
      </c>
      <c r="F1697" s="5">
        <f t="shared" si="105"/>
        <v>2494.19</v>
      </c>
      <c r="G1697" s="1">
        <v>315</v>
      </c>
      <c r="H1697" s="1" t="str">
        <f t="shared" si="106"/>
        <v>High</v>
      </c>
      <c r="I1697" s="1" t="str">
        <f t="shared" si="107"/>
        <v>Other</v>
      </c>
      <c r="J1697" s="1">
        <f t="shared" si="108"/>
        <v>321222.21999999991</v>
      </c>
    </row>
    <row r="1698" spans="1:10" ht="12.75">
      <c r="A1698" s="1" t="s">
        <v>12</v>
      </c>
      <c r="B1698" s="1" t="s">
        <v>5</v>
      </c>
      <c r="C1698" s="1" t="s">
        <v>100</v>
      </c>
      <c r="D1698" s="2">
        <v>45084</v>
      </c>
      <c r="E1698" s="1" t="s">
        <v>1495</v>
      </c>
      <c r="F1698" s="5">
        <f t="shared" si="105"/>
        <v>770.25</v>
      </c>
      <c r="G1698" s="1">
        <v>61</v>
      </c>
      <c r="H1698" s="1" t="str">
        <f t="shared" si="106"/>
        <v>Medium</v>
      </c>
      <c r="I1698" s="1" t="str">
        <f t="shared" si="107"/>
        <v>Other</v>
      </c>
      <c r="J1698" s="1">
        <f t="shared" si="108"/>
        <v>321222.21999999991</v>
      </c>
    </row>
    <row r="1699" spans="1:10" ht="12.75">
      <c r="A1699" s="1" t="s">
        <v>11</v>
      </c>
      <c r="B1699" s="1" t="s">
        <v>42</v>
      </c>
      <c r="C1699" s="1" t="s">
        <v>122</v>
      </c>
      <c r="D1699" s="2">
        <v>45083</v>
      </c>
      <c r="E1699" s="1" t="s">
        <v>1496</v>
      </c>
      <c r="F1699" s="5">
        <f t="shared" si="105"/>
        <v>2261.98</v>
      </c>
      <c r="G1699" s="1">
        <v>73</v>
      </c>
      <c r="H1699" s="1" t="str">
        <f t="shared" si="106"/>
        <v>High</v>
      </c>
      <c r="I1699" s="1" t="str">
        <f t="shared" si="107"/>
        <v>Other</v>
      </c>
      <c r="J1699" s="1">
        <f t="shared" si="108"/>
        <v>321222.21999999991</v>
      </c>
    </row>
    <row r="1700" spans="1:10" ht="12.75">
      <c r="A1700" s="1" t="s">
        <v>18</v>
      </c>
      <c r="B1700" s="1" t="s">
        <v>54</v>
      </c>
      <c r="C1700" s="1" t="s">
        <v>122</v>
      </c>
      <c r="D1700" s="2">
        <v>45021</v>
      </c>
      <c r="E1700" s="1" t="s">
        <v>1497</v>
      </c>
      <c r="F1700" s="5">
        <f t="shared" si="105"/>
        <v>5667.58</v>
      </c>
      <c r="G1700" s="1">
        <v>204</v>
      </c>
      <c r="H1700" s="1" t="str">
        <f t="shared" si="106"/>
        <v>High</v>
      </c>
      <c r="I1700" s="1" t="str">
        <f t="shared" si="107"/>
        <v>Other</v>
      </c>
      <c r="J1700" s="1">
        <f t="shared" si="108"/>
        <v>321222.21999999991</v>
      </c>
    </row>
    <row r="1701" spans="1:10" ht="12.75">
      <c r="A1701" s="1" t="s">
        <v>29</v>
      </c>
      <c r="B1701" s="1" t="s">
        <v>59</v>
      </c>
      <c r="C1701" s="1" t="s">
        <v>55</v>
      </c>
      <c r="D1701" s="2">
        <v>45034</v>
      </c>
      <c r="E1701" s="1" t="s">
        <v>1498</v>
      </c>
      <c r="F1701" s="5">
        <f t="shared" si="105"/>
        <v>4738.71</v>
      </c>
      <c r="G1701" s="1">
        <v>125</v>
      </c>
      <c r="H1701" s="1" t="str">
        <f t="shared" si="106"/>
        <v>High</v>
      </c>
      <c r="I1701" s="1" t="str">
        <f t="shared" si="107"/>
        <v>Other</v>
      </c>
      <c r="J1701" s="1">
        <f t="shared" si="108"/>
        <v>321222.21999999991</v>
      </c>
    </row>
    <row r="1702" spans="1:10" ht="12.75">
      <c r="A1702" s="1" t="s">
        <v>27</v>
      </c>
      <c r="B1702" s="1" t="s">
        <v>42</v>
      </c>
      <c r="C1702" s="1" t="s">
        <v>55</v>
      </c>
      <c r="D1702" s="2">
        <v>44957</v>
      </c>
      <c r="E1702" s="1" t="s">
        <v>1499</v>
      </c>
      <c r="F1702" s="5">
        <f t="shared" si="105"/>
        <v>13661.89</v>
      </c>
      <c r="G1702" s="1">
        <v>15</v>
      </c>
      <c r="H1702" s="1" t="str">
        <f t="shared" si="106"/>
        <v>High</v>
      </c>
      <c r="I1702" s="1" t="str">
        <f t="shared" si="107"/>
        <v>Other</v>
      </c>
      <c r="J1702" s="1">
        <f t="shared" si="108"/>
        <v>321222.21999999991</v>
      </c>
    </row>
    <row r="1703" spans="1:10" ht="12.75">
      <c r="A1703" s="1" t="s">
        <v>9</v>
      </c>
      <c r="B1703" s="1" t="s">
        <v>59</v>
      </c>
      <c r="C1703" s="1" t="s">
        <v>122</v>
      </c>
      <c r="D1703" s="2">
        <v>45160</v>
      </c>
      <c r="E1703" s="1" t="s">
        <v>1500</v>
      </c>
      <c r="F1703" s="5">
        <f t="shared" si="105"/>
        <v>6067.19</v>
      </c>
      <c r="G1703" s="1">
        <v>151</v>
      </c>
      <c r="H1703" s="1" t="str">
        <f t="shared" si="106"/>
        <v>High</v>
      </c>
      <c r="I1703" s="1" t="str">
        <f t="shared" si="107"/>
        <v>Other</v>
      </c>
      <c r="J1703" s="1">
        <f t="shared" si="108"/>
        <v>321222.21999999991</v>
      </c>
    </row>
    <row r="1704" spans="1:10" ht="12.75">
      <c r="A1704" s="1" t="s">
        <v>11</v>
      </c>
      <c r="B1704" s="1" t="s">
        <v>5</v>
      </c>
      <c r="C1704" s="1" t="s">
        <v>51</v>
      </c>
      <c r="D1704" s="2">
        <v>44982</v>
      </c>
      <c r="E1704" s="1" t="s">
        <v>1501</v>
      </c>
      <c r="F1704" s="5">
        <f t="shared" si="105"/>
        <v>11720.99</v>
      </c>
      <c r="G1704" s="1">
        <v>204</v>
      </c>
      <c r="H1704" s="1" t="str">
        <f t="shared" si="106"/>
        <v>High</v>
      </c>
      <c r="I1704" s="1" t="str">
        <f t="shared" si="107"/>
        <v>Other</v>
      </c>
      <c r="J1704" s="1">
        <f t="shared" si="108"/>
        <v>321222.21999999991</v>
      </c>
    </row>
    <row r="1705" spans="1:10" ht="12.75">
      <c r="A1705" s="1" t="s">
        <v>15</v>
      </c>
      <c r="B1705" s="1" t="s">
        <v>5</v>
      </c>
      <c r="C1705" s="1" t="s">
        <v>40</v>
      </c>
      <c r="D1705" s="2">
        <v>44979</v>
      </c>
      <c r="E1705" s="1" t="s">
        <v>1502</v>
      </c>
      <c r="F1705" s="5">
        <f t="shared" si="105"/>
        <v>19999.55</v>
      </c>
      <c r="G1705" s="1">
        <v>106</v>
      </c>
      <c r="H1705" s="1" t="str">
        <f t="shared" si="106"/>
        <v>High</v>
      </c>
      <c r="I1705" s="1" t="str">
        <f t="shared" si="107"/>
        <v>Other</v>
      </c>
      <c r="J1705" s="1">
        <f t="shared" si="108"/>
        <v>321222.21999999991</v>
      </c>
    </row>
    <row r="1706" spans="1:10" ht="12.75">
      <c r="A1706" s="1" t="s">
        <v>22</v>
      </c>
      <c r="B1706" s="1" t="s">
        <v>54</v>
      </c>
      <c r="C1706" s="1" t="s">
        <v>72</v>
      </c>
      <c r="D1706" s="2">
        <v>44938</v>
      </c>
      <c r="E1706" s="1" t="s">
        <v>1503</v>
      </c>
      <c r="F1706" s="5">
        <f t="shared" si="105"/>
        <v>4484.03</v>
      </c>
      <c r="G1706" s="1">
        <v>201</v>
      </c>
      <c r="H1706" s="1" t="str">
        <f t="shared" si="106"/>
        <v>High</v>
      </c>
      <c r="I1706" s="1" t="str">
        <f t="shared" si="107"/>
        <v>Other</v>
      </c>
      <c r="J1706" s="1">
        <f t="shared" si="108"/>
        <v>321222.21999999991</v>
      </c>
    </row>
    <row r="1707" spans="1:10" ht="12.75">
      <c r="A1707" s="1" t="s">
        <v>7</v>
      </c>
      <c r="B1707" s="1" t="s">
        <v>39</v>
      </c>
      <c r="C1707" s="1" t="s">
        <v>91</v>
      </c>
      <c r="D1707" s="2">
        <v>45071</v>
      </c>
      <c r="E1707" s="1" t="s">
        <v>1504</v>
      </c>
      <c r="F1707" s="5">
        <f t="shared" si="105"/>
        <v>107.24</v>
      </c>
      <c r="G1707" s="1">
        <v>129</v>
      </c>
      <c r="H1707" s="1" t="str">
        <f t="shared" si="106"/>
        <v>Low</v>
      </c>
      <c r="I1707" s="1" t="str">
        <f t="shared" si="107"/>
        <v>Other</v>
      </c>
      <c r="J1707" s="1">
        <f t="shared" si="108"/>
        <v>321222.21999999991</v>
      </c>
    </row>
    <row r="1708" spans="1:10" ht="12.75">
      <c r="A1708" s="1" t="s">
        <v>12</v>
      </c>
      <c r="B1708" s="1" t="s">
        <v>42</v>
      </c>
      <c r="C1708" s="1" t="s">
        <v>49</v>
      </c>
      <c r="D1708" s="2">
        <v>44958</v>
      </c>
      <c r="E1708" s="1" t="s">
        <v>1505</v>
      </c>
      <c r="F1708" s="5">
        <f t="shared" si="105"/>
        <v>2525.98</v>
      </c>
      <c r="G1708" s="1">
        <v>8</v>
      </c>
      <c r="H1708" s="1" t="str">
        <f t="shared" si="106"/>
        <v>High</v>
      </c>
      <c r="I1708" s="1" t="str">
        <f t="shared" si="107"/>
        <v>Other</v>
      </c>
      <c r="J1708" s="1">
        <f t="shared" si="108"/>
        <v>321222.21999999991</v>
      </c>
    </row>
    <row r="1709" spans="1:10" ht="12.75">
      <c r="A1709" s="1" t="s">
        <v>19</v>
      </c>
      <c r="B1709" s="1" t="s">
        <v>39</v>
      </c>
      <c r="C1709" s="1" t="s">
        <v>63</v>
      </c>
      <c r="D1709" s="2">
        <v>45043</v>
      </c>
      <c r="E1709" s="1" t="s">
        <v>1506</v>
      </c>
      <c r="F1709" s="5">
        <f t="shared" si="105"/>
        <v>1577.84</v>
      </c>
      <c r="G1709" s="1">
        <v>67</v>
      </c>
      <c r="H1709" s="1" t="str">
        <f t="shared" si="106"/>
        <v>High</v>
      </c>
      <c r="I1709" s="1" t="str">
        <f t="shared" si="107"/>
        <v>Other</v>
      </c>
      <c r="J1709" s="1">
        <f t="shared" si="108"/>
        <v>321222.21999999991</v>
      </c>
    </row>
    <row r="1710" spans="1:10" ht="12.75">
      <c r="A1710" s="1" t="s">
        <v>20</v>
      </c>
      <c r="B1710" s="1" t="s">
        <v>59</v>
      </c>
      <c r="C1710" s="1" t="s">
        <v>49</v>
      </c>
      <c r="D1710" s="2">
        <v>45129</v>
      </c>
      <c r="E1710" s="1" t="s">
        <v>1507</v>
      </c>
      <c r="F1710" s="5">
        <f t="shared" si="105"/>
        <v>2972.07</v>
      </c>
      <c r="G1710" s="1">
        <v>129</v>
      </c>
      <c r="H1710" s="1" t="str">
        <f t="shared" si="106"/>
        <v>High</v>
      </c>
      <c r="I1710" s="1" t="str">
        <f t="shared" si="107"/>
        <v>Other</v>
      </c>
      <c r="J1710" s="1">
        <f t="shared" si="108"/>
        <v>321222.21999999991</v>
      </c>
    </row>
    <row r="1711" spans="1:10" ht="12.75">
      <c r="A1711" s="1" t="s">
        <v>24</v>
      </c>
      <c r="B1711" s="1" t="s">
        <v>54</v>
      </c>
      <c r="C1711" s="1" t="s">
        <v>40</v>
      </c>
      <c r="D1711" s="2">
        <v>44952</v>
      </c>
      <c r="E1711" s="1" t="s">
        <v>1508</v>
      </c>
      <c r="F1711" s="5">
        <f t="shared" si="105"/>
        <v>3691.63</v>
      </c>
      <c r="G1711" s="1">
        <v>284</v>
      </c>
      <c r="H1711" s="1" t="str">
        <f t="shared" si="106"/>
        <v>High</v>
      </c>
      <c r="I1711" s="1" t="str">
        <f t="shared" si="107"/>
        <v>Other</v>
      </c>
      <c r="J1711" s="1">
        <f t="shared" si="108"/>
        <v>321222.21999999991</v>
      </c>
    </row>
    <row r="1712" spans="1:10" ht="12.75">
      <c r="A1712" s="1" t="s">
        <v>24</v>
      </c>
      <c r="B1712" s="1" t="s">
        <v>59</v>
      </c>
      <c r="C1712" s="1" t="s">
        <v>40</v>
      </c>
      <c r="D1712" s="2">
        <v>45162</v>
      </c>
      <c r="E1712" s="1" t="s">
        <v>1509</v>
      </c>
      <c r="F1712" s="5">
        <f t="shared" si="105"/>
        <v>5188.8900000000003</v>
      </c>
      <c r="G1712" s="1">
        <v>293</v>
      </c>
      <c r="H1712" s="1" t="str">
        <f t="shared" si="106"/>
        <v>High</v>
      </c>
      <c r="I1712" s="1" t="str">
        <f t="shared" si="107"/>
        <v>Other</v>
      </c>
      <c r="J1712" s="1">
        <f t="shared" si="108"/>
        <v>321222.21999999991</v>
      </c>
    </row>
    <row r="1713" spans="1:10" ht="12.75">
      <c r="A1713" s="1" t="s">
        <v>9</v>
      </c>
      <c r="B1713" s="1" t="s">
        <v>54</v>
      </c>
      <c r="C1713" s="1" t="s">
        <v>81</v>
      </c>
      <c r="D1713" s="2">
        <v>44944</v>
      </c>
      <c r="E1713" s="1" t="s">
        <v>1510</v>
      </c>
      <c r="F1713" s="5">
        <f t="shared" si="105"/>
        <v>5766.51</v>
      </c>
      <c r="G1713" s="1">
        <v>21</v>
      </c>
      <c r="H1713" s="1" t="str">
        <f t="shared" si="106"/>
        <v>High</v>
      </c>
      <c r="I1713" s="1" t="str">
        <f t="shared" si="107"/>
        <v>Other</v>
      </c>
      <c r="J1713" s="1">
        <f t="shared" si="108"/>
        <v>321222.21999999991</v>
      </c>
    </row>
    <row r="1714" spans="1:10" ht="12.75">
      <c r="A1714" s="1" t="s">
        <v>18</v>
      </c>
      <c r="B1714" s="1" t="s">
        <v>42</v>
      </c>
      <c r="C1714" s="1" t="s">
        <v>43</v>
      </c>
      <c r="D1714" s="2">
        <v>45015</v>
      </c>
      <c r="E1714" s="1" t="s">
        <v>1511</v>
      </c>
      <c r="F1714" s="5">
        <f t="shared" si="105"/>
        <v>1036.77</v>
      </c>
      <c r="G1714" s="1">
        <v>82</v>
      </c>
      <c r="H1714" s="1" t="str">
        <f t="shared" si="106"/>
        <v>High</v>
      </c>
      <c r="I1714" s="1" t="str">
        <f t="shared" si="107"/>
        <v>Other</v>
      </c>
      <c r="J1714" s="1">
        <f t="shared" si="108"/>
        <v>321222.21999999991</v>
      </c>
    </row>
    <row r="1715" spans="1:10" ht="12.75">
      <c r="A1715" s="1" t="s">
        <v>17</v>
      </c>
      <c r="B1715" s="1" t="s">
        <v>5</v>
      </c>
      <c r="C1715" s="1" t="s">
        <v>126</v>
      </c>
      <c r="D1715" s="2">
        <v>44943</v>
      </c>
      <c r="E1715" s="1" t="s">
        <v>1512</v>
      </c>
      <c r="F1715" s="5">
        <f t="shared" si="105"/>
        <v>10033.52</v>
      </c>
      <c r="G1715" s="1">
        <v>163</v>
      </c>
      <c r="H1715" s="1" t="str">
        <f t="shared" si="106"/>
        <v>High</v>
      </c>
      <c r="I1715" s="1" t="str">
        <f t="shared" si="107"/>
        <v>Other</v>
      </c>
      <c r="J1715" s="1">
        <f t="shared" si="108"/>
        <v>321222.21999999991</v>
      </c>
    </row>
    <row r="1716" spans="1:10" ht="12.75">
      <c r="A1716" s="1" t="s">
        <v>12</v>
      </c>
      <c r="B1716" s="1" t="s">
        <v>59</v>
      </c>
      <c r="C1716" s="1" t="s">
        <v>81</v>
      </c>
      <c r="D1716" s="2">
        <v>44974</v>
      </c>
      <c r="E1716" s="1" t="s">
        <v>1513</v>
      </c>
      <c r="F1716" s="5">
        <f t="shared" si="105"/>
        <v>5220.6899999999996</v>
      </c>
      <c r="G1716" s="1">
        <v>154</v>
      </c>
      <c r="H1716" s="1" t="str">
        <f t="shared" si="106"/>
        <v>High</v>
      </c>
      <c r="I1716" s="1" t="str">
        <f t="shared" si="107"/>
        <v>Other</v>
      </c>
      <c r="J1716" s="1">
        <f t="shared" si="108"/>
        <v>321222.21999999991</v>
      </c>
    </row>
    <row r="1717" spans="1:10" ht="12.75">
      <c r="A1717" s="1" t="s">
        <v>12</v>
      </c>
      <c r="B1717" s="1" t="s">
        <v>62</v>
      </c>
      <c r="C1717" s="1" t="s">
        <v>45</v>
      </c>
      <c r="D1717" s="2">
        <v>45024</v>
      </c>
      <c r="E1717" s="1" t="s">
        <v>1514</v>
      </c>
      <c r="F1717" s="5">
        <f t="shared" si="105"/>
        <v>8106.62</v>
      </c>
      <c r="G1717" s="1">
        <v>47</v>
      </c>
      <c r="H1717" s="1" t="str">
        <f t="shared" si="106"/>
        <v>High</v>
      </c>
      <c r="I1717" s="1" t="str">
        <f t="shared" si="107"/>
        <v>Other</v>
      </c>
      <c r="J1717" s="1">
        <f t="shared" si="108"/>
        <v>321222.21999999991</v>
      </c>
    </row>
    <row r="1718" spans="1:10" ht="12.75">
      <c r="A1718" s="1" t="s">
        <v>20</v>
      </c>
      <c r="B1718" s="1" t="s">
        <v>62</v>
      </c>
      <c r="C1718" s="1" t="s">
        <v>65</v>
      </c>
      <c r="D1718" s="2">
        <v>45113</v>
      </c>
      <c r="E1718" s="1" t="s">
        <v>1515</v>
      </c>
      <c r="F1718" s="5">
        <f t="shared" si="105"/>
        <v>3934.09</v>
      </c>
      <c r="G1718" s="1">
        <v>86</v>
      </c>
      <c r="H1718" s="1" t="str">
        <f t="shared" si="106"/>
        <v>High</v>
      </c>
      <c r="I1718" s="1" t="str">
        <f t="shared" si="107"/>
        <v>Other</v>
      </c>
      <c r="J1718" s="1">
        <f t="shared" si="108"/>
        <v>321222.21999999991</v>
      </c>
    </row>
    <row r="1719" spans="1:10" ht="12.75">
      <c r="A1719" s="1" t="s">
        <v>13</v>
      </c>
      <c r="B1719" s="1" t="s">
        <v>42</v>
      </c>
      <c r="C1719" s="1" t="s">
        <v>81</v>
      </c>
      <c r="D1719" s="2">
        <v>45020</v>
      </c>
      <c r="E1719" s="1" t="s">
        <v>1516</v>
      </c>
      <c r="F1719" s="5">
        <f t="shared" si="105"/>
        <v>4508.93</v>
      </c>
      <c r="G1719" s="1">
        <v>231</v>
      </c>
      <c r="H1719" s="1" t="str">
        <f t="shared" si="106"/>
        <v>High</v>
      </c>
      <c r="I1719" s="1" t="str">
        <f t="shared" si="107"/>
        <v>Other</v>
      </c>
      <c r="J1719" s="1">
        <f t="shared" si="108"/>
        <v>321222.21999999991</v>
      </c>
    </row>
    <row r="1720" spans="1:10" ht="12.75">
      <c r="A1720" s="1" t="s">
        <v>15</v>
      </c>
      <c r="B1720" s="1" t="s">
        <v>54</v>
      </c>
      <c r="C1720" s="1" t="s">
        <v>68</v>
      </c>
      <c r="D1720" s="2">
        <v>44987</v>
      </c>
      <c r="E1720" s="1" t="s">
        <v>1517</v>
      </c>
      <c r="F1720" s="5">
        <f t="shared" si="105"/>
        <v>1921.57</v>
      </c>
      <c r="G1720" s="1">
        <v>226</v>
      </c>
      <c r="H1720" s="1" t="str">
        <f t="shared" si="106"/>
        <v>High</v>
      </c>
      <c r="I1720" s="1" t="str">
        <f t="shared" si="107"/>
        <v>Other</v>
      </c>
      <c r="J1720" s="1">
        <f t="shared" si="108"/>
        <v>321222.21999999991</v>
      </c>
    </row>
    <row r="1721" spans="1:10" ht="12.75">
      <c r="A1721" s="1" t="s">
        <v>20</v>
      </c>
      <c r="B1721" s="1" t="s">
        <v>54</v>
      </c>
      <c r="C1721" s="1" t="s">
        <v>100</v>
      </c>
      <c r="D1721" s="2">
        <v>45147</v>
      </c>
      <c r="E1721" s="1" t="s">
        <v>1518</v>
      </c>
      <c r="F1721" s="5">
        <f t="shared" si="105"/>
        <v>1161.31</v>
      </c>
      <c r="G1721" s="1">
        <v>181</v>
      </c>
      <c r="H1721" s="1" t="str">
        <f t="shared" si="106"/>
        <v>High</v>
      </c>
      <c r="I1721" s="1" t="str">
        <f t="shared" si="107"/>
        <v>Other</v>
      </c>
      <c r="J1721" s="1">
        <f t="shared" si="108"/>
        <v>321222.21999999991</v>
      </c>
    </row>
    <row r="1722" spans="1:10" ht="12.75">
      <c r="A1722" s="1" t="s">
        <v>6</v>
      </c>
      <c r="B1722" s="1" t="s">
        <v>5</v>
      </c>
      <c r="C1722" s="1" t="s">
        <v>72</v>
      </c>
      <c r="D1722" s="2">
        <v>45086</v>
      </c>
      <c r="E1722" s="1" t="s">
        <v>1519</v>
      </c>
      <c r="F1722" s="5">
        <f t="shared" si="105"/>
        <v>11389.29</v>
      </c>
      <c r="G1722" s="1">
        <v>282</v>
      </c>
      <c r="H1722" s="1" t="str">
        <f t="shared" si="106"/>
        <v>High</v>
      </c>
      <c r="I1722" s="1" t="str">
        <f t="shared" si="107"/>
        <v>Other</v>
      </c>
      <c r="J1722" s="1">
        <f t="shared" si="108"/>
        <v>321222.21999999991</v>
      </c>
    </row>
    <row r="1723" spans="1:10" ht="12.75">
      <c r="A1723" s="1" t="s">
        <v>17</v>
      </c>
      <c r="B1723" s="1" t="s">
        <v>39</v>
      </c>
      <c r="C1723" s="1" t="s">
        <v>126</v>
      </c>
      <c r="D1723" s="2">
        <v>45079</v>
      </c>
      <c r="E1723" s="1" t="s">
        <v>1520</v>
      </c>
      <c r="F1723" s="5">
        <f t="shared" si="105"/>
        <v>3032.3</v>
      </c>
      <c r="G1723" s="1">
        <v>313</v>
      </c>
      <c r="H1723" s="1" t="str">
        <f t="shared" si="106"/>
        <v>High</v>
      </c>
      <c r="I1723" s="1" t="str">
        <f t="shared" si="107"/>
        <v>Other</v>
      </c>
      <c r="J1723" s="1">
        <f t="shared" si="108"/>
        <v>321222.21999999991</v>
      </c>
    </row>
    <row r="1724" spans="1:10" ht="12.75">
      <c r="A1724" s="1" t="s">
        <v>10</v>
      </c>
      <c r="B1724" s="1" t="s">
        <v>59</v>
      </c>
      <c r="C1724" s="1" t="s">
        <v>81</v>
      </c>
      <c r="D1724" s="2">
        <v>45112</v>
      </c>
      <c r="E1724" s="1" t="s">
        <v>1521</v>
      </c>
      <c r="F1724" s="5">
        <f t="shared" si="105"/>
        <v>6871.55</v>
      </c>
      <c r="G1724" s="1">
        <v>238</v>
      </c>
      <c r="H1724" s="1" t="str">
        <f t="shared" si="106"/>
        <v>High</v>
      </c>
      <c r="I1724" s="1" t="str">
        <f t="shared" si="107"/>
        <v>Other</v>
      </c>
      <c r="J1724" s="1">
        <f t="shared" si="108"/>
        <v>321222.21999999991</v>
      </c>
    </row>
    <row r="1725" spans="1:10" ht="12.75">
      <c r="A1725" s="1" t="s">
        <v>27</v>
      </c>
      <c r="B1725" s="1" t="s">
        <v>62</v>
      </c>
      <c r="C1725" s="1" t="s">
        <v>63</v>
      </c>
      <c r="D1725" s="2">
        <v>45149</v>
      </c>
      <c r="E1725" s="1" t="s">
        <v>1522</v>
      </c>
      <c r="F1725" s="5">
        <f t="shared" si="105"/>
        <v>339.99</v>
      </c>
      <c r="G1725" s="1">
        <v>124</v>
      </c>
      <c r="H1725" s="1" t="str">
        <f t="shared" si="106"/>
        <v>Low</v>
      </c>
      <c r="I1725" s="1" t="str">
        <f t="shared" si="107"/>
        <v>Other</v>
      </c>
      <c r="J1725" s="1">
        <f t="shared" si="108"/>
        <v>321222.21999999991</v>
      </c>
    </row>
    <row r="1726" spans="1:10" ht="12.75">
      <c r="A1726" s="1" t="s">
        <v>9</v>
      </c>
      <c r="B1726" s="1" t="s">
        <v>42</v>
      </c>
      <c r="C1726" s="1" t="s">
        <v>102</v>
      </c>
      <c r="D1726" s="2">
        <v>44968</v>
      </c>
      <c r="E1726" s="1" t="s">
        <v>1523</v>
      </c>
      <c r="F1726" s="5">
        <f t="shared" si="105"/>
        <v>3720.22</v>
      </c>
      <c r="G1726" s="1">
        <v>141</v>
      </c>
      <c r="H1726" s="1" t="str">
        <f t="shared" si="106"/>
        <v>High</v>
      </c>
      <c r="I1726" s="1" t="str">
        <f t="shared" si="107"/>
        <v>Other</v>
      </c>
      <c r="J1726" s="1">
        <f t="shared" si="108"/>
        <v>321222.21999999991</v>
      </c>
    </row>
    <row r="1727" spans="1:10" ht="12.75">
      <c r="A1727" s="1" t="s">
        <v>12</v>
      </c>
      <c r="B1727" s="1" t="s">
        <v>54</v>
      </c>
      <c r="C1727" s="1" t="s">
        <v>76</v>
      </c>
      <c r="D1727" s="2">
        <v>45149</v>
      </c>
      <c r="E1727" s="1" t="s">
        <v>1524</v>
      </c>
      <c r="F1727" s="5">
        <f t="shared" si="105"/>
        <v>731.19</v>
      </c>
      <c r="G1727" s="1">
        <v>69</v>
      </c>
      <c r="H1727" s="1" t="str">
        <f t="shared" si="106"/>
        <v>Medium</v>
      </c>
      <c r="I1727" s="1" t="str">
        <f t="shared" si="107"/>
        <v>Other</v>
      </c>
      <c r="J1727" s="1">
        <f t="shared" si="108"/>
        <v>321222.21999999991</v>
      </c>
    </row>
    <row r="1728" spans="1:10" ht="12.75">
      <c r="A1728" s="1" t="s">
        <v>26</v>
      </c>
      <c r="B1728" s="1" t="s">
        <v>5</v>
      </c>
      <c r="C1728" s="1" t="s">
        <v>65</v>
      </c>
      <c r="D1728" s="2">
        <v>45058</v>
      </c>
      <c r="E1728" s="1" t="s">
        <v>1525</v>
      </c>
      <c r="F1728" s="5">
        <f t="shared" si="105"/>
        <v>13288.65</v>
      </c>
      <c r="G1728" s="1">
        <v>112</v>
      </c>
      <c r="H1728" s="1" t="str">
        <f t="shared" si="106"/>
        <v>High</v>
      </c>
      <c r="I1728" s="1" t="str">
        <f t="shared" si="107"/>
        <v>Other</v>
      </c>
      <c r="J1728" s="1">
        <f t="shared" si="108"/>
        <v>321222.21999999991</v>
      </c>
    </row>
    <row r="1729" spans="1:10" ht="12.75">
      <c r="A1729" s="1" t="s">
        <v>29</v>
      </c>
      <c r="B1729" s="1" t="s">
        <v>59</v>
      </c>
      <c r="C1729" s="1" t="s">
        <v>72</v>
      </c>
      <c r="D1729" s="2">
        <v>45122</v>
      </c>
      <c r="E1729" s="1" t="s">
        <v>1526</v>
      </c>
      <c r="F1729" s="5">
        <f t="shared" si="105"/>
        <v>5332.79</v>
      </c>
      <c r="G1729" s="1">
        <v>101</v>
      </c>
      <c r="H1729" s="1" t="str">
        <f t="shared" si="106"/>
        <v>High</v>
      </c>
      <c r="I1729" s="1" t="str">
        <f t="shared" si="107"/>
        <v>Other</v>
      </c>
      <c r="J1729" s="1">
        <f t="shared" si="108"/>
        <v>321222.21999999991</v>
      </c>
    </row>
    <row r="1730" spans="1:10" ht="12.75">
      <c r="A1730" s="1" t="s">
        <v>27</v>
      </c>
      <c r="B1730" s="1" t="s">
        <v>42</v>
      </c>
      <c r="C1730" s="1" t="s">
        <v>68</v>
      </c>
      <c r="D1730" s="2">
        <v>44944</v>
      </c>
      <c r="E1730" s="1" t="s">
        <v>1527</v>
      </c>
      <c r="F1730" s="5">
        <f t="shared" ref="F1730:F1793" si="109">VALUE(SUBSTITUTE(E1730,"$",""))</f>
        <v>3971.78</v>
      </c>
      <c r="G1730" s="1">
        <v>131</v>
      </c>
      <c r="H1730" s="1" t="str">
        <f t="shared" ref="H1730:H1793" si="110">IF(F1730&gt;800,"High",IF(F1730&gt;500,"Medium","Low"))</f>
        <v>High</v>
      </c>
      <c r="I1730" s="1" t="str">
        <f t="shared" ref="I1730:I1793" si="111">IF(AND(B1730="Australia",A1730="Mallorie Waber"),"Top Local","Other")</f>
        <v>Other</v>
      </c>
      <c r="J1730" s="1">
        <f t="shared" ref="J1730:J1793" si="112">SUMIF(A1730:A5010,"Mallorie Waber",F1730:F5010)</f>
        <v>321222.21999999991</v>
      </c>
    </row>
    <row r="1731" spans="1:10" ht="12.75">
      <c r="A1731" s="1" t="s">
        <v>9</v>
      </c>
      <c r="B1731" s="1" t="s">
        <v>39</v>
      </c>
      <c r="C1731" s="1" t="s">
        <v>81</v>
      </c>
      <c r="D1731" s="2">
        <v>44931</v>
      </c>
      <c r="E1731" s="1" t="s">
        <v>1528</v>
      </c>
      <c r="F1731" s="5">
        <f t="shared" si="109"/>
        <v>9538.2099999999991</v>
      </c>
      <c r="G1731" s="1">
        <v>198</v>
      </c>
      <c r="H1731" s="1" t="str">
        <f t="shared" si="110"/>
        <v>High</v>
      </c>
      <c r="I1731" s="1" t="str">
        <f t="shared" si="111"/>
        <v>Other</v>
      </c>
      <c r="J1731" s="1">
        <f t="shared" si="112"/>
        <v>321222.21999999991</v>
      </c>
    </row>
    <row r="1732" spans="1:10" ht="12.75">
      <c r="A1732" s="1" t="s">
        <v>24</v>
      </c>
      <c r="B1732" s="1" t="s">
        <v>5</v>
      </c>
      <c r="C1732" s="1" t="s">
        <v>55</v>
      </c>
      <c r="D1732" s="2">
        <v>45106</v>
      </c>
      <c r="E1732" s="1" t="s">
        <v>1529</v>
      </c>
      <c r="F1732" s="5">
        <f t="shared" si="109"/>
        <v>547.85</v>
      </c>
      <c r="G1732" s="1">
        <v>221</v>
      </c>
      <c r="H1732" s="1" t="str">
        <f t="shared" si="110"/>
        <v>Medium</v>
      </c>
      <c r="I1732" s="1" t="str">
        <f t="shared" si="111"/>
        <v>Other</v>
      </c>
      <c r="J1732" s="1">
        <f t="shared" si="112"/>
        <v>321222.21999999991</v>
      </c>
    </row>
    <row r="1733" spans="1:10" ht="12.75">
      <c r="A1733" s="1" t="s">
        <v>7</v>
      </c>
      <c r="B1733" s="1" t="s">
        <v>62</v>
      </c>
      <c r="C1733" s="1" t="s">
        <v>100</v>
      </c>
      <c r="D1733" s="2">
        <v>45091</v>
      </c>
      <c r="E1733" s="1" t="s">
        <v>1530</v>
      </c>
      <c r="F1733" s="5">
        <f t="shared" si="109"/>
        <v>2994.76</v>
      </c>
      <c r="G1733" s="1">
        <v>47</v>
      </c>
      <c r="H1733" s="1" t="str">
        <f t="shared" si="110"/>
        <v>High</v>
      </c>
      <c r="I1733" s="1" t="str">
        <f t="shared" si="111"/>
        <v>Other</v>
      </c>
      <c r="J1733" s="1">
        <f t="shared" si="112"/>
        <v>321222.21999999991</v>
      </c>
    </row>
    <row r="1734" spans="1:10" ht="12.75">
      <c r="A1734" s="1" t="s">
        <v>23</v>
      </c>
      <c r="B1734" s="1" t="s">
        <v>42</v>
      </c>
      <c r="C1734" s="1" t="s">
        <v>40</v>
      </c>
      <c r="D1734" s="2">
        <v>45146</v>
      </c>
      <c r="E1734" s="1" t="s">
        <v>1531</v>
      </c>
      <c r="F1734" s="5">
        <f t="shared" si="109"/>
        <v>4451.38</v>
      </c>
      <c r="G1734" s="1">
        <v>71</v>
      </c>
      <c r="H1734" s="1" t="str">
        <f t="shared" si="110"/>
        <v>High</v>
      </c>
      <c r="I1734" s="1" t="str">
        <f t="shared" si="111"/>
        <v>Other</v>
      </c>
      <c r="J1734" s="1">
        <f t="shared" si="112"/>
        <v>321222.21999999991</v>
      </c>
    </row>
    <row r="1735" spans="1:10" ht="12.75">
      <c r="A1735" s="1" t="s">
        <v>6</v>
      </c>
      <c r="B1735" s="1" t="s">
        <v>42</v>
      </c>
      <c r="C1735" s="1" t="s">
        <v>40</v>
      </c>
      <c r="D1735" s="2">
        <v>45008</v>
      </c>
      <c r="E1735" s="1" t="s">
        <v>1532</v>
      </c>
      <c r="F1735" s="5">
        <f t="shared" si="109"/>
        <v>14691.77</v>
      </c>
      <c r="G1735" s="1">
        <v>143</v>
      </c>
      <c r="H1735" s="1" t="str">
        <f t="shared" si="110"/>
        <v>High</v>
      </c>
      <c r="I1735" s="1" t="str">
        <f t="shared" si="111"/>
        <v>Other</v>
      </c>
      <c r="J1735" s="1">
        <f t="shared" si="112"/>
        <v>321222.21999999991</v>
      </c>
    </row>
    <row r="1736" spans="1:10" ht="12.75">
      <c r="A1736" s="1" t="s">
        <v>16</v>
      </c>
      <c r="B1736" s="1" t="s">
        <v>42</v>
      </c>
      <c r="C1736" s="1" t="s">
        <v>126</v>
      </c>
      <c r="D1736" s="2">
        <v>44930</v>
      </c>
      <c r="E1736" s="1" t="s">
        <v>1533</v>
      </c>
      <c r="F1736" s="5">
        <f t="shared" si="109"/>
        <v>7042.98</v>
      </c>
      <c r="G1736" s="1">
        <v>107</v>
      </c>
      <c r="H1736" s="1" t="str">
        <f t="shared" si="110"/>
        <v>High</v>
      </c>
      <c r="I1736" s="1" t="str">
        <f t="shared" si="111"/>
        <v>Other</v>
      </c>
      <c r="J1736" s="1">
        <f t="shared" si="112"/>
        <v>321222.21999999991</v>
      </c>
    </row>
    <row r="1737" spans="1:10" ht="12.75">
      <c r="A1737" s="1" t="s">
        <v>7</v>
      </c>
      <c r="B1737" s="1" t="s">
        <v>42</v>
      </c>
      <c r="C1737" s="1" t="s">
        <v>72</v>
      </c>
      <c r="D1737" s="2">
        <v>44979</v>
      </c>
      <c r="E1737" s="1" t="s">
        <v>1534</v>
      </c>
      <c r="F1737" s="5">
        <f t="shared" si="109"/>
        <v>15583</v>
      </c>
      <c r="G1737" s="1">
        <v>248</v>
      </c>
      <c r="H1737" s="1" t="str">
        <f t="shared" si="110"/>
        <v>High</v>
      </c>
      <c r="I1737" s="1" t="str">
        <f t="shared" si="111"/>
        <v>Other</v>
      </c>
      <c r="J1737" s="1">
        <f t="shared" si="112"/>
        <v>321222.21999999991</v>
      </c>
    </row>
    <row r="1738" spans="1:10" ht="12.75">
      <c r="A1738" s="1" t="s">
        <v>28</v>
      </c>
      <c r="B1738" s="1" t="s">
        <v>39</v>
      </c>
      <c r="C1738" s="1" t="s">
        <v>76</v>
      </c>
      <c r="D1738" s="2">
        <v>44974</v>
      </c>
      <c r="E1738" s="1" t="s">
        <v>1535</v>
      </c>
      <c r="F1738" s="5">
        <f t="shared" si="109"/>
        <v>9059.82</v>
      </c>
      <c r="G1738" s="1">
        <v>268</v>
      </c>
      <c r="H1738" s="1" t="str">
        <f t="shared" si="110"/>
        <v>High</v>
      </c>
      <c r="I1738" s="1" t="str">
        <f t="shared" si="111"/>
        <v>Other</v>
      </c>
      <c r="J1738" s="1">
        <f t="shared" si="112"/>
        <v>321222.21999999991</v>
      </c>
    </row>
    <row r="1739" spans="1:10" ht="12.75">
      <c r="A1739" s="1" t="s">
        <v>16</v>
      </c>
      <c r="B1739" s="1" t="s">
        <v>59</v>
      </c>
      <c r="C1739" s="1" t="s">
        <v>91</v>
      </c>
      <c r="D1739" s="2">
        <v>44960</v>
      </c>
      <c r="E1739" s="1" t="s">
        <v>1536</v>
      </c>
      <c r="F1739" s="5">
        <f t="shared" si="109"/>
        <v>430.59</v>
      </c>
      <c r="G1739" s="1">
        <v>85</v>
      </c>
      <c r="H1739" s="1" t="str">
        <f t="shared" si="110"/>
        <v>Low</v>
      </c>
      <c r="I1739" s="1" t="str">
        <f t="shared" si="111"/>
        <v>Other</v>
      </c>
      <c r="J1739" s="1">
        <f t="shared" si="112"/>
        <v>321222.21999999991</v>
      </c>
    </row>
    <row r="1740" spans="1:10" ht="12.75">
      <c r="A1740" s="1" t="s">
        <v>10</v>
      </c>
      <c r="B1740" s="1" t="s">
        <v>62</v>
      </c>
      <c r="C1740" s="1" t="s">
        <v>100</v>
      </c>
      <c r="D1740" s="2">
        <v>45002</v>
      </c>
      <c r="E1740" s="1" t="s">
        <v>1537</v>
      </c>
      <c r="F1740" s="5">
        <f t="shared" si="109"/>
        <v>1264.25</v>
      </c>
      <c r="G1740" s="1">
        <v>137</v>
      </c>
      <c r="H1740" s="1" t="str">
        <f t="shared" si="110"/>
        <v>High</v>
      </c>
      <c r="I1740" s="1" t="str">
        <f t="shared" si="111"/>
        <v>Other</v>
      </c>
      <c r="J1740" s="1">
        <f t="shared" si="112"/>
        <v>321222.21999999991</v>
      </c>
    </row>
    <row r="1741" spans="1:10" ht="12.75">
      <c r="A1741" s="1" t="s">
        <v>29</v>
      </c>
      <c r="B1741" s="1" t="s">
        <v>5</v>
      </c>
      <c r="C1741" s="1" t="s">
        <v>122</v>
      </c>
      <c r="D1741" s="2">
        <v>44951</v>
      </c>
      <c r="E1741" s="1" t="s">
        <v>1538</v>
      </c>
      <c r="F1741" s="5">
        <f t="shared" si="109"/>
        <v>2995.47</v>
      </c>
      <c r="G1741" s="1">
        <v>156</v>
      </c>
      <c r="H1741" s="1" t="str">
        <f t="shared" si="110"/>
        <v>High</v>
      </c>
      <c r="I1741" s="1" t="str">
        <f t="shared" si="111"/>
        <v>Other</v>
      </c>
      <c r="J1741" s="1">
        <f t="shared" si="112"/>
        <v>321222.21999999991</v>
      </c>
    </row>
    <row r="1742" spans="1:10" ht="12.75">
      <c r="A1742" s="1" t="s">
        <v>7</v>
      </c>
      <c r="B1742" s="1" t="s">
        <v>5</v>
      </c>
      <c r="C1742" s="1" t="s">
        <v>72</v>
      </c>
      <c r="D1742" s="2">
        <v>45134</v>
      </c>
      <c r="E1742" s="1" t="s">
        <v>1539</v>
      </c>
      <c r="F1742" s="5">
        <f t="shared" si="109"/>
        <v>2117.8200000000002</v>
      </c>
      <c r="G1742" s="1">
        <v>56</v>
      </c>
      <c r="H1742" s="1" t="str">
        <f t="shared" si="110"/>
        <v>High</v>
      </c>
      <c r="I1742" s="1" t="str">
        <f t="shared" si="111"/>
        <v>Other</v>
      </c>
      <c r="J1742" s="1">
        <f t="shared" si="112"/>
        <v>321222.21999999991</v>
      </c>
    </row>
    <row r="1743" spans="1:10" ht="12.75">
      <c r="A1743" s="1" t="s">
        <v>13</v>
      </c>
      <c r="B1743" s="1" t="s">
        <v>5</v>
      </c>
      <c r="C1743" s="1" t="s">
        <v>81</v>
      </c>
      <c r="D1743" s="2">
        <v>44954</v>
      </c>
      <c r="E1743" s="1" t="s">
        <v>1540</v>
      </c>
      <c r="F1743" s="5">
        <f t="shared" si="109"/>
        <v>8081.79</v>
      </c>
      <c r="G1743" s="1">
        <v>54</v>
      </c>
      <c r="H1743" s="1" t="str">
        <f t="shared" si="110"/>
        <v>High</v>
      </c>
      <c r="I1743" s="1" t="str">
        <f t="shared" si="111"/>
        <v>Other</v>
      </c>
      <c r="J1743" s="1">
        <f t="shared" si="112"/>
        <v>321222.21999999991</v>
      </c>
    </row>
    <row r="1744" spans="1:10" ht="12.75">
      <c r="A1744" s="1" t="s">
        <v>9</v>
      </c>
      <c r="B1744" s="1" t="s">
        <v>5</v>
      </c>
      <c r="C1744" s="1" t="s">
        <v>68</v>
      </c>
      <c r="D1744" s="2">
        <v>45112</v>
      </c>
      <c r="E1744" s="1" t="s">
        <v>1541</v>
      </c>
      <c r="F1744" s="5">
        <f t="shared" si="109"/>
        <v>11542.54</v>
      </c>
      <c r="G1744" s="1">
        <v>49</v>
      </c>
      <c r="H1744" s="1" t="str">
        <f t="shared" si="110"/>
        <v>High</v>
      </c>
      <c r="I1744" s="1" t="str">
        <f t="shared" si="111"/>
        <v>Other</v>
      </c>
      <c r="J1744" s="1">
        <f t="shared" si="112"/>
        <v>321222.21999999991</v>
      </c>
    </row>
    <row r="1745" spans="1:10" ht="12.75">
      <c r="A1745" s="1" t="s">
        <v>10</v>
      </c>
      <c r="B1745" s="1" t="s">
        <v>42</v>
      </c>
      <c r="C1745" s="1" t="s">
        <v>84</v>
      </c>
      <c r="D1745" s="2">
        <v>45000</v>
      </c>
      <c r="E1745" s="1" t="s">
        <v>1542</v>
      </c>
      <c r="F1745" s="5">
        <f t="shared" si="109"/>
        <v>2183.6799999999998</v>
      </c>
      <c r="G1745" s="1">
        <v>46</v>
      </c>
      <c r="H1745" s="1" t="str">
        <f t="shared" si="110"/>
        <v>High</v>
      </c>
      <c r="I1745" s="1" t="str">
        <f t="shared" si="111"/>
        <v>Other</v>
      </c>
      <c r="J1745" s="1">
        <f t="shared" si="112"/>
        <v>321222.21999999991</v>
      </c>
    </row>
    <row r="1746" spans="1:10" ht="12.75">
      <c r="A1746" s="1" t="s">
        <v>23</v>
      </c>
      <c r="B1746" s="1" t="s">
        <v>62</v>
      </c>
      <c r="C1746" s="1" t="s">
        <v>52</v>
      </c>
      <c r="D1746" s="2">
        <v>45142</v>
      </c>
      <c r="E1746" s="1" t="s">
        <v>1543</v>
      </c>
      <c r="F1746" s="5">
        <f t="shared" si="109"/>
        <v>3125.34</v>
      </c>
      <c r="G1746" s="1">
        <v>191</v>
      </c>
      <c r="H1746" s="1" t="str">
        <f t="shared" si="110"/>
        <v>High</v>
      </c>
      <c r="I1746" s="1" t="str">
        <f t="shared" si="111"/>
        <v>Other</v>
      </c>
      <c r="J1746" s="1">
        <f t="shared" si="112"/>
        <v>321222.21999999991</v>
      </c>
    </row>
    <row r="1747" spans="1:10" ht="12.75">
      <c r="A1747" s="1" t="s">
        <v>15</v>
      </c>
      <c r="B1747" s="1" t="s">
        <v>59</v>
      </c>
      <c r="C1747" s="1" t="s">
        <v>81</v>
      </c>
      <c r="D1747" s="2">
        <v>45104</v>
      </c>
      <c r="E1747" s="1" t="s">
        <v>1544</v>
      </c>
      <c r="F1747" s="5">
        <f t="shared" si="109"/>
        <v>4891.8599999999997</v>
      </c>
      <c r="G1747" s="1">
        <v>380</v>
      </c>
      <c r="H1747" s="1" t="str">
        <f t="shared" si="110"/>
        <v>High</v>
      </c>
      <c r="I1747" s="1" t="str">
        <f t="shared" si="111"/>
        <v>Other</v>
      </c>
      <c r="J1747" s="1">
        <f t="shared" si="112"/>
        <v>321222.21999999991</v>
      </c>
    </row>
    <row r="1748" spans="1:10" ht="12.75">
      <c r="A1748" s="1" t="s">
        <v>15</v>
      </c>
      <c r="B1748" s="1" t="s">
        <v>62</v>
      </c>
      <c r="C1748" s="1" t="s">
        <v>52</v>
      </c>
      <c r="D1748" s="2">
        <v>45120</v>
      </c>
      <c r="E1748" s="1" t="s">
        <v>1545</v>
      </c>
      <c r="F1748" s="5">
        <f t="shared" si="109"/>
        <v>4881.32</v>
      </c>
      <c r="G1748" s="1">
        <v>183</v>
      </c>
      <c r="H1748" s="1" t="str">
        <f t="shared" si="110"/>
        <v>High</v>
      </c>
      <c r="I1748" s="1" t="str">
        <f t="shared" si="111"/>
        <v>Other</v>
      </c>
      <c r="J1748" s="1">
        <f t="shared" si="112"/>
        <v>321222.21999999991</v>
      </c>
    </row>
    <row r="1749" spans="1:10" ht="12.75">
      <c r="A1749" s="1" t="s">
        <v>16</v>
      </c>
      <c r="B1749" s="1" t="s">
        <v>54</v>
      </c>
      <c r="C1749" s="1" t="s">
        <v>86</v>
      </c>
      <c r="D1749" s="2">
        <v>44981</v>
      </c>
      <c r="E1749" s="1" t="s">
        <v>1546</v>
      </c>
      <c r="F1749" s="5">
        <f t="shared" si="109"/>
        <v>5917.62</v>
      </c>
      <c r="G1749" s="1">
        <v>238</v>
      </c>
      <c r="H1749" s="1" t="str">
        <f t="shared" si="110"/>
        <v>High</v>
      </c>
      <c r="I1749" s="1" t="str">
        <f t="shared" si="111"/>
        <v>Other</v>
      </c>
      <c r="J1749" s="1">
        <f t="shared" si="112"/>
        <v>321222.21999999991</v>
      </c>
    </row>
    <row r="1750" spans="1:10" ht="12.75">
      <c r="A1750" s="1" t="s">
        <v>18</v>
      </c>
      <c r="B1750" s="1" t="s">
        <v>54</v>
      </c>
      <c r="C1750" s="1" t="s">
        <v>43</v>
      </c>
      <c r="D1750" s="2">
        <v>45105</v>
      </c>
      <c r="E1750" s="1" t="s">
        <v>1547</v>
      </c>
      <c r="F1750" s="5">
        <f t="shared" si="109"/>
        <v>6312.53</v>
      </c>
      <c r="G1750" s="1">
        <v>60</v>
      </c>
      <c r="H1750" s="1" t="str">
        <f t="shared" si="110"/>
        <v>High</v>
      </c>
      <c r="I1750" s="1" t="str">
        <f t="shared" si="111"/>
        <v>Other</v>
      </c>
      <c r="J1750" s="1">
        <f t="shared" si="112"/>
        <v>321222.21999999991</v>
      </c>
    </row>
    <row r="1751" spans="1:10" ht="12.75">
      <c r="A1751" s="1" t="s">
        <v>22</v>
      </c>
      <c r="B1751" s="1" t="s">
        <v>5</v>
      </c>
      <c r="C1751" s="1" t="s">
        <v>43</v>
      </c>
      <c r="D1751" s="2">
        <v>45107</v>
      </c>
      <c r="E1751" s="1" t="s">
        <v>1548</v>
      </c>
      <c r="F1751" s="5">
        <f t="shared" si="109"/>
        <v>7956.28</v>
      </c>
      <c r="G1751" s="1">
        <v>27</v>
      </c>
      <c r="H1751" s="1" t="str">
        <f t="shared" si="110"/>
        <v>High</v>
      </c>
      <c r="I1751" s="1" t="str">
        <f t="shared" si="111"/>
        <v>Other</v>
      </c>
      <c r="J1751" s="1">
        <f t="shared" si="112"/>
        <v>321222.21999999991</v>
      </c>
    </row>
    <row r="1752" spans="1:10" ht="12.75">
      <c r="A1752" s="1" t="s">
        <v>24</v>
      </c>
      <c r="B1752" s="1" t="s">
        <v>62</v>
      </c>
      <c r="C1752" s="1" t="s">
        <v>102</v>
      </c>
      <c r="D1752" s="2">
        <v>45156</v>
      </c>
      <c r="E1752" s="1" t="s">
        <v>1549</v>
      </c>
      <c r="F1752" s="5">
        <f t="shared" si="109"/>
        <v>5895.88</v>
      </c>
      <c r="G1752" s="1">
        <v>7</v>
      </c>
      <c r="H1752" s="1" t="str">
        <f t="shared" si="110"/>
        <v>High</v>
      </c>
      <c r="I1752" s="1" t="str">
        <f t="shared" si="111"/>
        <v>Other</v>
      </c>
      <c r="J1752" s="1">
        <f t="shared" si="112"/>
        <v>321222.21999999991</v>
      </c>
    </row>
    <row r="1753" spans="1:10" ht="12.75">
      <c r="A1753" s="1" t="s">
        <v>8</v>
      </c>
      <c r="B1753" s="1" t="s">
        <v>42</v>
      </c>
      <c r="C1753" s="1" t="s">
        <v>147</v>
      </c>
      <c r="D1753" s="2">
        <v>44950</v>
      </c>
      <c r="E1753" s="1" t="s">
        <v>1550</v>
      </c>
      <c r="F1753" s="5">
        <f t="shared" si="109"/>
        <v>13535.7</v>
      </c>
      <c r="G1753" s="1">
        <v>296</v>
      </c>
      <c r="H1753" s="1" t="str">
        <f t="shared" si="110"/>
        <v>High</v>
      </c>
      <c r="I1753" s="1" t="str">
        <f t="shared" si="111"/>
        <v>Other</v>
      </c>
      <c r="J1753" s="1">
        <f t="shared" si="112"/>
        <v>321222.21999999991</v>
      </c>
    </row>
    <row r="1754" spans="1:10" ht="12.75">
      <c r="A1754" s="1" t="s">
        <v>28</v>
      </c>
      <c r="B1754" s="1" t="s">
        <v>59</v>
      </c>
      <c r="C1754" s="1" t="s">
        <v>84</v>
      </c>
      <c r="D1754" s="2">
        <v>44996</v>
      </c>
      <c r="E1754" s="1" t="s">
        <v>1551</v>
      </c>
      <c r="F1754" s="5">
        <f t="shared" si="109"/>
        <v>5639.9</v>
      </c>
      <c r="G1754" s="1">
        <v>129</v>
      </c>
      <c r="H1754" s="1" t="str">
        <f t="shared" si="110"/>
        <v>High</v>
      </c>
      <c r="I1754" s="1" t="str">
        <f t="shared" si="111"/>
        <v>Other</v>
      </c>
      <c r="J1754" s="1">
        <f t="shared" si="112"/>
        <v>321222.21999999991</v>
      </c>
    </row>
    <row r="1755" spans="1:10" ht="12.75">
      <c r="A1755" s="1" t="s">
        <v>17</v>
      </c>
      <c r="B1755" s="1" t="s">
        <v>54</v>
      </c>
      <c r="C1755" s="1" t="s">
        <v>52</v>
      </c>
      <c r="D1755" s="2">
        <v>45100</v>
      </c>
      <c r="E1755" s="1" t="s">
        <v>1552</v>
      </c>
      <c r="F1755" s="5">
        <f t="shared" si="109"/>
        <v>5813.44</v>
      </c>
      <c r="G1755" s="1">
        <v>356</v>
      </c>
      <c r="H1755" s="1" t="str">
        <f t="shared" si="110"/>
        <v>High</v>
      </c>
      <c r="I1755" s="1" t="str">
        <f t="shared" si="111"/>
        <v>Other</v>
      </c>
      <c r="J1755" s="1">
        <f t="shared" si="112"/>
        <v>321222.21999999991</v>
      </c>
    </row>
    <row r="1756" spans="1:10" ht="12.75">
      <c r="A1756" s="1" t="s">
        <v>13</v>
      </c>
      <c r="B1756" s="1" t="s">
        <v>42</v>
      </c>
      <c r="C1756" s="1" t="s">
        <v>76</v>
      </c>
      <c r="D1756" s="2">
        <v>45160</v>
      </c>
      <c r="E1756" s="1" t="s">
        <v>1553</v>
      </c>
      <c r="F1756" s="5">
        <f t="shared" si="109"/>
        <v>2514.8200000000002</v>
      </c>
      <c r="G1756" s="1">
        <v>32</v>
      </c>
      <c r="H1756" s="1" t="str">
        <f t="shared" si="110"/>
        <v>High</v>
      </c>
      <c r="I1756" s="1" t="str">
        <f t="shared" si="111"/>
        <v>Other</v>
      </c>
      <c r="J1756" s="1">
        <f t="shared" si="112"/>
        <v>321222.21999999991</v>
      </c>
    </row>
    <row r="1757" spans="1:10" ht="12.75">
      <c r="A1757" s="1" t="s">
        <v>23</v>
      </c>
      <c r="B1757" s="1" t="s">
        <v>62</v>
      </c>
      <c r="C1757" s="1" t="s">
        <v>55</v>
      </c>
      <c r="D1757" s="2">
        <v>44930</v>
      </c>
      <c r="E1757" s="1" t="s">
        <v>1554</v>
      </c>
      <c r="F1757" s="5">
        <f t="shared" si="109"/>
        <v>3044.01</v>
      </c>
      <c r="G1757" s="1">
        <v>22</v>
      </c>
      <c r="H1757" s="1" t="str">
        <f t="shared" si="110"/>
        <v>High</v>
      </c>
      <c r="I1757" s="1" t="str">
        <f t="shared" si="111"/>
        <v>Other</v>
      </c>
      <c r="J1757" s="1">
        <f t="shared" si="112"/>
        <v>321222.21999999991</v>
      </c>
    </row>
    <row r="1758" spans="1:10" ht="12.75">
      <c r="A1758" s="1" t="s">
        <v>24</v>
      </c>
      <c r="B1758" s="1" t="s">
        <v>42</v>
      </c>
      <c r="C1758" s="1" t="s">
        <v>72</v>
      </c>
      <c r="D1758" s="2">
        <v>45021</v>
      </c>
      <c r="E1758" s="1" t="s">
        <v>1555</v>
      </c>
      <c r="F1758" s="5">
        <f t="shared" si="109"/>
        <v>3902.04</v>
      </c>
      <c r="G1758" s="1">
        <v>214</v>
      </c>
      <c r="H1758" s="1" t="str">
        <f t="shared" si="110"/>
        <v>High</v>
      </c>
      <c r="I1758" s="1" t="str">
        <f t="shared" si="111"/>
        <v>Other</v>
      </c>
      <c r="J1758" s="1">
        <f t="shared" si="112"/>
        <v>321222.21999999991</v>
      </c>
    </row>
    <row r="1759" spans="1:10" ht="12.75">
      <c r="A1759" s="1" t="s">
        <v>28</v>
      </c>
      <c r="B1759" s="1" t="s">
        <v>42</v>
      </c>
      <c r="C1759" s="1" t="s">
        <v>72</v>
      </c>
      <c r="D1759" s="2">
        <v>45031</v>
      </c>
      <c r="E1759" s="1" t="s">
        <v>1556</v>
      </c>
      <c r="F1759" s="5">
        <f t="shared" si="109"/>
        <v>1928.74</v>
      </c>
      <c r="G1759" s="1">
        <v>354</v>
      </c>
      <c r="H1759" s="1" t="str">
        <f t="shared" si="110"/>
        <v>High</v>
      </c>
      <c r="I1759" s="1" t="str">
        <f t="shared" si="111"/>
        <v>Other</v>
      </c>
      <c r="J1759" s="1">
        <f t="shared" si="112"/>
        <v>321222.21999999991</v>
      </c>
    </row>
    <row r="1760" spans="1:10" ht="12.75">
      <c r="A1760" s="1" t="s">
        <v>13</v>
      </c>
      <c r="B1760" s="1" t="s">
        <v>5</v>
      </c>
      <c r="C1760" s="1" t="s">
        <v>84</v>
      </c>
      <c r="D1760" s="2">
        <v>45057</v>
      </c>
      <c r="E1760" s="1" t="s">
        <v>1557</v>
      </c>
      <c r="F1760" s="5">
        <f t="shared" si="109"/>
        <v>3251.53</v>
      </c>
      <c r="G1760" s="1">
        <v>241</v>
      </c>
      <c r="H1760" s="1" t="str">
        <f t="shared" si="110"/>
        <v>High</v>
      </c>
      <c r="I1760" s="1" t="str">
        <f t="shared" si="111"/>
        <v>Other</v>
      </c>
      <c r="J1760" s="1">
        <f t="shared" si="112"/>
        <v>321222.21999999991</v>
      </c>
    </row>
    <row r="1761" spans="1:10" ht="12.75">
      <c r="A1761" s="1" t="s">
        <v>27</v>
      </c>
      <c r="B1761" s="1" t="s">
        <v>62</v>
      </c>
      <c r="C1761" s="1" t="s">
        <v>86</v>
      </c>
      <c r="D1761" s="2">
        <v>45128</v>
      </c>
      <c r="E1761" s="1" t="s">
        <v>1558</v>
      </c>
      <c r="F1761" s="5">
        <f t="shared" si="109"/>
        <v>5031.9399999999996</v>
      </c>
      <c r="G1761" s="1">
        <v>495</v>
      </c>
      <c r="H1761" s="1" t="str">
        <f t="shared" si="110"/>
        <v>High</v>
      </c>
      <c r="I1761" s="1" t="str">
        <f t="shared" si="111"/>
        <v>Other</v>
      </c>
      <c r="J1761" s="1">
        <f t="shared" si="112"/>
        <v>321222.21999999991</v>
      </c>
    </row>
    <row r="1762" spans="1:10" ht="12.75">
      <c r="A1762" s="1" t="s">
        <v>15</v>
      </c>
      <c r="B1762" s="1" t="s">
        <v>54</v>
      </c>
      <c r="C1762" s="1" t="s">
        <v>60</v>
      </c>
      <c r="D1762" s="2">
        <v>44968</v>
      </c>
      <c r="E1762" s="1" t="s">
        <v>1559</v>
      </c>
      <c r="F1762" s="5">
        <f t="shared" si="109"/>
        <v>1350.26</v>
      </c>
      <c r="G1762" s="1">
        <v>89</v>
      </c>
      <c r="H1762" s="1" t="str">
        <f t="shared" si="110"/>
        <v>High</v>
      </c>
      <c r="I1762" s="1" t="str">
        <f t="shared" si="111"/>
        <v>Other</v>
      </c>
      <c r="J1762" s="1">
        <f t="shared" si="112"/>
        <v>321222.21999999991</v>
      </c>
    </row>
    <row r="1763" spans="1:10" ht="12.75">
      <c r="A1763" s="1" t="s">
        <v>27</v>
      </c>
      <c r="B1763" s="1" t="s">
        <v>62</v>
      </c>
      <c r="C1763" s="1" t="s">
        <v>49</v>
      </c>
      <c r="D1763" s="2">
        <v>45115</v>
      </c>
      <c r="E1763" s="1" t="s">
        <v>1560</v>
      </c>
      <c r="F1763" s="5">
        <f t="shared" si="109"/>
        <v>1187.71</v>
      </c>
      <c r="G1763" s="1">
        <v>75</v>
      </c>
      <c r="H1763" s="1" t="str">
        <f t="shared" si="110"/>
        <v>High</v>
      </c>
      <c r="I1763" s="1" t="str">
        <f t="shared" si="111"/>
        <v>Other</v>
      </c>
      <c r="J1763" s="1">
        <f t="shared" si="112"/>
        <v>321222.21999999991</v>
      </c>
    </row>
    <row r="1764" spans="1:10" ht="12.75">
      <c r="A1764" s="1" t="s">
        <v>23</v>
      </c>
      <c r="B1764" s="1" t="s">
        <v>39</v>
      </c>
      <c r="C1764" s="1" t="s">
        <v>100</v>
      </c>
      <c r="D1764" s="2">
        <v>45149</v>
      </c>
      <c r="E1764" s="1" t="s">
        <v>1561</v>
      </c>
      <c r="F1764" s="5">
        <f t="shared" si="109"/>
        <v>7055.38</v>
      </c>
      <c r="G1764" s="1">
        <v>334</v>
      </c>
      <c r="H1764" s="1" t="str">
        <f t="shared" si="110"/>
        <v>High</v>
      </c>
      <c r="I1764" s="1" t="str">
        <f t="shared" si="111"/>
        <v>Other</v>
      </c>
      <c r="J1764" s="1">
        <f t="shared" si="112"/>
        <v>321222.21999999991</v>
      </c>
    </row>
    <row r="1765" spans="1:10" ht="12.75">
      <c r="A1765" s="1" t="s">
        <v>13</v>
      </c>
      <c r="B1765" s="1" t="s">
        <v>54</v>
      </c>
      <c r="C1765" s="1" t="s">
        <v>52</v>
      </c>
      <c r="D1765" s="2">
        <v>45142</v>
      </c>
      <c r="E1765" s="1" t="s">
        <v>1562</v>
      </c>
      <c r="F1765" s="5">
        <f t="shared" si="109"/>
        <v>7231.89</v>
      </c>
      <c r="G1765" s="1">
        <v>8</v>
      </c>
      <c r="H1765" s="1" t="str">
        <f t="shared" si="110"/>
        <v>High</v>
      </c>
      <c r="I1765" s="1" t="str">
        <f t="shared" si="111"/>
        <v>Other</v>
      </c>
      <c r="J1765" s="1">
        <f t="shared" si="112"/>
        <v>321222.21999999991</v>
      </c>
    </row>
    <row r="1766" spans="1:10" ht="12.75">
      <c r="A1766" s="1" t="s">
        <v>27</v>
      </c>
      <c r="B1766" s="1" t="s">
        <v>54</v>
      </c>
      <c r="C1766" s="1" t="s">
        <v>60</v>
      </c>
      <c r="D1766" s="2">
        <v>45091</v>
      </c>
      <c r="E1766" s="1" t="s">
        <v>1563</v>
      </c>
      <c r="F1766" s="5">
        <f t="shared" si="109"/>
        <v>9295.83</v>
      </c>
      <c r="G1766" s="1">
        <v>93</v>
      </c>
      <c r="H1766" s="1" t="str">
        <f t="shared" si="110"/>
        <v>High</v>
      </c>
      <c r="I1766" s="1" t="str">
        <f t="shared" si="111"/>
        <v>Other</v>
      </c>
      <c r="J1766" s="1">
        <f t="shared" si="112"/>
        <v>321222.21999999991</v>
      </c>
    </row>
    <row r="1767" spans="1:10" ht="12.75">
      <c r="A1767" s="1" t="s">
        <v>6</v>
      </c>
      <c r="B1767" s="1" t="s">
        <v>39</v>
      </c>
      <c r="C1767" s="1" t="s">
        <v>122</v>
      </c>
      <c r="D1767" s="2">
        <v>44943</v>
      </c>
      <c r="E1767" s="1" t="s">
        <v>1564</v>
      </c>
      <c r="F1767" s="5">
        <f t="shared" si="109"/>
        <v>2276.94</v>
      </c>
      <c r="G1767" s="1">
        <v>296</v>
      </c>
      <c r="H1767" s="1" t="str">
        <f t="shared" si="110"/>
        <v>High</v>
      </c>
      <c r="I1767" s="1" t="str">
        <f t="shared" si="111"/>
        <v>Other</v>
      </c>
      <c r="J1767" s="1">
        <f t="shared" si="112"/>
        <v>321222.21999999991</v>
      </c>
    </row>
    <row r="1768" spans="1:10" ht="12.75">
      <c r="A1768" s="1" t="s">
        <v>11</v>
      </c>
      <c r="B1768" s="1" t="s">
        <v>62</v>
      </c>
      <c r="C1768" s="1" t="s">
        <v>60</v>
      </c>
      <c r="D1768" s="2">
        <v>45100</v>
      </c>
      <c r="E1768" s="1" t="s">
        <v>1565</v>
      </c>
      <c r="F1768" s="5">
        <f t="shared" si="109"/>
        <v>4229.79</v>
      </c>
      <c r="G1768" s="1">
        <v>548</v>
      </c>
      <c r="H1768" s="1" t="str">
        <f t="shared" si="110"/>
        <v>High</v>
      </c>
      <c r="I1768" s="1" t="str">
        <f t="shared" si="111"/>
        <v>Other</v>
      </c>
      <c r="J1768" s="1">
        <f t="shared" si="112"/>
        <v>321222.21999999991</v>
      </c>
    </row>
    <row r="1769" spans="1:10" ht="12.75">
      <c r="A1769" s="1" t="s">
        <v>11</v>
      </c>
      <c r="B1769" s="1" t="s">
        <v>39</v>
      </c>
      <c r="C1769" s="1" t="s">
        <v>49</v>
      </c>
      <c r="D1769" s="2">
        <v>45162</v>
      </c>
      <c r="E1769" s="1" t="s">
        <v>1566</v>
      </c>
      <c r="F1769" s="5">
        <f t="shared" si="109"/>
        <v>1640.53</v>
      </c>
      <c r="G1769" s="1">
        <v>119</v>
      </c>
      <c r="H1769" s="1" t="str">
        <f t="shared" si="110"/>
        <v>High</v>
      </c>
      <c r="I1769" s="1" t="str">
        <f t="shared" si="111"/>
        <v>Other</v>
      </c>
      <c r="J1769" s="1">
        <f t="shared" si="112"/>
        <v>321222.21999999991</v>
      </c>
    </row>
    <row r="1770" spans="1:10" ht="12.75">
      <c r="A1770" s="1" t="s">
        <v>27</v>
      </c>
      <c r="B1770" s="1" t="s">
        <v>39</v>
      </c>
      <c r="C1770" s="1" t="s">
        <v>126</v>
      </c>
      <c r="D1770" s="2">
        <v>45084</v>
      </c>
      <c r="E1770" s="1" t="s">
        <v>1567</v>
      </c>
      <c r="F1770" s="5">
        <f t="shared" si="109"/>
        <v>8234.5</v>
      </c>
      <c r="G1770" s="1">
        <v>294</v>
      </c>
      <c r="H1770" s="1" t="str">
        <f t="shared" si="110"/>
        <v>High</v>
      </c>
      <c r="I1770" s="1" t="str">
        <f t="shared" si="111"/>
        <v>Other</v>
      </c>
      <c r="J1770" s="1">
        <f t="shared" si="112"/>
        <v>321222.21999999991</v>
      </c>
    </row>
    <row r="1771" spans="1:10" ht="12.75">
      <c r="A1771" s="1" t="s">
        <v>15</v>
      </c>
      <c r="B1771" s="1" t="s">
        <v>39</v>
      </c>
      <c r="C1771" s="1" t="s">
        <v>84</v>
      </c>
      <c r="D1771" s="2">
        <v>45099</v>
      </c>
      <c r="E1771" s="1" t="s">
        <v>1568</v>
      </c>
      <c r="F1771" s="5">
        <f t="shared" si="109"/>
        <v>10087.040000000001</v>
      </c>
      <c r="G1771" s="1">
        <v>46</v>
      </c>
      <c r="H1771" s="1" t="str">
        <f t="shared" si="110"/>
        <v>High</v>
      </c>
      <c r="I1771" s="1" t="str">
        <f t="shared" si="111"/>
        <v>Other</v>
      </c>
      <c r="J1771" s="1">
        <f t="shared" si="112"/>
        <v>321222.21999999991</v>
      </c>
    </row>
    <row r="1772" spans="1:10" ht="12.75">
      <c r="A1772" s="1" t="s">
        <v>21</v>
      </c>
      <c r="B1772" s="1" t="s">
        <v>59</v>
      </c>
      <c r="C1772" s="1" t="s">
        <v>81</v>
      </c>
      <c r="D1772" s="2">
        <v>45120</v>
      </c>
      <c r="E1772" s="1" t="s">
        <v>1569</v>
      </c>
      <c r="F1772" s="5">
        <f t="shared" si="109"/>
        <v>3169.26</v>
      </c>
      <c r="G1772" s="1">
        <v>281</v>
      </c>
      <c r="H1772" s="1" t="str">
        <f t="shared" si="110"/>
        <v>High</v>
      </c>
      <c r="I1772" s="1" t="str">
        <f t="shared" si="111"/>
        <v>Other</v>
      </c>
      <c r="J1772" s="1">
        <f t="shared" si="112"/>
        <v>321222.21999999991</v>
      </c>
    </row>
    <row r="1773" spans="1:10" ht="12.75">
      <c r="A1773" s="1" t="s">
        <v>12</v>
      </c>
      <c r="B1773" s="1" t="s">
        <v>39</v>
      </c>
      <c r="C1773" s="1" t="s">
        <v>102</v>
      </c>
      <c r="D1773" s="2">
        <v>45070</v>
      </c>
      <c r="E1773" s="1" t="s">
        <v>1570</v>
      </c>
      <c r="F1773" s="5">
        <f t="shared" si="109"/>
        <v>10355.42</v>
      </c>
      <c r="G1773" s="1">
        <v>215</v>
      </c>
      <c r="H1773" s="1" t="str">
        <f t="shared" si="110"/>
        <v>High</v>
      </c>
      <c r="I1773" s="1" t="str">
        <f t="shared" si="111"/>
        <v>Other</v>
      </c>
      <c r="J1773" s="1">
        <f t="shared" si="112"/>
        <v>321222.21999999991</v>
      </c>
    </row>
    <row r="1774" spans="1:10" ht="12.75">
      <c r="A1774" s="1" t="s">
        <v>23</v>
      </c>
      <c r="B1774" s="1" t="s">
        <v>54</v>
      </c>
      <c r="C1774" s="1" t="s">
        <v>52</v>
      </c>
      <c r="D1774" s="2">
        <v>45147</v>
      </c>
      <c r="E1774" s="1" t="s">
        <v>1571</v>
      </c>
      <c r="F1774" s="5">
        <f t="shared" si="109"/>
        <v>7772.63</v>
      </c>
      <c r="G1774" s="1">
        <v>140</v>
      </c>
      <c r="H1774" s="1" t="str">
        <f t="shared" si="110"/>
        <v>High</v>
      </c>
      <c r="I1774" s="1" t="str">
        <f t="shared" si="111"/>
        <v>Other</v>
      </c>
      <c r="J1774" s="1">
        <f t="shared" si="112"/>
        <v>321222.21999999991</v>
      </c>
    </row>
    <row r="1775" spans="1:10" ht="12.75">
      <c r="A1775" s="1" t="s">
        <v>8</v>
      </c>
      <c r="B1775" s="1" t="s">
        <v>62</v>
      </c>
      <c r="C1775" s="1" t="s">
        <v>43</v>
      </c>
      <c r="D1775" s="2">
        <v>45022</v>
      </c>
      <c r="E1775" s="1" t="s">
        <v>1572</v>
      </c>
      <c r="F1775" s="5">
        <f t="shared" si="109"/>
        <v>1992.77</v>
      </c>
      <c r="G1775" s="1">
        <v>31</v>
      </c>
      <c r="H1775" s="1" t="str">
        <f t="shared" si="110"/>
        <v>High</v>
      </c>
      <c r="I1775" s="1" t="str">
        <f t="shared" si="111"/>
        <v>Other</v>
      </c>
      <c r="J1775" s="1">
        <f t="shared" si="112"/>
        <v>321222.21999999991</v>
      </c>
    </row>
    <row r="1776" spans="1:10" ht="12.75">
      <c r="A1776" s="1" t="s">
        <v>15</v>
      </c>
      <c r="B1776" s="1" t="s">
        <v>54</v>
      </c>
      <c r="C1776" s="1" t="s">
        <v>86</v>
      </c>
      <c r="D1776" s="2">
        <v>45135</v>
      </c>
      <c r="E1776" s="1" t="s">
        <v>1573</v>
      </c>
      <c r="F1776" s="5">
        <f t="shared" si="109"/>
        <v>1815.56</v>
      </c>
      <c r="G1776" s="1">
        <v>266</v>
      </c>
      <c r="H1776" s="1" t="str">
        <f t="shared" si="110"/>
        <v>High</v>
      </c>
      <c r="I1776" s="1" t="str">
        <f t="shared" si="111"/>
        <v>Other</v>
      </c>
      <c r="J1776" s="1">
        <f t="shared" si="112"/>
        <v>321222.21999999991</v>
      </c>
    </row>
    <row r="1777" spans="1:10" ht="12.75">
      <c r="A1777" s="1" t="s">
        <v>23</v>
      </c>
      <c r="B1777" s="1" t="s">
        <v>54</v>
      </c>
      <c r="C1777" s="1" t="s">
        <v>100</v>
      </c>
      <c r="D1777" s="2">
        <v>45162</v>
      </c>
      <c r="E1777" s="1" t="s">
        <v>1574</v>
      </c>
      <c r="F1777" s="5">
        <f t="shared" si="109"/>
        <v>727.11</v>
      </c>
      <c r="G1777" s="1">
        <v>50</v>
      </c>
      <c r="H1777" s="1" t="str">
        <f t="shared" si="110"/>
        <v>Medium</v>
      </c>
      <c r="I1777" s="1" t="str">
        <f t="shared" si="111"/>
        <v>Other</v>
      </c>
      <c r="J1777" s="1">
        <f t="shared" si="112"/>
        <v>321222.21999999991</v>
      </c>
    </row>
    <row r="1778" spans="1:10" ht="12.75">
      <c r="A1778" s="1" t="s">
        <v>10</v>
      </c>
      <c r="B1778" s="1" t="s">
        <v>5</v>
      </c>
      <c r="C1778" s="1" t="s">
        <v>51</v>
      </c>
      <c r="D1778" s="2">
        <v>44943</v>
      </c>
      <c r="E1778" s="1" t="s">
        <v>1575</v>
      </c>
      <c r="F1778" s="5">
        <f t="shared" si="109"/>
        <v>114.96</v>
      </c>
      <c r="G1778" s="1">
        <v>132</v>
      </c>
      <c r="H1778" s="1" t="str">
        <f t="shared" si="110"/>
        <v>Low</v>
      </c>
      <c r="I1778" s="1" t="str">
        <f t="shared" si="111"/>
        <v>Other</v>
      </c>
      <c r="J1778" s="1">
        <f t="shared" si="112"/>
        <v>321222.21999999991</v>
      </c>
    </row>
    <row r="1779" spans="1:10" ht="12.75">
      <c r="A1779" s="1" t="s">
        <v>24</v>
      </c>
      <c r="B1779" s="1" t="s">
        <v>59</v>
      </c>
      <c r="C1779" s="1" t="s">
        <v>65</v>
      </c>
      <c r="D1779" s="2">
        <v>44964</v>
      </c>
      <c r="E1779" s="1" t="s">
        <v>1576</v>
      </c>
      <c r="F1779" s="5">
        <f t="shared" si="109"/>
        <v>5378.09</v>
      </c>
      <c r="G1779" s="1">
        <v>142</v>
      </c>
      <c r="H1779" s="1" t="str">
        <f t="shared" si="110"/>
        <v>High</v>
      </c>
      <c r="I1779" s="1" t="str">
        <f t="shared" si="111"/>
        <v>Other</v>
      </c>
      <c r="J1779" s="1">
        <f t="shared" si="112"/>
        <v>321222.21999999991</v>
      </c>
    </row>
    <row r="1780" spans="1:10" ht="12.75">
      <c r="A1780" s="1" t="s">
        <v>7</v>
      </c>
      <c r="B1780" s="1" t="s">
        <v>5</v>
      </c>
      <c r="C1780" s="1" t="s">
        <v>76</v>
      </c>
      <c r="D1780" s="2">
        <v>45055</v>
      </c>
      <c r="E1780" s="1" t="s">
        <v>1577</v>
      </c>
      <c r="F1780" s="5">
        <f t="shared" si="109"/>
        <v>6707.63</v>
      </c>
      <c r="G1780" s="1">
        <v>269</v>
      </c>
      <c r="H1780" s="1" t="str">
        <f t="shared" si="110"/>
        <v>High</v>
      </c>
      <c r="I1780" s="1" t="str">
        <f t="shared" si="111"/>
        <v>Other</v>
      </c>
      <c r="J1780" s="1">
        <f t="shared" si="112"/>
        <v>321222.21999999991</v>
      </c>
    </row>
    <row r="1781" spans="1:10" ht="12.75">
      <c r="A1781" s="1" t="s">
        <v>2</v>
      </c>
      <c r="B1781" s="1" t="s">
        <v>54</v>
      </c>
      <c r="C1781" s="1" t="s">
        <v>43</v>
      </c>
      <c r="D1781" s="2">
        <v>45083</v>
      </c>
      <c r="E1781" s="1" t="s">
        <v>1578</v>
      </c>
      <c r="F1781" s="5">
        <f t="shared" si="109"/>
        <v>8167.18</v>
      </c>
      <c r="G1781" s="1">
        <v>102</v>
      </c>
      <c r="H1781" s="1" t="str">
        <f t="shared" si="110"/>
        <v>High</v>
      </c>
      <c r="I1781" s="1" t="str">
        <f t="shared" si="111"/>
        <v>Other</v>
      </c>
      <c r="J1781" s="1">
        <f t="shared" si="112"/>
        <v>321222.21999999991</v>
      </c>
    </row>
    <row r="1782" spans="1:10" ht="12.75">
      <c r="A1782" s="1" t="s">
        <v>29</v>
      </c>
      <c r="B1782" s="1" t="s">
        <v>59</v>
      </c>
      <c r="C1782" s="1" t="s">
        <v>102</v>
      </c>
      <c r="D1782" s="2">
        <v>45083</v>
      </c>
      <c r="E1782" s="1" t="s">
        <v>1579</v>
      </c>
      <c r="F1782" s="5">
        <f t="shared" si="109"/>
        <v>9950.14</v>
      </c>
      <c r="G1782" s="1">
        <v>6</v>
      </c>
      <c r="H1782" s="1" t="str">
        <f t="shared" si="110"/>
        <v>High</v>
      </c>
      <c r="I1782" s="1" t="str">
        <f t="shared" si="111"/>
        <v>Other</v>
      </c>
      <c r="J1782" s="1">
        <f t="shared" si="112"/>
        <v>313055.03999999992</v>
      </c>
    </row>
    <row r="1783" spans="1:10" ht="12.75">
      <c r="A1783" s="1" t="s">
        <v>28</v>
      </c>
      <c r="B1783" s="1" t="s">
        <v>54</v>
      </c>
      <c r="C1783" s="1" t="s">
        <v>68</v>
      </c>
      <c r="D1783" s="2">
        <v>45070</v>
      </c>
      <c r="E1783" s="1" t="s">
        <v>1580</v>
      </c>
      <c r="F1783" s="5">
        <f t="shared" si="109"/>
        <v>7229.26</v>
      </c>
      <c r="G1783" s="1">
        <v>215</v>
      </c>
      <c r="H1783" s="1" t="str">
        <f t="shared" si="110"/>
        <v>High</v>
      </c>
      <c r="I1783" s="1" t="str">
        <f t="shared" si="111"/>
        <v>Other</v>
      </c>
      <c r="J1783" s="1">
        <f t="shared" si="112"/>
        <v>313055.03999999992</v>
      </c>
    </row>
    <row r="1784" spans="1:10" ht="12.75">
      <c r="A1784" s="1" t="s">
        <v>23</v>
      </c>
      <c r="B1784" s="1" t="s">
        <v>39</v>
      </c>
      <c r="C1784" s="1" t="s">
        <v>55</v>
      </c>
      <c r="D1784" s="2">
        <v>44939</v>
      </c>
      <c r="E1784" s="1" t="s">
        <v>1581</v>
      </c>
      <c r="F1784" s="5">
        <f t="shared" si="109"/>
        <v>2260.21</v>
      </c>
      <c r="G1784" s="1">
        <v>128</v>
      </c>
      <c r="H1784" s="1" t="str">
        <f t="shared" si="110"/>
        <v>High</v>
      </c>
      <c r="I1784" s="1" t="str">
        <f t="shared" si="111"/>
        <v>Other</v>
      </c>
      <c r="J1784" s="1">
        <f t="shared" si="112"/>
        <v>313055.03999999992</v>
      </c>
    </row>
    <row r="1785" spans="1:10" ht="12.75">
      <c r="A1785" s="1" t="s">
        <v>14</v>
      </c>
      <c r="B1785" s="1" t="s">
        <v>59</v>
      </c>
      <c r="C1785" s="1" t="s">
        <v>100</v>
      </c>
      <c r="D1785" s="2">
        <v>45069</v>
      </c>
      <c r="E1785" s="1" t="s">
        <v>1582</v>
      </c>
      <c r="F1785" s="5">
        <f t="shared" si="109"/>
        <v>6206.9</v>
      </c>
      <c r="G1785" s="1">
        <v>149</v>
      </c>
      <c r="H1785" s="1" t="str">
        <f t="shared" si="110"/>
        <v>High</v>
      </c>
      <c r="I1785" s="1" t="str">
        <f t="shared" si="111"/>
        <v>Other</v>
      </c>
      <c r="J1785" s="1">
        <f t="shared" si="112"/>
        <v>313055.03999999992</v>
      </c>
    </row>
    <row r="1786" spans="1:10" ht="12.75">
      <c r="A1786" s="1" t="s">
        <v>11</v>
      </c>
      <c r="B1786" s="1" t="s">
        <v>39</v>
      </c>
      <c r="C1786" s="1" t="s">
        <v>84</v>
      </c>
      <c r="D1786" s="2">
        <v>45106</v>
      </c>
      <c r="E1786" s="1" t="s">
        <v>1583</v>
      </c>
      <c r="F1786" s="5">
        <f t="shared" si="109"/>
        <v>1889.83</v>
      </c>
      <c r="G1786" s="1">
        <v>286</v>
      </c>
      <c r="H1786" s="1" t="str">
        <f t="shared" si="110"/>
        <v>High</v>
      </c>
      <c r="I1786" s="1" t="str">
        <f t="shared" si="111"/>
        <v>Other</v>
      </c>
      <c r="J1786" s="1">
        <f t="shared" si="112"/>
        <v>313055.03999999992</v>
      </c>
    </row>
    <row r="1787" spans="1:10" ht="12.75">
      <c r="A1787" s="1" t="s">
        <v>11</v>
      </c>
      <c r="B1787" s="1" t="s">
        <v>54</v>
      </c>
      <c r="C1787" s="1" t="s">
        <v>43</v>
      </c>
      <c r="D1787" s="2">
        <v>44996</v>
      </c>
      <c r="E1787" s="1" t="s">
        <v>1584</v>
      </c>
      <c r="F1787" s="5">
        <f t="shared" si="109"/>
        <v>7797.24</v>
      </c>
      <c r="G1787" s="1">
        <v>88</v>
      </c>
      <c r="H1787" s="1" t="str">
        <f t="shared" si="110"/>
        <v>High</v>
      </c>
      <c r="I1787" s="1" t="str">
        <f t="shared" si="111"/>
        <v>Other</v>
      </c>
      <c r="J1787" s="1">
        <f t="shared" si="112"/>
        <v>313055.03999999992</v>
      </c>
    </row>
    <row r="1788" spans="1:10" ht="12.75">
      <c r="A1788" s="1" t="s">
        <v>21</v>
      </c>
      <c r="B1788" s="1" t="s">
        <v>59</v>
      </c>
      <c r="C1788" s="1" t="s">
        <v>43</v>
      </c>
      <c r="D1788" s="2">
        <v>45041</v>
      </c>
      <c r="E1788" s="1" t="s">
        <v>1585</v>
      </c>
      <c r="F1788" s="5">
        <f t="shared" si="109"/>
        <v>11644.92</v>
      </c>
      <c r="G1788" s="1">
        <v>536</v>
      </c>
      <c r="H1788" s="1" t="str">
        <f t="shared" si="110"/>
        <v>High</v>
      </c>
      <c r="I1788" s="1" t="str">
        <f t="shared" si="111"/>
        <v>Other</v>
      </c>
      <c r="J1788" s="1">
        <f t="shared" si="112"/>
        <v>313055.03999999992</v>
      </c>
    </row>
    <row r="1789" spans="1:10" ht="12.75">
      <c r="A1789" s="1" t="s">
        <v>19</v>
      </c>
      <c r="B1789" s="1" t="s">
        <v>5</v>
      </c>
      <c r="C1789" s="1" t="s">
        <v>49</v>
      </c>
      <c r="D1789" s="2">
        <v>45076</v>
      </c>
      <c r="E1789" s="1" t="s">
        <v>1586</v>
      </c>
      <c r="F1789" s="5">
        <f t="shared" si="109"/>
        <v>4207.22</v>
      </c>
      <c r="G1789" s="1">
        <v>255</v>
      </c>
      <c r="H1789" s="1" t="str">
        <f t="shared" si="110"/>
        <v>High</v>
      </c>
      <c r="I1789" s="1" t="str">
        <f t="shared" si="111"/>
        <v>Other</v>
      </c>
      <c r="J1789" s="1">
        <f t="shared" si="112"/>
        <v>313055.03999999992</v>
      </c>
    </row>
    <row r="1790" spans="1:10" ht="12.75">
      <c r="A1790" s="1" t="s">
        <v>24</v>
      </c>
      <c r="B1790" s="1" t="s">
        <v>42</v>
      </c>
      <c r="C1790" s="1" t="s">
        <v>86</v>
      </c>
      <c r="D1790" s="2">
        <v>45069</v>
      </c>
      <c r="E1790" s="1" t="s">
        <v>1587</v>
      </c>
      <c r="F1790" s="5">
        <f t="shared" si="109"/>
        <v>1683.88</v>
      </c>
      <c r="G1790" s="1">
        <v>169</v>
      </c>
      <c r="H1790" s="1" t="str">
        <f t="shared" si="110"/>
        <v>High</v>
      </c>
      <c r="I1790" s="1" t="str">
        <f t="shared" si="111"/>
        <v>Other</v>
      </c>
      <c r="J1790" s="1">
        <f t="shared" si="112"/>
        <v>313055.03999999992</v>
      </c>
    </row>
    <row r="1791" spans="1:10" ht="12.75">
      <c r="A1791" s="1" t="s">
        <v>2</v>
      </c>
      <c r="B1791" s="1" t="s">
        <v>59</v>
      </c>
      <c r="C1791" s="1" t="s">
        <v>45</v>
      </c>
      <c r="D1791" s="2">
        <v>45069</v>
      </c>
      <c r="E1791" s="1" t="s">
        <v>1588</v>
      </c>
      <c r="F1791" s="5">
        <f t="shared" si="109"/>
        <v>1337.36</v>
      </c>
      <c r="G1791" s="1">
        <v>18</v>
      </c>
      <c r="H1791" s="1" t="str">
        <f t="shared" si="110"/>
        <v>High</v>
      </c>
      <c r="I1791" s="1" t="str">
        <f t="shared" si="111"/>
        <v>Other</v>
      </c>
      <c r="J1791" s="1">
        <f t="shared" si="112"/>
        <v>313055.03999999992</v>
      </c>
    </row>
    <row r="1792" spans="1:10" ht="12.75">
      <c r="A1792" s="1" t="s">
        <v>10</v>
      </c>
      <c r="B1792" s="1" t="s">
        <v>62</v>
      </c>
      <c r="C1792" s="1" t="s">
        <v>45</v>
      </c>
      <c r="D1792" s="2">
        <v>45101</v>
      </c>
      <c r="E1792" s="1" t="s">
        <v>1589</v>
      </c>
      <c r="F1792" s="5">
        <f t="shared" si="109"/>
        <v>7147.04</v>
      </c>
      <c r="G1792" s="1">
        <v>300</v>
      </c>
      <c r="H1792" s="1" t="str">
        <f t="shared" si="110"/>
        <v>High</v>
      </c>
      <c r="I1792" s="1" t="str">
        <f t="shared" si="111"/>
        <v>Other</v>
      </c>
      <c r="J1792" s="1">
        <f t="shared" si="112"/>
        <v>311717.67999999993</v>
      </c>
    </row>
    <row r="1793" spans="1:10" ht="12.75">
      <c r="A1793" s="1" t="s">
        <v>12</v>
      </c>
      <c r="B1793" s="1" t="s">
        <v>54</v>
      </c>
      <c r="C1793" s="1" t="s">
        <v>49</v>
      </c>
      <c r="D1793" s="2">
        <v>44996</v>
      </c>
      <c r="E1793" s="1" t="s">
        <v>1590</v>
      </c>
      <c r="F1793" s="5">
        <f t="shared" si="109"/>
        <v>12030.46</v>
      </c>
      <c r="G1793" s="1">
        <v>296</v>
      </c>
      <c r="H1793" s="1" t="str">
        <f t="shared" si="110"/>
        <v>High</v>
      </c>
      <c r="I1793" s="1" t="str">
        <f t="shared" si="111"/>
        <v>Other</v>
      </c>
      <c r="J1793" s="1">
        <f t="shared" si="112"/>
        <v>311717.67999999993</v>
      </c>
    </row>
    <row r="1794" spans="1:10" ht="12.75">
      <c r="A1794" s="1" t="s">
        <v>19</v>
      </c>
      <c r="B1794" s="1" t="s">
        <v>59</v>
      </c>
      <c r="C1794" s="1" t="s">
        <v>49</v>
      </c>
      <c r="D1794" s="2">
        <v>45134</v>
      </c>
      <c r="E1794" s="1" t="s">
        <v>1591</v>
      </c>
      <c r="F1794" s="5">
        <f t="shared" ref="F1794:F1857" si="113">VALUE(SUBSTITUTE(E1794,"$",""))</f>
        <v>15844.58</v>
      </c>
      <c r="G1794" s="1">
        <v>232</v>
      </c>
      <c r="H1794" s="1" t="str">
        <f t="shared" ref="H1794:H1857" si="114">IF(F1794&gt;800,"High",IF(F1794&gt;500,"Medium","Low"))</f>
        <v>High</v>
      </c>
      <c r="I1794" s="1" t="str">
        <f t="shared" ref="I1794:I1857" si="115">IF(AND(B1794="Australia",A1794="Mallorie Waber"),"Top Local","Other")</f>
        <v>Other</v>
      </c>
      <c r="J1794" s="1">
        <f t="shared" ref="J1794:J1857" si="116">SUMIF(A1794:A5074,"Mallorie Waber",F1794:F5074)</f>
        <v>311717.67999999993</v>
      </c>
    </row>
    <row r="1795" spans="1:10" ht="12.75">
      <c r="A1795" s="1" t="s">
        <v>19</v>
      </c>
      <c r="B1795" s="1" t="s">
        <v>59</v>
      </c>
      <c r="C1795" s="1" t="s">
        <v>84</v>
      </c>
      <c r="D1795" s="2">
        <v>45154</v>
      </c>
      <c r="E1795" s="1" t="s">
        <v>1592</v>
      </c>
      <c r="F1795" s="5">
        <f t="shared" si="113"/>
        <v>5025.84</v>
      </c>
      <c r="G1795" s="1">
        <v>133</v>
      </c>
      <c r="H1795" s="1" t="str">
        <f t="shared" si="114"/>
        <v>High</v>
      </c>
      <c r="I1795" s="1" t="str">
        <f t="shared" si="115"/>
        <v>Other</v>
      </c>
      <c r="J1795" s="1">
        <f t="shared" si="116"/>
        <v>311717.67999999993</v>
      </c>
    </row>
    <row r="1796" spans="1:10" ht="12.75">
      <c r="A1796" s="1" t="s">
        <v>26</v>
      </c>
      <c r="B1796" s="1" t="s">
        <v>62</v>
      </c>
      <c r="C1796" s="1" t="s">
        <v>49</v>
      </c>
      <c r="D1796" s="2">
        <v>44992</v>
      </c>
      <c r="E1796" s="1" t="s">
        <v>1593</v>
      </c>
      <c r="F1796" s="5">
        <f t="shared" si="113"/>
        <v>9902.0300000000007</v>
      </c>
      <c r="G1796" s="1">
        <v>12</v>
      </c>
      <c r="H1796" s="1" t="str">
        <f t="shared" si="114"/>
        <v>High</v>
      </c>
      <c r="I1796" s="1" t="str">
        <f t="shared" si="115"/>
        <v>Other</v>
      </c>
      <c r="J1796" s="1">
        <f t="shared" si="116"/>
        <v>311717.67999999993</v>
      </c>
    </row>
    <row r="1797" spans="1:10" ht="12.75">
      <c r="A1797" s="1" t="s">
        <v>24</v>
      </c>
      <c r="B1797" s="1" t="s">
        <v>54</v>
      </c>
      <c r="C1797" s="1" t="s">
        <v>52</v>
      </c>
      <c r="D1797" s="2">
        <v>45021</v>
      </c>
      <c r="E1797" s="1" t="s">
        <v>1594</v>
      </c>
      <c r="F1797" s="5">
        <f t="shared" si="113"/>
        <v>7944.07</v>
      </c>
      <c r="G1797" s="1">
        <v>33</v>
      </c>
      <c r="H1797" s="1" t="str">
        <f t="shared" si="114"/>
        <v>High</v>
      </c>
      <c r="I1797" s="1" t="str">
        <f t="shared" si="115"/>
        <v>Other</v>
      </c>
      <c r="J1797" s="1">
        <f t="shared" si="116"/>
        <v>311717.67999999993</v>
      </c>
    </row>
    <row r="1798" spans="1:10" ht="12.75">
      <c r="A1798" s="1" t="s">
        <v>25</v>
      </c>
      <c r="B1798" s="1" t="s">
        <v>42</v>
      </c>
      <c r="C1798" s="1" t="s">
        <v>43</v>
      </c>
      <c r="D1798" s="2">
        <v>45050</v>
      </c>
      <c r="E1798" s="1" t="s">
        <v>1595</v>
      </c>
      <c r="F1798" s="5">
        <f t="shared" si="113"/>
        <v>9523.65</v>
      </c>
      <c r="G1798" s="1">
        <v>55</v>
      </c>
      <c r="H1798" s="1" t="str">
        <f t="shared" si="114"/>
        <v>High</v>
      </c>
      <c r="I1798" s="1" t="str">
        <f t="shared" si="115"/>
        <v>Other</v>
      </c>
      <c r="J1798" s="1">
        <f t="shared" si="116"/>
        <v>311717.67999999993</v>
      </c>
    </row>
    <row r="1799" spans="1:10" ht="12.75">
      <c r="A1799" s="1" t="s">
        <v>17</v>
      </c>
      <c r="B1799" s="1" t="s">
        <v>59</v>
      </c>
      <c r="C1799" s="1" t="s">
        <v>102</v>
      </c>
      <c r="D1799" s="2">
        <v>44930</v>
      </c>
      <c r="E1799" s="1" t="s">
        <v>1596</v>
      </c>
      <c r="F1799" s="5">
        <f t="shared" si="113"/>
        <v>16240.71</v>
      </c>
      <c r="G1799" s="1">
        <v>93</v>
      </c>
      <c r="H1799" s="1" t="str">
        <f t="shared" si="114"/>
        <v>High</v>
      </c>
      <c r="I1799" s="1" t="str">
        <f t="shared" si="115"/>
        <v>Other</v>
      </c>
      <c r="J1799" s="1">
        <f t="shared" si="116"/>
        <v>311717.67999999993</v>
      </c>
    </row>
    <row r="1800" spans="1:10" ht="12.75">
      <c r="A1800" s="1" t="s">
        <v>14</v>
      </c>
      <c r="B1800" s="1" t="s">
        <v>5</v>
      </c>
      <c r="C1800" s="1" t="s">
        <v>122</v>
      </c>
      <c r="D1800" s="2">
        <v>44939</v>
      </c>
      <c r="E1800" s="1" t="s">
        <v>1597</v>
      </c>
      <c r="F1800" s="5">
        <f t="shared" si="113"/>
        <v>5891.94</v>
      </c>
      <c r="G1800" s="1">
        <v>109</v>
      </c>
      <c r="H1800" s="1" t="str">
        <f t="shared" si="114"/>
        <v>High</v>
      </c>
      <c r="I1800" s="1" t="str">
        <f t="shared" si="115"/>
        <v>Other</v>
      </c>
      <c r="J1800" s="1">
        <f t="shared" si="116"/>
        <v>311717.67999999993</v>
      </c>
    </row>
    <row r="1801" spans="1:10" ht="12.75">
      <c r="A1801" s="1" t="s">
        <v>29</v>
      </c>
      <c r="B1801" s="1" t="s">
        <v>54</v>
      </c>
      <c r="C1801" s="1" t="s">
        <v>81</v>
      </c>
      <c r="D1801" s="2">
        <v>45118</v>
      </c>
      <c r="E1801" s="1" t="s">
        <v>1598</v>
      </c>
      <c r="F1801" s="5">
        <f t="shared" si="113"/>
        <v>6924.52</v>
      </c>
      <c r="G1801" s="1">
        <v>94</v>
      </c>
      <c r="H1801" s="1" t="str">
        <f t="shared" si="114"/>
        <v>High</v>
      </c>
      <c r="I1801" s="1" t="str">
        <f t="shared" si="115"/>
        <v>Other</v>
      </c>
      <c r="J1801" s="1">
        <f t="shared" si="116"/>
        <v>311717.67999999993</v>
      </c>
    </row>
    <row r="1802" spans="1:10" ht="12.75">
      <c r="A1802" s="1" t="s">
        <v>8</v>
      </c>
      <c r="B1802" s="1" t="s">
        <v>5</v>
      </c>
      <c r="C1802" s="1" t="s">
        <v>40</v>
      </c>
      <c r="D1802" s="2">
        <v>45063</v>
      </c>
      <c r="E1802" s="1" t="s">
        <v>1599</v>
      </c>
      <c r="F1802" s="5">
        <f t="shared" si="113"/>
        <v>4552.57</v>
      </c>
      <c r="G1802" s="1">
        <v>158</v>
      </c>
      <c r="H1802" s="1" t="str">
        <f t="shared" si="114"/>
        <v>High</v>
      </c>
      <c r="I1802" s="1" t="str">
        <f t="shared" si="115"/>
        <v>Other</v>
      </c>
      <c r="J1802" s="1">
        <f t="shared" si="116"/>
        <v>311717.67999999993</v>
      </c>
    </row>
    <row r="1803" spans="1:10" ht="12.75">
      <c r="A1803" s="1" t="s">
        <v>25</v>
      </c>
      <c r="B1803" s="1" t="s">
        <v>54</v>
      </c>
      <c r="C1803" s="1" t="s">
        <v>45</v>
      </c>
      <c r="D1803" s="2">
        <v>45128</v>
      </c>
      <c r="E1803" s="1" t="s">
        <v>1600</v>
      </c>
      <c r="F1803" s="5">
        <f t="shared" si="113"/>
        <v>1724.91</v>
      </c>
      <c r="G1803" s="1">
        <v>60</v>
      </c>
      <c r="H1803" s="1" t="str">
        <f t="shared" si="114"/>
        <v>High</v>
      </c>
      <c r="I1803" s="1" t="str">
        <f t="shared" si="115"/>
        <v>Other</v>
      </c>
      <c r="J1803" s="1">
        <f t="shared" si="116"/>
        <v>311717.67999999993</v>
      </c>
    </row>
    <row r="1804" spans="1:10" ht="12.75">
      <c r="A1804" s="1" t="s">
        <v>24</v>
      </c>
      <c r="B1804" s="1" t="s">
        <v>62</v>
      </c>
      <c r="C1804" s="1" t="s">
        <v>68</v>
      </c>
      <c r="D1804" s="2">
        <v>44979</v>
      </c>
      <c r="E1804" s="1" t="s">
        <v>1601</v>
      </c>
      <c r="F1804" s="5">
        <f t="shared" si="113"/>
        <v>897.3</v>
      </c>
      <c r="G1804" s="1">
        <v>21</v>
      </c>
      <c r="H1804" s="1" t="str">
        <f t="shared" si="114"/>
        <v>High</v>
      </c>
      <c r="I1804" s="1" t="str">
        <f t="shared" si="115"/>
        <v>Other</v>
      </c>
      <c r="J1804" s="1">
        <f t="shared" si="116"/>
        <v>311717.67999999993</v>
      </c>
    </row>
    <row r="1805" spans="1:10" ht="12.75">
      <c r="A1805" s="1" t="s">
        <v>15</v>
      </c>
      <c r="B1805" s="1" t="s">
        <v>42</v>
      </c>
      <c r="C1805" s="1" t="s">
        <v>51</v>
      </c>
      <c r="D1805" s="2">
        <v>45069</v>
      </c>
      <c r="E1805" s="1" t="s">
        <v>1602</v>
      </c>
      <c r="F1805" s="5">
        <f t="shared" si="113"/>
        <v>10283.9</v>
      </c>
      <c r="G1805" s="1">
        <v>178</v>
      </c>
      <c r="H1805" s="1" t="str">
        <f t="shared" si="114"/>
        <v>High</v>
      </c>
      <c r="I1805" s="1" t="str">
        <f t="shared" si="115"/>
        <v>Other</v>
      </c>
      <c r="J1805" s="1">
        <f t="shared" si="116"/>
        <v>311717.67999999993</v>
      </c>
    </row>
    <row r="1806" spans="1:10" ht="12.75">
      <c r="A1806" s="1" t="s">
        <v>19</v>
      </c>
      <c r="B1806" s="1" t="s">
        <v>62</v>
      </c>
      <c r="C1806" s="1" t="s">
        <v>65</v>
      </c>
      <c r="D1806" s="2">
        <v>45119</v>
      </c>
      <c r="E1806" s="1" t="s">
        <v>1603</v>
      </c>
      <c r="F1806" s="5">
        <f t="shared" si="113"/>
        <v>10415.77</v>
      </c>
      <c r="G1806" s="1">
        <v>200</v>
      </c>
      <c r="H1806" s="1" t="str">
        <f t="shared" si="114"/>
        <v>High</v>
      </c>
      <c r="I1806" s="1" t="str">
        <f t="shared" si="115"/>
        <v>Other</v>
      </c>
      <c r="J1806" s="1">
        <f t="shared" si="116"/>
        <v>311717.67999999993</v>
      </c>
    </row>
    <row r="1807" spans="1:10" ht="12.75">
      <c r="A1807" s="1" t="s">
        <v>15</v>
      </c>
      <c r="B1807" s="1" t="s">
        <v>39</v>
      </c>
      <c r="C1807" s="1" t="s">
        <v>60</v>
      </c>
      <c r="D1807" s="2">
        <v>45092</v>
      </c>
      <c r="E1807" s="1" t="s">
        <v>1604</v>
      </c>
      <c r="F1807" s="5">
        <f t="shared" si="113"/>
        <v>4220.83</v>
      </c>
      <c r="G1807" s="1">
        <v>193</v>
      </c>
      <c r="H1807" s="1" t="str">
        <f t="shared" si="114"/>
        <v>High</v>
      </c>
      <c r="I1807" s="1" t="str">
        <f t="shared" si="115"/>
        <v>Other</v>
      </c>
      <c r="J1807" s="1">
        <f t="shared" si="116"/>
        <v>311717.67999999993</v>
      </c>
    </row>
    <row r="1808" spans="1:10" ht="12.75">
      <c r="A1808" s="1" t="s">
        <v>16</v>
      </c>
      <c r="B1808" s="1" t="s">
        <v>54</v>
      </c>
      <c r="C1808" s="1" t="s">
        <v>55</v>
      </c>
      <c r="D1808" s="2">
        <v>45100</v>
      </c>
      <c r="E1808" s="1" t="s">
        <v>1605</v>
      </c>
      <c r="F1808" s="5">
        <f t="shared" si="113"/>
        <v>4909.8599999999997</v>
      </c>
      <c r="G1808" s="1">
        <v>304</v>
      </c>
      <c r="H1808" s="1" t="str">
        <f t="shared" si="114"/>
        <v>High</v>
      </c>
      <c r="I1808" s="1" t="str">
        <f t="shared" si="115"/>
        <v>Other</v>
      </c>
      <c r="J1808" s="1">
        <f t="shared" si="116"/>
        <v>311717.67999999993</v>
      </c>
    </row>
    <row r="1809" spans="1:10" ht="12.75">
      <c r="A1809" s="1" t="s">
        <v>24</v>
      </c>
      <c r="B1809" s="1" t="s">
        <v>5</v>
      </c>
      <c r="C1809" s="1" t="s">
        <v>63</v>
      </c>
      <c r="D1809" s="2">
        <v>45010</v>
      </c>
      <c r="E1809" s="1" t="s">
        <v>1606</v>
      </c>
      <c r="F1809" s="5">
        <f t="shared" si="113"/>
        <v>6549.62</v>
      </c>
      <c r="G1809" s="1">
        <v>53</v>
      </c>
      <c r="H1809" s="1" t="str">
        <f t="shared" si="114"/>
        <v>High</v>
      </c>
      <c r="I1809" s="1" t="str">
        <f t="shared" si="115"/>
        <v>Other</v>
      </c>
      <c r="J1809" s="1">
        <f t="shared" si="116"/>
        <v>311717.67999999993</v>
      </c>
    </row>
    <row r="1810" spans="1:10" ht="12.75">
      <c r="A1810" s="1" t="s">
        <v>15</v>
      </c>
      <c r="B1810" s="1" t="s">
        <v>42</v>
      </c>
      <c r="C1810" s="1" t="s">
        <v>126</v>
      </c>
      <c r="D1810" s="2">
        <v>45111</v>
      </c>
      <c r="E1810" s="1" t="s">
        <v>1607</v>
      </c>
      <c r="F1810" s="5">
        <f t="shared" si="113"/>
        <v>88.72</v>
      </c>
      <c r="G1810" s="1">
        <v>165</v>
      </c>
      <c r="H1810" s="1" t="str">
        <f t="shared" si="114"/>
        <v>Low</v>
      </c>
      <c r="I1810" s="1" t="str">
        <f t="shared" si="115"/>
        <v>Other</v>
      </c>
      <c r="J1810" s="1">
        <f t="shared" si="116"/>
        <v>311717.67999999993</v>
      </c>
    </row>
    <row r="1811" spans="1:10" ht="12.75">
      <c r="A1811" s="1" t="s">
        <v>27</v>
      </c>
      <c r="B1811" s="1" t="s">
        <v>39</v>
      </c>
      <c r="C1811" s="1" t="s">
        <v>84</v>
      </c>
      <c r="D1811" s="2">
        <v>45058</v>
      </c>
      <c r="E1811" s="1" t="s">
        <v>1608</v>
      </c>
      <c r="F1811" s="5">
        <f t="shared" si="113"/>
        <v>9793.16</v>
      </c>
      <c r="G1811" s="1">
        <v>110</v>
      </c>
      <c r="H1811" s="1" t="str">
        <f t="shared" si="114"/>
        <v>High</v>
      </c>
      <c r="I1811" s="1" t="str">
        <f t="shared" si="115"/>
        <v>Other</v>
      </c>
      <c r="J1811" s="1">
        <f t="shared" si="116"/>
        <v>311717.67999999993</v>
      </c>
    </row>
    <row r="1812" spans="1:10" ht="12.75">
      <c r="A1812" s="1" t="s">
        <v>25</v>
      </c>
      <c r="B1812" s="1" t="s">
        <v>54</v>
      </c>
      <c r="C1812" s="1" t="s">
        <v>100</v>
      </c>
      <c r="D1812" s="2">
        <v>45020</v>
      </c>
      <c r="E1812" s="1" t="s">
        <v>1609</v>
      </c>
      <c r="F1812" s="5">
        <f t="shared" si="113"/>
        <v>4823.6499999999996</v>
      </c>
      <c r="G1812" s="1">
        <v>143</v>
      </c>
      <c r="H1812" s="1" t="str">
        <f t="shared" si="114"/>
        <v>High</v>
      </c>
      <c r="I1812" s="1" t="str">
        <f t="shared" si="115"/>
        <v>Other</v>
      </c>
      <c r="J1812" s="1">
        <f t="shared" si="116"/>
        <v>311717.67999999993</v>
      </c>
    </row>
    <row r="1813" spans="1:10" ht="12.75">
      <c r="A1813" s="1" t="s">
        <v>9</v>
      </c>
      <c r="B1813" s="1" t="s">
        <v>5</v>
      </c>
      <c r="C1813" s="1" t="s">
        <v>60</v>
      </c>
      <c r="D1813" s="2">
        <v>45031</v>
      </c>
      <c r="E1813" s="1" t="s">
        <v>1610</v>
      </c>
      <c r="F1813" s="5">
        <f t="shared" si="113"/>
        <v>7556.55</v>
      </c>
      <c r="G1813" s="1">
        <v>404</v>
      </c>
      <c r="H1813" s="1" t="str">
        <f t="shared" si="114"/>
        <v>High</v>
      </c>
      <c r="I1813" s="1" t="str">
        <f t="shared" si="115"/>
        <v>Other</v>
      </c>
      <c r="J1813" s="1">
        <f t="shared" si="116"/>
        <v>311717.67999999993</v>
      </c>
    </row>
    <row r="1814" spans="1:10" ht="12.75">
      <c r="A1814" s="1" t="s">
        <v>26</v>
      </c>
      <c r="B1814" s="1" t="s">
        <v>62</v>
      </c>
      <c r="C1814" s="1" t="s">
        <v>63</v>
      </c>
      <c r="D1814" s="2">
        <v>44993</v>
      </c>
      <c r="E1814" s="1" t="s">
        <v>1611</v>
      </c>
      <c r="F1814" s="5">
        <f t="shared" si="113"/>
        <v>7082.03</v>
      </c>
      <c r="G1814" s="1">
        <v>95</v>
      </c>
      <c r="H1814" s="1" t="str">
        <f t="shared" si="114"/>
        <v>High</v>
      </c>
      <c r="I1814" s="1" t="str">
        <f t="shared" si="115"/>
        <v>Other</v>
      </c>
      <c r="J1814" s="1">
        <f t="shared" si="116"/>
        <v>311717.67999999993</v>
      </c>
    </row>
    <row r="1815" spans="1:10" ht="12.75">
      <c r="A1815" s="1" t="s">
        <v>18</v>
      </c>
      <c r="B1815" s="1" t="s">
        <v>42</v>
      </c>
      <c r="C1815" s="1" t="s">
        <v>84</v>
      </c>
      <c r="D1815" s="2">
        <v>44943</v>
      </c>
      <c r="E1815" s="1" t="s">
        <v>1612</v>
      </c>
      <c r="F1815" s="5">
        <f t="shared" si="113"/>
        <v>8361.4699999999993</v>
      </c>
      <c r="G1815" s="1">
        <v>231</v>
      </c>
      <c r="H1815" s="1" t="str">
        <f t="shared" si="114"/>
        <v>High</v>
      </c>
      <c r="I1815" s="1" t="str">
        <f t="shared" si="115"/>
        <v>Other</v>
      </c>
      <c r="J1815" s="1">
        <f t="shared" si="116"/>
        <v>311717.67999999993</v>
      </c>
    </row>
    <row r="1816" spans="1:10" ht="12.75">
      <c r="A1816" s="1" t="s">
        <v>29</v>
      </c>
      <c r="B1816" s="1" t="s">
        <v>42</v>
      </c>
      <c r="C1816" s="1" t="s">
        <v>40</v>
      </c>
      <c r="D1816" s="2">
        <v>45160</v>
      </c>
      <c r="E1816" s="1" t="s">
        <v>1613</v>
      </c>
      <c r="F1816" s="5">
        <f t="shared" si="113"/>
        <v>1310.5</v>
      </c>
      <c r="G1816" s="1">
        <v>52</v>
      </c>
      <c r="H1816" s="1" t="str">
        <f t="shared" si="114"/>
        <v>High</v>
      </c>
      <c r="I1816" s="1" t="str">
        <f t="shared" si="115"/>
        <v>Other</v>
      </c>
      <c r="J1816" s="1">
        <f t="shared" si="116"/>
        <v>311717.67999999993</v>
      </c>
    </row>
    <row r="1817" spans="1:10" ht="12.75">
      <c r="A1817" s="1" t="s">
        <v>27</v>
      </c>
      <c r="B1817" s="1" t="s">
        <v>39</v>
      </c>
      <c r="C1817" s="1" t="s">
        <v>51</v>
      </c>
      <c r="D1817" s="2">
        <v>45132</v>
      </c>
      <c r="E1817" s="1" t="s">
        <v>1614</v>
      </c>
      <c r="F1817" s="5">
        <f t="shared" si="113"/>
        <v>1288.0999999999999</v>
      </c>
      <c r="G1817" s="1">
        <v>67</v>
      </c>
      <c r="H1817" s="1" t="str">
        <f t="shared" si="114"/>
        <v>High</v>
      </c>
      <c r="I1817" s="1" t="str">
        <f t="shared" si="115"/>
        <v>Other</v>
      </c>
      <c r="J1817" s="1">
        <f t="shared" si="116"/>
        <v>311717.67999999993</v>
      </c>
    </row>
    <row r="1818" spans="1:10" ht="12.75">
      <c r="A1818" s="1" t="s">
        <v>14</v>
      </c>
      <c r="B1818" s="1" t="s">
        <v>39</v>
      </c>
      <c r="C1818" s="1" t="s">
        <v>55</v>
      </c>
      <c r="D1818" s="2">
        <v>45091</v>
      </c>
      <c r="E1818" s="1" t="s">
        <v>1615</v>
      </c>
      <c r="F1818" s="5">
        <f t="shared" si="113"/>
        <v>3288.29</v>
      </c>
      <c r="G1818" s="1">
        <v>133</v>
      </c>
      <c r="H1818" s="1" t="str">
        <f t="shared" si="114"/>
        <v>High</v>
      </c>
      <c r="I1818" s="1" t="str">
        <f t="shared" si="115"/>
        <v>Other</v>
      </c>
      <c r="J1818" s="1">
        <f t="shared" si="116"/>
        <v>311717.67999999993</v>
      </c>
    </row>
    <row r="1819" spans="1:10" ht="12.75">
      <c r="A1819" s="1" t="s">
        <v>17</v>
      </c>
      <c r="B1819" s="1" t="s">
        <v>42</v>
      </c>
      <c r="C1819" s="1" t="s">
        <v>102</v>
      </c>
      <c r="D1819" s="2">
        <v>45021</v>
      </c>
      <c r="E1819" s="1" t="s">
        <v>1616</v>
      </c>
      <c r="F1819" s="5">
        <f t="shared" si="113"/>
        <v>10669.09</v>
      </c>
      <c r="G1819" s="1">
        <v>85</v>
      </c>
      <c r="H1819" s="1" t="str">
        <f t="shared" si="114"/>
        <v>High</v>
      </c>
      <c r="I1819" s="1" t="str">
        <f t="shared" si="115"/>
        <v>Other</v>
      </c>
      <c r="J1819" s="1">
        <f t="shared" si="116"/>
        <v>311717.67999999993</v>
      </c>
    </row>
    <row r="1820" spans="1:10" ht="12.75">
      <c r="A1820" s="1" t="s">
        <v>9</v>
      </c>
      <c r="B1820" s="1" t="s">
        <v>39</v>
      </c>
      <c r="C1820" s="1" t="s">
        <v>100</v>
      </c>
      <c r="D1820" s="2">
        <v>45164</v>
      </c>
      <c r="E1820" s="1" t="s">
        <v>1617</v>
      </c>
      <c r="F1820" s="5">
        <f t="shared" si="113"/>
        <v>7361.93</v>
      </c>
      <c r="G1820" s="1">
        <v>344</v>
      </c>
      <c r="H1820" s="1" t="str">
        <f t="shared" si="114"/>
        <v>High</v>
      </c>
      <c r="I1820" s="1" t="str">
        <f t="shared" si="115"/>
        <v>Other</v>
      </c>
      <c r="J1820" s="1">
        <f t="shared" si="116"/>
        <v>311717.67999999993</v>
      </c>
    </row>
    <row r="1821" spans="1:10" ht="12.75">
      <c r="A1821" s="1" t="s">
        <v>29</v>
      </c>
      <c r="B1821" s="1" t="s">
        <v>5</v>
      </c>
      <c r="C1821" s="1" t="s">
        <v>55</v>
      </c>
      <c r="D1821" s="2">
        <v>45141</v>
      </c>
      <c r="E1821" s="1" t="s">
        <v>1618</v>
      </c>
      <c r="F1821" s="5">
        <f t="shared" si="113"/>
        <v>10336.219999999999</v>
      </c>
      <c r="G1821" s="1">
        <v>123</v>
      </c>
      <c r="H1821" s="1" t="str">
        <f t="shared" si="114"/>
        <v>High</v>
      </c>
      <c r="I1821" s="1" t="str">
        <f t="shared" si="115"/>
        <v>Other</v>
      </c>
      <c r="J1821" s="1">
        <f t="shared" si="116"/>
        <v>311717.67999999993</v>
      </c>
    </row>
    <row r="1822" spans="1:10" ht="12.75">
      <c r="A1822" s="1" t="s">
        <v>20</v>
      </c>
      <c r="B1822" s="1" t="s">
        <v>62</v>
      </c>
      <c r="C1822" s="1" t="s">
        <v>84</v>
      </c>
      <c r="D1822" s="2">
        <v>45118</v>
      </c>
      <c r="E1822" s="1" t="s">
        <v>1619</v>
      </c>
      <c r="F1822" s="5">
        <f t="shared" si="113"/>
        <v>6985.95</v>
      </c>
      <c r="G1822" s="1">
        <v>4</v>
      </c>
      <c r="H1822" s="1" t="str">
        <f t="shared" si="114"/>
        <v>High</v>
      </c>
      <c r="I1822" s="1" t="str">
        <f t="shared" si="115"/>
        <v>Other</v>
      </c>
      <c r="J1822" s="1">
        <f t="shared" si="116"/>
        <v>311717.67999999993</v>
      </c>
    </row>
    <row r="1823" spans="1:10" ht="12.75">
      <c r="A1823" s="1" t="s">
        <v>29</v>
      </c>
      <c r="B1823" s="1" t="s">
        <v>54</v>
      </c>
      <c r="C1823" s="1" t="s">
        <v>63</v>
      </c>
      <c r="D1823" s="2">
        <v>44996</v>
      </c>
      <c r="E1823" s="1" t="s">
        <v>1620</v>
      </c>
      <c r="F1823" s="5">
        <f t="shared" si="113"/>
        <v>3394.46</v>
      </c>
      <c r="G1823" s="1">
        <v>21</v>
      </c>
      <c r="H1823" s="1" t="str">
        <f t="shared" si="114"/>
        <v>High</v>
      </c>
      <c r="I1823" s="1" t="str">
        <f t="shared" si="115"/>
        <v>Other</v>
      </c>
      <c r="J1823" s="1">
        <f t="shared" si="116"/>
        <v>311717.67999999993</v>
      </c>
    </row>
    <row r="1824" spans="1:10" ht="12.75">
      <c r="A1824" s="1" t="s">
        <v>7</v>
      </c>
      <c r="B1824" s="1" t="s">
        <v>39</v>
      </c>
      <c r="C1824" s="1" t="s">
        <v>45</v>
      </c>
      <c r="D1824" s="2">
        <v>44936</v>
      </c>
      <c r="E1824" s="1" t="s">
        <v>1621</v>
      </c>
      <c r="F1824" s="5">
        <f t="shared" si="113"/>
        <v>15337.23</v>
      </c>
      <c r="G1824" s="1">
        <v>31</v>
      </c>
      <c r="H1824" s="1" t="str">
        <f t="shared" si="114"/>
        <v>High</v>
      </c>
      <c r="I1824" s="1" t="str">
        <f t="shared" si="115"/>
        <v>Other</v>
      </c>
      <c r="J1824" s="1">
        <f t="shared" si="116"/>
        <v>311717.67999999993</v>
      </c>
    </row>
    <row r="1825" spans="1:10" ht="12.75">
      <c r="A1825" s="1" t="s">
        <v>26</v>
      </c>
      <c r="B1825" s="1" t="s">
        <v>39</v>
      </c>
      <c r="C1825" s="1" t="s">
        <v>122</v>
      </c>
      <c r="D1825" s="2">
        <v>45020</v>
      </c>
      <c r="E1825" s="1" t="s">
        <v>1622</v>
      </c>
      <c r="F1825" s="5">
        <f t="shared" si="113"/>
        <v>15925.17</v>
      </c>
      <c r="G1825" s="1">
        <v>378</v>
      </c>
      <c r="H1825" s="1" t="str">
        <f t="shared" si="114"/>
        <v>High</v>
      </c>
      <c r="I1825" s="1" t="str">
        <f t="shared" si="115"/>
        <v>Other</v>
      </c>
      <c r="J1825" s="1">
        <f t="shared" si="116"/>
        <v>311717.67999999993</v>
      </c>
    </row>
    <row r="1826" spans="1:10" ht="12.75">
      <c r="A1826" s="1" t="s">
        <v>18</v>
      </c>
      <c r="B1826" s="1" t="s">
        <v>5</v>
      </c>
      <c r="C1826" s="1" t="s">
        <v>55</v>
      </c>
      <c r="D1826" s="2">
        <v>44943</v>
      </c>
      <c r="E1826" s="1" t="s">
        <v>1623</v>
      </c>
      <c r="F1826" s="5">
        <f t="shared" si="113"/>
        <v>7355.77</v>
      </c>
      <c r="G1826" s="1">
        <v>772</v>
      </c>
      <c r="H1826" s="1" t="str">
        <f t="shared" si="114"/>
        <v>High</v>
      </c>
      <c r="I1826" s="1" t="str">
        <f t="shared" si="115"/>
        <v>Other</v>
      </c>
      <c r="J1826" s="1">
        <f t="shared" si="116"/>
        <v>311717.67999999993</v>
      </c>
    </row>
    <row r="1827" spans="1:10" ht="12.75">
      <c r="A1827" s="1" t="s">
        <v>14</v>
      </c>
      <c r="B1827" s="1" t="s">
        <v>54</v>
      </c>
      <c r="C1827" s="1" t="s">
        <v>68</v>
      </c>
      <c r="D1827" s="2">
        <v>45115</v>
      </c>
      <c r="E1827" s="1" t="s">
        <v>1624</v>
      </c>
      <c r="F1827" s="5">
        <f t="shared" si="113"/>
        <v>9489.27</v>
      </c>
      <c r="G1827" s="1">
        <v>54</v>
      </c>
      <c r="H1827" s="1" t="str">
        <f t="shared" si="114"/>
        <v>High</v>
      </c>
      <c r="I1827" s="1" t="str">
        <f t="shared" si="115"/>
        <v>Other</v>
      </c>
      <c r="J1827" s="1">
        <f t="shared" si="116"/>
        <v>311717.67999999993</v>
      </c>
    </row>
    <row r="1828" spans="1:10" ht="12.75">
      <c r="A1828" s="1" t="s">
        <v>15</v>
      </c>
      <c r="B1828" s="1" t="s">
        <v>39</v>
      </c>
      <c r="C1828" s="1" t="s">
        <v>68</v>
      </c>
      <c r="D1828" s="2">
        <v>45028</v>
      </c>
      <c r="E1828" s="1" t="s">
        <v>1625</v>
      </c>
      <c r="F1828" s="5">
        <f t="shared" si="113"/>
        <v>1281.32</v>
      </c>
      <c r="G1828" s="1">
        <v>354</v>
      </c>
      <c r="H1828" s="1" t="str">
        <f t="shared" si="114"/>
        <v>High</v>
      </c>
      <c r="I1828" s="1" t="str">
        <f t="shared" si="115"/>
        <v>Other</v>
      </c>
      <c r="J1828" s="1">
        <f t="shared" si="116"/>
        <v>311717.67999999993</v>
      </c>
    </row>
    <row r="1829" spans="1:10" ht="12.75">
      <c r="A1829" s="1" t="s">
        <v>19</v>
      </c>
      <c r="B1829" s="1" t="s">
        <v>62</v>
      </c>
      <c r="C1829" s="1" t="s">
        <v>81</v>
      </c>
      <c r="D1829" s="2">
        <v>45162</v>
      </c>
      <c r="E1829" s="1" t="s">
        <v>1626</v>
      </c>
      <c r="F1829" s="5">
        <f t="shared" si="113"/>
        <v>518.07000000000005</v>
      </c>
      <c r="G1829" s="1">
        <v>192</v>
      </c>
      <c r="H1829" s="1" t="str">
        <f t="shared" si="114"/>
        <v>Medium</v>
      </c>
      <c r="I1829" s="1" t="str">
        <f t="shared" si="115"/>
        <v>Other</v>
      </c>
      <c r="J1829" s="1">
        <f t="shared" si="116"/>
        <v>311717.67999999993</v>
      </c>
    </row>
    <row r="1830" spans="1:10" ht="12.75">
      <c r="A1830" s="1" t="s">
        <v>17</v>
      </c>
      <c r="B1830" s="1" t="s">
        <v>39</v>
      </c>
      <c r="C1830" s="1" t="s">
        <v>102</v>
      </c>
      <c r="D1830" s="2">
        <v>45084</v>
      </c>
      <c r="E1830" s="1" t="s">
        <v>1627</v>
      </c>
      <c r="F1830" s="5">
        <f t="shared" si="113"/>
        <v>1933.56</v>
      </c>
      <c r="G1830" s="1">
        <v>239</v>
      </c>
      <c r="H1830" s="1" t="str">
        <f t="shared" si="114"/>
        <v>High</v>
      </c>
      <c r="I1830" s="1" t="str">
        <f t="shared" si="115"/>
        <v>Other</v>
      </c>
      <c r="J1830" s="1">
        <f t="shared" si="116"/>
        <v>311717.67999999993</v>
      </c>
    </row>
    <row r="1831" spans="1:10" ht="12.75">
      <c r="A1831" s="1" t="s">
        <v>23</v>
      </c>
      <c r="B1831" s="1" t="s">
        <v>62</v>
      </c>
      <c r="C1831" s="1" t="s">
        <v>91</v>
      </c>
      <c r="D1831" s="2">
        <v>45135</v>
      </c>
      <c r="E1831" s="1" t="s">
        <v>1628</v>
      </c>
      <c r="F1831" s="5">
        <f t="shared" si="113"/>
        <v>1308.52</v>
      </c>
      <c r="G1831" s="1">
        <v>30</v>
      </c>
      <c r="H1831" s="1" t="str">
        <f t="shared" si="114"/>
        <v>High</v>
      </c>
      <c r="I1831" s="1" t="str">
        <f t="shared" si="115"/>
        <v>Other</v>
      </c>
      <c r="J1831" s="1">
        <f t="shared" si="116"/>
        <v>311717.67999999993</v>
      </c>
    </row>
    <row r="1832" spans="1:10" ht="12.75">
      <c r="A1832" s="1" t="s">
        <v>13</v>
      </c>
      <c r="B1832" s="1" t="s">
        <v>59</v>
      </c>
      <c r="C1832" s="1" t="s">
        <v>51</v>
      </c>
      <c r="D1832" s="2">
        <v>44978</v>
      </c>
      <c r="E1832" s="1" t="s">
        <v>1629</v>
      </c>
      <c r="F1832" s="5">
        <f t="shared" si="113"/>
        <v>9878.5</v>
      </c>
      <c r="G1832" s="1">
        <v>111</v>
      </c>
      <c r="H1832" s="1" t="str">
        <f t="shared" si="114"/>
        <v>High</v>
      </c>
      <c r="I1832" s="1" t="str">
        <f t="shared" si="115"/>
        <v>Other</v>
      </c>
      <c r="J1832" s="1">
        <f t="shared" si="116"/>
        <v>311717.67999999993</v>
      </c>
    </row>
    <row r="1833" spans="1:10" ht="12.75">
      <c r="A1833" s="1" t="s">
        <v>6</v>
      </c>
      <c r="B1833" s="1" t="s">
        <v>62</v>
      </c>
      <c r="C1833" s="1" t="s">
        <v>40</v>
      </c>
      <c r="D1833" s="2">
        <v>45024</v>
      </c>
      <c r="E1833" s="1" t="s">
        <v>1630</v>
      </c>
      <c r="F1833" s="5">
        <f t="shared" si="113"/>
        <v>1943.7</v>
      </c>
      <c r="G1833" s="1">
        <v>297</v>
      </c>
      <c r="H1833" s="1" t="str">
        <f t="shared" si="114"/>
        <v>High</v>
      </c>
      <c r="I1833" s="1" t="str">
        <f t="shared" si="115"/>
        <v>Other</v>
      </c>
      <c r="J1833" s="1">
        <f t="shared" si="116"/>
        <v>311717.67999999993</v>
      </c>
    </row>
    <row r="1834" spans="1:10" ht="12.75">
      <c r="A1834" s="1" t="s">
        <v>7</v>
      </c>
      <c r="B1834" s="1" t="s">
        <v>39</v>
      </c>
      <c r="C1834" s="1" t="s">
        <v>86</v>
      </c>
      <c r="D1834" s="2">
        <v>45105</v>
      </c>
      <c r="E1834" s="1" t="s">
        <v>1631</v>
      </c>
      <c r="F1834" s="5">
        <f t="shared" si="113"/>
        <v>80.62</v>
      </c>
      <c r="G1834" s="1">
        <v>103</v>
      </c>
      <c r="H1834" s="1" t="str">
        <f t="shared" si="114"/>
        <v>Low</v>
      </c>
      <c r="I1834" s="1" t="str">
        <f t="shared" si="115"/>
        <v>Other</v>
      </c>
      <c r="J1834" s="1">
        <f t="shared" si="116"/>
        <v>311717.67999999993</v>
      </c>
    </row>
    <row r="1835" spans="1:10" ht="12.75">
      <c r="A1835" s="1" t="s">
        <v>10</v>
      </c>
      <c r="B1835" s="1" t="s">
        <v>39</v>
      </c>
      <c r="C1835" s="1" t="s">
        <v>122</v>
      </c>
      <c r="D1835" s="2">
        <v>45009</v>
      </c>
      <c r="E1835" s="1" t="s">
        <v>1632</v>
      </c>
      <c r="F1835" s="5">
        <f t="shared" si="113"/>
        <v>2678.37</v>
      </c>
      <c r="G1835" s="1">
        <v>20</v>
      </c>
      <c r="H1835" s="1" t="str">
        <f t="shared" si="114"/>
        <v>High</v>
      </c>
      <c r="I1835" s="1" t="str">
        <f t="shared" si="115"/>
        <v>Other</v>
      </c>
      <c r="J1835" s="1">
        <f t="shared" si="116"/>
        <v>311717.67999999993</v>
      </c>
    </row>
    <row r="1836" spans="1:10" ht="12.75">
      <c r="A1836" s="1" t="s">
        <v>16</v>
      </c>
      <c r="B1836" s="1" t="s">
        <v>5</v>
      </c>
      <c r="C1836" s="1" t="s">
        <v>126</v>
      </c>
      <c r="D1836" s="2">
        <v>45136</v>
      </c>
      <c r="E1836" s="1" t="s">
        <v>1633</v>
      </c>
      <c r="F1836" s="5">
        <f t="shared" si="113"/>
        <v>2931.1</v>
      </c>
      <c r="G1836" s="1">
        <v>60</v>
      </c>
      <c r="H1836" s="1" t="str">
        <f t="shared" si="114"/>
        <v>High</v>
      </c>
      <c r="I1836" s="1" t="str">
        <f t="shared" si="115"/>
        <v>Other</v>
      </c>
      <c r="J1836" s="1">
        <f t="shared" si="116"/>
        <v>311717.67999999993</v>
      </c>
    </row>
    <row r="1837" spans="1:10" ht="12.75">
      <c r="A1837" s="1" t="s">
        <v>6</v>
      </c>
      <c r="B1837" s="1" t="s">
        <v>59</v>
      </c>
      <c r="C1837" s="1" t="s">
        <v>63</v>
      </c>
      <c r="D1837" s="2">
        <v>45071</v>
      </c>
      <c r="E1837" s="1" t="s">
        <v>1634</v>
      </c>
      <c r="F1837" s="5">
        <f t="shared" si="113"/>
        <v>2316.09</v>
      </c>
      <c r="G1837" s="1">
        <v>90</v>
      </c>
      <c r="H1837" s="1" t="str">
        <f t="shared" si="114"/>
        <v>High</v>
      </c>
      <c r="I1837" s="1" t="str">
        <f t="shared" si="115"/>
        <v>Other</v>
      </c>
      <c r="J1837" s="1">
        <f t="shared" si="116"/>
        <v>311717.67999999993</v>
      </c>
    </row>
    <row r="1838" spans="1:10" ht="12.75">
      <c r="A1838" s="1" t="s">
        <v>20</v>
      </c>
      <c r="B1838" s="1" t="s">
        <v>5</v>
      </c>
      <c r="C1838" s="1" t="s">
        <v>100</v>
      </c>
      <c r="D1838" s="2">
        <v>45015</v>
      </c>
      <c r="E1838" s="1" t="s">
        <v>1635</v>
      </c>
      <c r="F1838" s="5">
        <f t="shared" si="113"/>
        <v>6722.22</v>
      </c>
      <c r="G1838" s="1">
        <v>330</v>
      </c>
      <c r="H1838" s="1" t="str">
        <f t="shared" si="114"/>
        <v>High</v>
      </c>
      <c r="I1838" s="1" t="str">
        <f t="shared" si="115"/>
        <v>Other</v>
      </c>
      <c r="J1838" s="1">
        <f t="shared" si="116"/>
        <v>311717.67999999993</v>
      </c>
    </row>
    <row r="1839" spans="1:10" ht="12.75">
      <c r="A1839" s="1" t="s">
        <v>6</v>
      </c>
      <c r="B1839" s="1" t="s">
        <v>59</v>
      </c>
      <c r="C1839" s="1" t="s">
        <v>68</v>
      </c>
      <c r="D1839" s="2">
        <v>45125</v>
      </c>
      <c r="E1839" s="1" t="s">
        <v>1636</v>
      </c>
      <c r="F1839" s="5">
        <f t="shared" si="113"/>
        <v>14528.51</v>
      </c>
      <c r="G1839" s="1">
        <v>134</v>
      </c>
      <c r="H1839" s="1" t="str">
        <f t="shared" si="114"/>
        <v>High</v>
      </c>
      <c r="I1839" s="1" t="str">
        <f t="shared" si="115"/>
        <v>Other</v>
      </c>
      <c r="J1839" s="1">
        <f t="shared" si="116"/>
        <v>311717.67999999993</v>
      </c>
    </row>
    <row r="1840" spans="1:10" ht="12.75">
      <c r="A1840" s="1" t="s">
        <v>28</v>
      </c>
      <c r="B1840" s="1" t="s">
        <v>62</v>
      </c>
      <c r="C1840" s="1" t="s">
        <v>60</v>
      </c>
      <c r="D1840" s="2">
        <v>45056</v>
      </c>
      <c r="E1840" s="1" t="s">
        <v>1637</v>
      </c>
      <c r="F1840" s="5">
        <f t="shared" si="113"/>
        <v>9390.2800000000007</v>
      </c>
      <c r="G1840" s="1">
        <v>104</v>
      </c>
      <c r="H1840" s="1" t="str">
        <f t="shared" si="114"/>
        <v>High</v>
      </c>
      <c r="I1840" s="1" t="str">
        <f t="shared" si="115"/>
        <v>Other</v>
      </c>
      <c r="J1840" s="1">
        <f t="shared" si="116"/>
        <v>311717.67999999993</v>
      </c>
    </row>
    <row r="1841" spans="1:10" ht="12.75">
      <c r="A1841" s="1" t="s">
        <v>2</v>
      </c>
      <c r="B1841" s="1" t="s">
        <v>5</v>
      </c>
      <c r="C1841" s="1" t="s">
        <v>102</v>
      </c>
      <c r="D1841" s="2">
        <v>45003</v>
      </c>
      <c r="E1841" s="1" t="s">
        <v>1638</v>
      </c>
      <c r="F1841" s="5">
        <f t="shared" si="113"/>
        <v>16230.41</v>
      </c>
      <c r="G1841" s="1">
        <v>94</v>
      </c>
      <c r="H1841" s="1" t="str">
        <f t="shared" si="114"/>
        <v>High</v>
      </c>
      <c r="I1841" s="1" t="str">
        <f t="shared" si="115"/>
        <v>Top Local</v>
      </c>
      <c r="J1841" s="1">
        <f t="shared" si="116"/>
        <v>311717.67999999993</v>
      </c>
    </row>
    <row r="1842" spans="1:10" ht="12.75">
      <c r="A1842" s="1" t="s">
        <v>17</v>
      </c>
      <c r="B1842" s="1" t="s">
        <v>42</v>
      </c>
      <c r="C1842" s="1" t="s">
        <v>126</v>
      </c>
      <c r="D1842" s="2">
        <v>45092</v>
      </c>
      <c r="E1842" s="1" t="s">
        <v>1639</v>
      </c>
      <c r="F1842" s="5">
        <f t="shared" si="113"/>
        <v>7224.39</v>
      </c>
      <c r="G1842" s="1">
        <v>55</v>
      </c>
      <c r="H1842" s="1" t="str">
        <f t="shared" si="114"/>
        <v>High</v>
      </c>
      <c r="I1842" s="1" t="str">
        <f t="shared" si="115"/>
        <v>Other</v>
      </c>
      <c r="J1842" s="1">
        <f t="shared" si="116"/>
        <v>295487.2699999999</v>
      </c>
    </row>
    <row r="1843" spans="1:10" ht="12.75">
      <c r="A1843" s="1" t="s">
        <v>10</v>
      </c>
      <c r="B1843" s="1" t="s">
        <v>62</v>
      </c>
      <c r="C1843" s="1" t="s">
        <v>55</v>
      </c>
      <c r="D1843" s="2">
        <v>45058</v>
      </c>
      <c r="E1843" s="1" t="s">
        <v>1640</v>
      </c>
      <c r="F1843" s="5">
        <f t="shared" si="113"/>
        <v>15567.58</v>
      </c>
      <c r="G1843" s="1">
        <v>57</v>
      </c>
      <c r="H1843" s="1" t="str">
        <f t="shared" si="114"/>
        <v>High</v>
      </c>
      <c r="I1843" s="1" t="str">
        <f t="shared" si="115"/>
        <v>Other</v>
      </c>
      <c r="J1843" s="1">
        <f t="shared" si="116"/>
        <v>295487.2699999999</v>
      </c>
    </row>
    <row r="1844" spans="1:10" ht="12.75">
      <c r="A1844" s="1" t="s">
        <v>12</v>
      </c>
      <c r="B1844" s="1" t="s">
        <v>54</v>
      </c>
      <c r="C1844" s="1" t="s">
        <v>122</v>
      </c>
      <c r="D1844" s="2">
        <v>45100</v>
      </c>
      <c r="E1844" s="1" t="s">
        <v>1641</v>
      </c>
      <c r="F1844" s="5">
        <f t="shared" si="113"/>
        <v>2964.2</v>
      </c>
      <c r="G1844" s="1">
        <v>105</v>
      </c>
      <c r="H1844" s="1" t="str">
        <f t="shared" si="114"/>
        <v>High</v>
      </c>
      <c r="I1844" s="1" t="str">
        <f t="shared" si="115"/>
        <v>Other</v>
      </c>
      <c r="J1844" s="1">
        <f t="shared" si="116"/>
        <v>295487.2699999999</v>
      </c>
    </row>
    <row r="1845" spans="1:10" ht="12.75">
      <c r="A1845" s="1" t="s">
        <v>28</v>
      </c>
      <c r="B1845" s="1" t="s">
        <v>42</v>
      </c>
      <c r="C1845" s="1" t="s">
        <v>76</v>
      </c>
      <c r="D1845" s="2">
        <v>45037</v>
      </c>
      <c r="E1845" s="1" t="s">
        <v>1642</v>
      </c>
      <c r="F1845" s="5">
        <f t="shared" si="113"/>
        <v>3357.08</v>
      </c>
      <c r="G1845" s="1">
        <v>186</v>
      </c>
      <c r="H1845" s="1" t="str">
        <f t="shared" si="114"/>
        <v>High</v>
      </c>
      <c r="I1845" s="1" t="str">
        <f t="shared" si="115"/>
        <v>Other</v>
      </c>
      <c r="J1845" s="1">
        <f t="shared" si="116"/>
        <v>295487.2699999999</v>
      </c>
    </row>
    <row r="1846" spans="1:10" ht="12.75">
      <c r="A1846" s="1" t="s">
        <v>20</v>
      </c>
      <c r="B1846" s="1" t="s">
        <v>5</v>
      </c>
      <c r="C1846" s="1" t="s">
        <v>91</v>
      </c>
      <c r="D1846" s="2">
        <v>45155</v>
      </c>
      <c r="E1846" s="1" t="s">
        <v>1643</v>
      </c>
      <c r="F1846" s="5">
        <f t="shared" si="113"/>
        <v>1010.37</v>
      </c>
      <c r="G1846" s="1">
        <v>127</v>
      </c>
      <c r="H1846" s="1" t="str">
        <f t="shared" si="114"/>
        <v>High</v>
      </c>
      <c r="I1846" s="1" t="str">
        <f t="shared" si="115"/>
        <v>Other</v>
      </c>
      <c r="J1846" s="1">
        <f t="shared" si="116"/>
        <v>295487.2699999999</v>
      </c>
    </row>
    <row r="1847" spans="1:10" ht="12.75">
      <c r="A1847" s="1" t="s">
        <v>19</v>
      </c>
      <c r="B1847" s="1" t="s">
        <v>54</v>
      </c>
      <c r="C1847" s="1" t="s">
        <v>63</v>
      </c>
      <c r="D1847" s="2">
        <v>44964</v>
      </c>
      <c r="E1847" s="1" t="s">
        <v>1644</v>
      </c>
      <c r="F1847" s="5">
        <f t="shared" si="113"/>
        <v>20470.43</v>
      </c>
      <c r="G1847" s="1">
        <v>54</v>
      </c>
      <c r="H1847" s="1" t="str">
        <f t="shared" si="114"/>
        <v>High</v>
      </c>
      <c r="I1847" s="1" t="str">
        <f t="shared" si="115"/>
        <v>Other</v>
      </c>
      <c r="J1847" s="1">
        <f t="shared" si="116"/>
        <v>295487.2699999999</v>
      </c>
    </row>
    <row r="1848" spans="1:10" ht="12.75">
      <c r="A1848" s="1" t="s">
        <v>12</v>
      </c>
      <c r="B1848" s="1" t="s">
        <v>62</v>
      </c>
      <c r="C1848" s="1" t="s">
        <v>49</v>
      </c>
      <c r="D1848" s="2">
        <v>45002</v>
      </c>
      <c r="E1848" s="1" t="s">
        <v>1645</v>
      </c>
      <c r="F1848" s="5">
        <f t="shared" si="113"/>
        <v>8762.75</v>
      </c>
      <c r="G1848" s="1">
        <v>115</v>
      </c>
      <c r="H1848" s="1" t="str">
        <f t="shared" si="114"/>
        <v>High</v>
      </c>
      <c r="I1848" s="1" t="str">
        <f t="shared" si="115"/>
        <v>Other</v>
      </c>
      <c r="J1848" s="1">
        <f t="shared" si="116"/>
        <v>295487.2699999999</v>
      </c>
    </row>
    <row r="1849" spans="1:10" ht="12.75">
      <c r="A1849" s="1" t="s">
        <v>15</v>
      </c>
      <c r="B1849" s="1" t="s">
        <v>42</v>
      </c>
      <c r="C1849" s="1" t="s">
        <v>122</v>
      </c>
      <c r="D1849" s="2">
        <v>45139</v>
      </c>
      <c r="E1849" s="1" t="s">
        <v>1646</v>
      </c>
      <c r="F1849" s="5">
        <f t="shared" si="113"/>
        <v>14613.52</v>
      </c>
      <c r="G1849" s="1">
        <v>85</v>
      </c>
      <c r="H1849" s="1" t="str">
        <f t="shared" si="114"/>
        <v>High</v>
      </c>
      <c r="I1849" s="1" t="str">
        <f t="shared" si="115"/>
        <v>Other</v>
      </c>
      <c r="J1849" s="1">
        <f t="shared" si="116"/>
        <v>295487.2699999999</v>
      </c>
    </row>
    <row r="1850" spans="1:10" ht="12.75">
      <c r="A1850" s="1" t="s">
        <v>11</v>
      </c>
      <c r="B1850" s="1" t="s">
        <v>5</v>
      </c>
      <c r="C1850" s="1" t="s">
        <v>72</v>
      </c>
      <c r="D1850" s="2">
        <v>45003</v>
      </c>
      <c r="E1850" s="1" t="s">
        <v>1647</v>
      </c>
      <c r="F1850" s="5">
        <f t="shared" si="113"/>
        <v>9839.4599999999991</v>
      </c>
      <c r="G1850" s="1">
        <v>31</v>
      </c>
      <c r="H1850" s="1" t="str">
        <f t="shared" si="114"/>
        <v>High</v>
      </c>
      <c r="I1850" s="1" t="str">
        <f t="shared" si="115"/>
        <v>Other</v>
      </c>
      <c r="J1850" s="1">
        <f t="shared" si="116"/>
        <v>295487.2699999999</v>
      </c>
    </row>
    <row r="1851" spans="1:10" ht="12.75">
      <c r="A1851" s="1" t="s">
        <v>20</v>
      </c>
      <c r="B1851" s="1" t="s">
        <v>62</v>
      </c>
      <c r="C1851" s="1" t="s">
        <v>81</v>
      </c>
      <c r="D1851" s="2">
        <v>45091</v>
      </c>
      <c r="E1851" s="1" t="s">
        <v>1648</v>
      </c>
      <c r="F1851" s="5">
        <f t="shared" si="113"/>
        <v>6633.23</v>
      </c>
      <c r="G1851" s="1">
        <v>103</v>
      </c>
      <c r="H1851" s="1" t="str">
        <f t="shared" si="114"/>
        <v>High</v>
      </c>
      <c r="I1851" s="1" t="str">
        <f t="shared" si="115"/>
        <v>Other</v>
      </c>
      <c r="J1851" s="1">
        <f t="shared" si="116"/>
        <v>295487.2699999999</v>
      </c>
    </row>
    <row r="1852" spans="1:10" ht="12.75">
      <c r="A1852" s="1" t="s">
        <v>28</v>
      </c>
      <c r="B1852" s="1" t="s">
        <v>39</v>
      </c>
      <c r="C1852" s="1" t="s">
        <v>63</v>
      </c>
      <c r="D1852" s="2">
        <v>45038</v>
      </c>
      <c r="E1852" s="1" t="s">
        <v>1649</v>
      </c>
      <c r="F1852" s="5">
        <f t="shared" si="113"/>
        <v>9749.07</v>
      </c>
      <c r="G1852" s="1">
        <v>169</v>
      </c>
      <c r="H1852" s="1" t="str">
        <f t="shared" si="114"/>
        <v>High</v>
      </c>
      <c r="I1852" s="1" t="str">
        <f t="shared" si="115"/>
        <v>Other</v>
      </c>
      <c r="J1852" s="1">
        <f t="shared" si="116"/>
        <v>295487.2699999999</v>
      </c>
    </row>
    <row r="1853" spans="1:10" ht="12.75">
      <c r="A1853" s="1" t="s">
        <v>14</v>
      </c>
      <c r="B1853" s="1" t="s">
        <v>54</v>
      </c>
      <c r="C1853" s="1" t="s">
        <v>63</v>
      </c>
      <c r="D1853" s="2">
        <v>44944</v>
      </c>
      <c r="E1853" s="1" t="s">
        <v>1650</v>
      </c>
      <c r="F1853" s="5">
        <f t="shared" si="113"/>
        <v>5254.38</v>
      </c>
      <c r="G1853" s="1">
        <v>31</v>
      </c>
      <c r="H1853" s="1" t="str">
        <f t="shared" si="114"/>
        <v>High</v>
      </c>
      <c r="I1853" s="1" t="str">
        <f t="shared" si="115"/>
        <v>Other</v>
      </c>
      <c r="J1853" s="1">
        <f t="shared" si="116"/>
        <v>295487.2699999999</v>
      </c>
    </row>
    <row r="1854" spans="1:10" ht="12.75">
      <c r="A1854" s="1" t="s">
        <v>13</v>
      </c>
      <c r="B1854" s="1" t="s">
        <v>5</v>
      </c>
      <c r="C1854" s="1" t="s">
        <v>51</v>
      </c>
      <c r="D1854" s="2">
        <v>45164</v>
      </c>
      <c r="E1854" s="1" t="s">
        <v>1651</v>
      </c>
      <c r="F1854" s="5">
        <f t="shared" si="113"/>
        <v>3430.43</v>
      </c>
      <c r="G1854" s="1">
        <v>123</v>
      </c>
      <c r="H1854" s="1" t="str">
        <f t="shared" si="114"/>
        <v>High</v>
      </c>
      <c r="I1854" s="1" t="str">
        <f t="shared" si="115"/>
        <v>Other</v>
      </c>
      <c r="J1854" s="1">
        <f t="shared" si="116"/>
        <v>295487.2699999999</v>
      </c>
    </row>
    <row r="1855" spans="1:10" ht="12.75">
      <c r="A1855" s="1" t="s">
        <v>23</v>
      </c>
      <c r="B1855" s="1" t="s">
        <v>54</v>
      </c>
      <c r="C1855" s="1" t="s">
        <v>81</v>
      </c>
      <c r="D1855" s="2">
        <v>45087</v>
      </c>
      <c r="E1855" s="1" t="s">
        <v>1652</v>
      </c>
      <c r="F1855" s="5">
        <f t="shared" si="113"/>
        <v>10454.549999999999</v>
      </c>
      <c r="G1855" s="1">
        <v>434</v>
      </c>
      <c r="H1855" s="1" t="str">
        <f t="shared" si="114"/>
        <v>High</v>
      </c>
      <c r="I1855" s="1" t="str">
        <f t="shared" si="115"/>
        <v>Other</v>
      </c>
      <c r="J1855" s="1">
        <f t="shared" si="116"/>
        <v>295487.2699999999</v>
      </c>
    </row>
    <row r="1856" spans="1:10" ht="12.75">
      <c r="A1856" s="1" t="s">
        <v>24</v>
      </c>
      <c r="B1856" s="1" t="s">
        <v>62</v>
      </c>
      <c r="C1856" s="1" t="s">
        <v>147</v>
      </c>
      <c r="D1856" s="2">
        <v>44957</v>
      </c>
      <c r="E1856" s="1" t="s">
        <v>1653</v>
      </c>
      <c r="F1856" s="5">
        <f t="shared" si="113"/>
        <v>2413.87</v>
      </c>
      <c r="G1856" s="1">
        <v>7</v>
      </c>
      <c r="H1856" s="1" t="str">
        <f t="shared" si="114"/>
        <v>High</v>
      </c>
      <c r="I1856" s="1" t="str">
        <f t="shared" si="115"/>
        <v>Other</v>
      </c>
      <c r="J1856" s="1">
        <f t="shared" si="116"/>
        <v>295487.2699999999</v>
      </c>
    </row>
    <row r="1857" spans="1:10" ht="12.75">
      <c r="A1857" s="1" t="s">
        <v>12</v>
      </c>
      <c r="B1857" s="1" t="s">
        <v>54</v>
      </c>
      <c r="C1857" s="1" t="s">
        <v>86</v>
      </c>
      <c r="D1857" s="2">
        <v>45024</v>
      </c>
      <c r="E1857" s="1" t="s">
        <v>1654</v>
      </c>
      <c r="F1857" s="5">
        <f t="shared" si="113"/>
        <v>1445.14</v>
      </c>
      <c r="G1857" s="1">
        <v>108</v>
      </c>
      <c r="H1857" s="1" t="str">
        <f t="shared" si="114"/>
        <v>High</v>
      </c>
      <c r="I1857" s="1" t="str">
        <f t="shared" si="115"/>
        <v>Other</v>
      </c>
      <c r="J1857" s="1">
        <f t="shared" si="116"/>
        <v>295487.2699999999</v>
      </c>
    </row>
    <row r="1858" spans="1:10" ht="12.75">
      <c r="A1858" s="1" t="s">
        <v>21</v>
      </c>
      <c r="B1858" s="1" t="s">
        <v>5</v>
      </c>
      <c r="C1858" s="1" t="s">
        <v>122</v>
      </c>
      <c r="D1858" s="2">
        <v>45084</v>
      </c>
      <c r="E1858" s="1" t="s">
        <v>1655</v>
      </c>
      <c r="F1858" s="5">
        <f t="shared" ref="F1858:F1921" si="117">VALUE(SUBSTITUTE(E1858,"$",""))</f>
        <v>4022.64</v>
      </c>
      <c r="G1858" s="1">
        <v>71</v>
      </c>
      <c r="H1858" s="1" t="str">
        <f t="shared" ref="H1858:H1921" si="118">IF(F1858&gt;800,"High",IF(F1858&gt;500,"Medium","Low"))</f>
        <v>High</v>
      </c>
      <c r="I1858" s="1" t="str">
        <f t="shared" ref="I1858:I1921" si="119">IF(AND(B1858="Australia",A1858="Mallorie Waber"),"Top Local","Other")</f>
        <v>Other</v>
      </c>
      <c r="J1858" s="1">
        <f t="shared" ref="J1858:J1921" si="120">SUMIF(A1858:A5138,"Mallorie Waber",F1858:F5138)</f>
        <v>295487.2699999999</v>
      </c>
    </row>
    <row r="1859" spans="1:10" ht="12.75">
      <c r="A1859" s="1" t="s">
        <v>16</v>
      </c>
      <c r="B1859" s="1" t="s">
        <v>5</v>
      </c>
      <c r="C1859" s="1" t="s">
        <v>43</v>
      </c>
      <c r="D1859" s="2">
        <v>44967</v>
      </c>
      <c r="E1859" s="1" t="s">
        <v>1656</v>
      </c>
      <c r="F1859" s="5">
        <f t="shared" si="117"/>
        <v>8651.2000000000007</v>
      </c>
      <c r="G1859" s="1">
        <v>43</v>
      </c>
      <c r="H1859" s="1" t="str">
        <f t="shared" si="118"/>
        <v>High</v>
      </c>
      <c r="I1859" s="1" t="str">
        <f t="shared" si="119"/>
        <v>Other</v>
      </c>
      <c r="J1859" s="1">
        <f t="shared" si="120"/>
        <v>295487.2699999999</v>
      </c>
    </row>
    <row r="1860" spans="1:10" ht="12.75">
      <c r="A1860" s="1" t="s">
        <v>28</v>
      </c>
      <c r="B1860" s="1" t="s">
        <v>5</v>
      </c>
      <c r="C1860" s="1" t="s">
        <v>55</v>
      </c>
      <c r="D1860" s="2">
        <v>45062</v>
      </c>
      <c r="E1860" s="1" t="s">
        <v>1657</v>
      </c>
      <c r="F1860" s="5">
        <f t="shared" si="117"/>
        <v>725.16</v>
      </c>
      <c r="G1860" s="1">
        <v>453</v>
      </c>
      <c r="H1860" s="1" t="str">
        <f t="shared" si="118"/>
        <v>Medium</v>
      </c>
      <c r="I1860" s="1" t="str">
        <f t="shared" si="119"/>
        <v>Other</v>
      </c>
      <c r="J1860" s="1">
        <f t="shared" si="120"/>
        <v>295487.2699999999</v>
      </c>
    </row>
    <row r="1861" spans="1:10" ht="12.75">
      <c r="A1861" s="1" t="s">
        <v>23</v>
      </c>
      <c r="B1861" s="1" t="s">
        <v>42</v>
      </c>
      <c r="C1861" s="1" t="s">
        <v>122</v>
      </c>
      <c r="D1861" s="2">
        <v>45003</v>
      </c>
      <c r="E1861" s="1" t="s">
        <v>1658</v>
      </c>
      <c r="F1861" s="5">
        <f t="shared" si="117"/>
        <v>2385.4</v>
      </c>
      <c r="G1861" s="1">
        <v>540</v>
      </c>
      <c r="H1861" s="1" t="str">
        <f t="shared" si="118"/>
        <v>High</v>
      </c>
      <c r="I1861" s="1" t="str">
        <f t="shared" si="119"/>
        <v>Other</v>
      </c>
      <c r="J1861" s="1">
        <f t="shared" si="120"/>
        <v>295487.2699999999</v>
      </c>
    </row>
    <row r="1862" spans="1:10" ht="12.75">
      <c r="A1862" s="1" t="s">
        <v>10</v>
      </c>
      <c r="B1862" s="1" t="s">
        <v>5</v>
      </c>
      <c r="C1862" s="1" t="s">
        <v>55</v>
      </c>
      <c r="D1862" s="2">
        <v>45120</v>
      </c>
      <c r="E1862" s="1" t="s">
        <v>1659</v>
      </c>
      <c r="F1862" s="5">
        <f t="shared" si="117"/>
        <v>726.04</v>
      </c>
      <c r="G1862" s="1">
        <v>131</v>
      </c>
      <c r="H1862" s="1" t="str">
        <f t="shared" si="118"/>
        <v>Medium</v>
      </c>
      <c r="I1862" s="1" t="str">
        <f t="shared" si="119"/>
        <v>Other</v>
      </c>
      <c r="J1862" s="1">
        <f t="shared" si="120"/>
        <v>295487.2699999999</v>
      </c>
    </row>
    <row r="1863" spans="1:10" ht="12.75">
      <c r="A1863" s="1" t="s">
        <v>22</v>
      </c>
      <c r="B1863" s="1" t="s">
        <v>59</v>
      </c>
      <c r="C1863" s="1" t="s">
        <v>86</v>
      </c>
      <c r="D1863" s="2">
        <v>45132</v>
      </c>
      <c r="E1863" s="1" t="s">
        <v>1660</v>
      </c>
      <c r="F1863" s="5">
        <f t="shared" si="117"/>
        <v>4742.3500000000004</v>
      </c>
      <c r="G1863" s="1">
        <v>83</v>
      </c>
      <c r="H1863" s="1" t="str">
        <f t="shared" si="118"/>
        <v>High</v>
      </c>
      <c r="I1863" s="1" t="str">
        <f t="shared" si="119"/>
        <v>Other</v>
      </c>
      <c r="J1863" s="1">
        <f t="shared" si="120"/>
        <v>295487.2699999999</v>
      </c>
    </row>
    <row r="1864" spans="1:10" ht="12.75">
      <c r="A1864" s="1" t="s">
        <v>10</v>
      </c>
      <c r="B1864" s="1" t="s">
        <v>62</v>
      </c>
      <c r="C1864" s="1" t="s">
        <v>102</v>
      </c>
      <c r="D1864" s="2">
        <v>45157</v>
      </c>
      <c r="E1864" s="1" t="s">
        <v>1661</v>
      </c>
      <c r="F1864" s="5">
        <f t="shared" si="117"/>
        <v>2556.96</v>
      </c>
      <c r="G1864" s="1">
        <v>312</v>
      </c>
      <c r="H1864" s="1" t="str">
        <f t="shared" si="118"/>
        <v>High</v>
      </c>
      <c r="I1864" s="1" t="str">
        <f t="shared" si="119"/>
        <v>Other</v>
      </c>
      <c r="J1864" s="1">
        <f t="shared" si="120"/>
        <v>295487.2699999999</v>
      </c>
    </row>
    <row r="1865" spans="1:10" ht="12.75">
      <c r="A1865" s="1" t="s">
        <v>18</v>
      </c>
      <c r="B1865" s="1" t="s">
        <v>62</v>
      </c>
      <c r="C1865" s="1" t="s">
        <v>147</v>
      </c>
      <c r="D1865" s="2">
        <v>45101</v>
      </c>
      <c r="E1865" s="1" t="s">
        <v>1662</v>
      </c>
      <c r="F1865" s="5">
        <f t="shared" si="117"/>
        <v>8376.69</v>
      </c>
      <c r="G1865" s="1">
        <v>646</v>
      </c>
      <c r="H1865" s="1" t="str">
        <f t="shared" si="118"/>
        <v>High</v>
      </c>
      <c r="I1865" s="1" t="str">
        <f t="shared" si="119"/>
        <v>Other</v>
      </c>
      <c r="J1865" s="1">
        <f t="shared" si="120"/>
        <v>295487.2699999999</v>
      </c>
    </row>
    <row r="1866" spans="1:10" ht="12.75">
      <c r="A1866" s="1" t="s">
        <v>12</v>
      </c>
      <c r="B1866" s="1" t="s">
        <v>62</v>
      </c>
      <c r="C1866" s="1" t="s">
        <v>81</v>
      </c>
      <c r="D1866" s="2">
        <v>45097</v>
      </c>
      <c r="E1866" s="1" t="s">
        <v>1663</v>
      </c>
      <c r="F1866" s="5">
        <f t="shared" si="117"/>
        <v>840.71</v>
      </c>
      <c r="G1866" s="1">
        <v>162</v>
      </c>
      <c r="H1866" s="1" t="str">
        <f t="shared" si="118"/>
        <v>High</v>
      </c>
      <c r="I1866" s="1" t="str">
        <f t="shared" si="119"/>
        <v>Other</v>
      </c>
      <c r="J1866" s="1">
        <f t="shared" si="120"/>
        <v>295487.2699999999</v>
      </c>
    </row>
    <row r="1867" spans="1:10" ht="12.75">
      <c r="A1867" s="1" t="s">
        <v>25</v>
      </c>
      <c r="B1867" s="1" t="s">
        <v>42</v>
      </c>
      <c r="C1867" s="1" t="s">
        <v>51</v>
      </c>
      <c r="D1867" s="2">
        <v>45140</v>
      </c>
      <c r="E1867" s="1" t="s">
        <v>1664</v>
      </c>
      <c r="F1867" s="5">
        <f t="shared" si="117"/>
        <v>207.87</v>
      </c>
      <c r="G1867" s="1">
        <v>216</v>
      </c>
      <c r="H1867" s="1" t="str">
        <f t="shared" si="118"/>
        <v>Low</v>
      </c>
      <c r="I1867" s="1" t="str">
        <f t="shared" si="119"/>
        <v>Other</v>
      </c>
      <c r="J1867" s="1">
        <f t="shared" si="120"/>
        <v>295487.2699999999</v>
      </c>
    </row>
    <row r="1868" spans="1:10" ht="12.75">
      <c r="A1868" s="1" t="s">
        <v>9</v>
      </c>
      <c r="B1868" s="1" t="s">
        <v>54</v>
      </c>
      <c r="C1868" s="1" t="s">
        <v>147</v>
      </c>
      <c r="D1868" s="2">
        <v>44979</v>
      </c>
      <c r="E1868" s="1" t="s">
        <v>1665</v>
      </c>
      <c r="F1868" s="5">
        <f t="shared" si="117"/>
        <v>13370.34</v>
      </c>
      <c r="G1868" s="1">
        <v>94</v>
      </c>
      <c r="H1868" s="1" t="str">
        <f t="shared" si="118"/>
        <v>High</v>
      </c>
      <c r="I1868" s="1" t="str">
        <f t="shared" si="119"/>
        <v>Other</v>
      </c>
      <c r="J1868" s="1">
        <f t="shared" si="120"/>
        <v>295487.2699999999</v>
      </c>
    </row>
    <row r="1869" spans="1:10" ht="12.75">
      <c r="A1869" s="1" t="s">
        <v>2</v>
      </c>
      <c r="B1869" s="1" t="s">
        <v>54</v>
      </c>
      <c r="C1869" s="1" t="s">
        <v>60</v>
      </c>
      <c r="D1869" s="2">
        <v>44958</v>
      </c>
      <c r="E1869" s="1" t="s">
        <v>1666</v>
      </c>
      <c r="F1869" s="5">
        <f t="shared" si="117"/>
        <v>6811.37</v>
      </c>
      <c r="G1869" s="1">
        <v>25</v>
      </c>
      <c r="H1869" s="1" t="str">
        <f t="shared" si="118"/>
        <v>High</v>
      </c>
      <c r="I1869" s="1" t="str">
        <f t="shared" si="119"/>
        <v>Other</v>
      </c>
      <c r="J1869" s="1">
        <f t="shared" si="120"/>
        <v>295487.2699999999</v>
      </c>
    </row>
    <row r="1870" spans="1:10" ht="12.75">
      <c r="A1870" s="1" t="s">
        <v>15</v>
      </c>
      <c r="B1870" s="1" t="s">
        <v>62</v>
      </c>
      <c r="C1870" s="1" t="s">
        <v>147</v>
      </c>
      <c r="D1870" s="2">
        <v>44971</v>
      </c>
      <c r="E1870" s="1" t="s">
        <v>1667</v>
      </c>
      <c r="F1870" s="5">
        <f t="shared" si="117"/>
        <v>6096.52</v>
      </c>
      <c r="G1870" s="1">
        <v>300</v>
      </c>
      <c r="H1870" s="1" t="str">
        <f t="shared" si="118"/>
        <v>High</v>
      </c>
      <c r="I1870" s="1" t="str">
        <f t="shared" si="119"/>
        <v>Other</v>
      </c>
      <c r="J1870" s="1">
        <f t="shared" si="120"/>
        <v>288675.89999999997</v>
      </c>
    </row>
    <row r="1871" spans="1:10" ht="12.75">
      <c r="A1871" s="1" t="s">
        <v>12</v>
      </c>
      <c r="B1871" s="1" t="s">
        <v>5</v>
      </c>
      <c r="C1871" s="1" t="s">
        <v>72</v>
      </c>
      <c r="D1871" s="2">
        <v>44981</v>
      </c>
      <c r="E1871" s="1" t="s">
        <v>1668</v>
      </c>
      <c r="F1871" s="5">
        <f t="shared" si="117"/>
        <v>8684.58</v>
      </c>
      <c r="G1871" s="1">
        <v>120</v>
      </c>
      <c r="H1871" s="1" t="str">
        <f t="shared" si="118"/>
        <v>High</v>
      </c>
      <c r="I1871" s="1" t="str">
        <f t="shared" si="119"/>
        <v>Other</v>
      </c>
      <c r="J1871" s="1">
        <f t="shared" si="120"/>
        <v>288675.89999999997</v>
      </c>
    </row>
    <row r="1872" spans="1:10" ht="12.75">
      <c r="A1872" s="1" t="s">
        <v>6</v>
      </c>
      <c r="B1872" s="1" t="s">
        <v>42</v>
      </c>
      <c r="C1872" s="1" t="s">
        <v>60</v>
      </c>
      <c r="D1872" s="2">
        <v>45003</v>
      </c>
      <c r="E1872" s="1" t="s">
        <v>1669</v>
      </c>
      <c r="F1872" s="5">
        <f t="shared" si="117"/>
        <v>873.26</v>
      </c>
      <c r="G1872" s="1">
        <v>140</v>
      </c>
      <c r="H1872" s="1" t="str">
        <f t="shared" si="118"/>
        <v>High</v>
      </c>
      <c r="I1872" s="1" t="str">
        <f t="shared" si="119"/>
        <v>Other</v>
      </c>
      <c r="J1872" s="1">
        <f t="shared" si="120"/>
        <v>288675.89999999997</v>
      </c>
    </row>
    <row r="1873" spans="1:10" ht="12.75">
      <c r="A1873" s="1" t="s">
        <v>13</v>
      </c>
      <c r="B1873" s="1" t="s">
        <v>39</v>
      </c>
      <c r="C1873" s="1" t="s">
        <v>63</v>
      </c>
      <c r="D1873" s="2">
        <v>45168</v>
      </c>
      <c r="E1873" s="1" t="s">
        <v>1670</v>
      </c>
      <c r="F1873" s="5">
        <f t="shared" si="117"/>
        <v>1912.66</v>
      </c>
      <c r="G1873" s="1">
        <v>253</v>
      </c>
      <c r="H1873" s="1" t="str">
        <f t="shared" si="118"/>
        <v>High</v>
      </c>
      <c r="I1873" s="1" t="str">
        <f t="shared" si="119"/>
        <v>Other</v>
      </c>
      <c r="J1873" s="1">
        <f t="shared" si="120"/>
        <v>288675.89999999997</v>
      </c>
    </row>
    <row r="1874" spans="1:10" ht="12.75">
      <c r="A1874" s="1" t="s">
        <v>20</v>
      </c>
      <c r="B1874" s="1" t="s">
        <v>59</v>
      </c>
      <c r="C1874" s="1" t="s">
        <v>45</v>
      </c>
      <c r="D1874" s="2">
        <v>45055</v>
      </c>
      <c r="E1874" s="1" t="s">
        <v>1671</v>
      </c>
      <c r="F1874" s="5">
        <f t="shared" si="117"/>
        <v>321.61</v>
      </c>
      <c r="G1874" s="1">
        <v>76</v>
      </c>
      <c r="H1874" s="1" t="str">
        <f t="shared" si="118"/>
        <v>Low</v>
      </c>
      <c r="I1874" s="1" t="str">
        <f t="shared" si="119"/>
        <v>Other</v>
      </c>
      <c r="J1874" s="1">
        <f t="shared" si="120"/>
        <v>288675.89999999997</v>
      </c>
    </row>
    <row r="1875" spans="1:10" ht="12.75">
      <c r="A1875" s="1" t="s">
        <v>29</v>
      </c>
      <c r="B1875" s="1" t="s">
        <v>59</v>
      </c>
      <c r="C1875" s="1" t="s">
        <v>49</v>
      </c>
      <c r="D1875" s="2">
        <v>44944</v>
      </c>
      <c r="E1875" s="1" t="s">
        <v>1672</v>
      </c>
      <c r="F1875" s="5">
        <f t="shared" si="117"/>
        <v>511.12</v>
      </c>
      <c r="G1875" s="1">
        <v>96</v>
      </c>
      <c r="H1875" s="1" t="str">
        <f t="shared" si="118"/>
        <v>Medium</v>
      </c>
      <c r="I1875" s="1" t="str">
        <f t="shared" si="119"/>
        <v>Other</v>
      </c>
      <c r="J1875" s="1">
        <f t="shared" si="120"/>
        <v>288675.89999999997</v>
      </c>
    </row>
    <row r="1876" spans="1:10" ht="12.75">
      <c r="A1876" s="1" t="s">
        <v>24</v>
      </c>
      <c r="B1876" s="1" t="s">
        <v>42</v>
      </c>
      <c r="C1876" s="1" t="s">
        <v>84</v>
      </c>
      <c r="D1876" s="2">
        <v>45111</v>
      </c>
      <c r="E1876" s="1" t="s">
        <v>1673</v>
      </c>
      <c r="F1876" s="5">
        <f t="shared" si="117"/>
        <v>7887.15</v>
      </c>
      <c r="G1876" s="1">
        <v>335</v>
      </c>
      <c r="H1876" s="1" t="str">
        <f t="shared" si="118"/>
        <v>High</v>
      </c>
      <c r="I1876" s="1" t="str">
        <f t="shared" si="119"/>
        <v>Other</v>
      </c>
      <c r="J1876" s="1">
        <f t="shared" si="120"/>
        <v>288675.89999999997</v>
      </c>
    </row>
    <row r="1877" spans="1:10" ht="12.75">
      <c r="A1877" s="1" t="s">
        <v>22</v>
      </c>
      <c r="B1877" s="1" t="s">
        <v>54</v>
      </c>
      <c r="C1877" s="1" t="s">
        <v>76</v>
      </c>
      <c r="D1877" s="2">
        <v>45080</v>
      </c>
      <c r="E1877" s="1" t="s">
        <v>1674</v>
      </c>
      <c r="F1877" s="5">
        <f t="shared" si="117"/>
        <v>1793.67</v>
      </c>
      <c r="G1877" s="1">
        <v>13</v>
      </c>
      <c r="H1877" s="1" t="str">
        <f t="shared" si="118"/>
        <v>High</v>
      </c>
      <c r="I1877" s="1" t="str">
        <f t="shared" si="119"/>
        <v>Other</v>
      </c>
      <c r="J1877" s="1">
        <f t="shared" si="120"/>
        <v>288675.89999999997</v>
      </c>
    </row>
    <row r="1878" spans="1:10" ht="12.75">
      <c r="A1878" s="1" t="s">
        <v>28</v>
      </c>
      <c r="B1878" s="1" t="s">
        <v>54</v>
      </c>
      <c r="C1878" s="1" t="s">
        <v>45</v>
      </c>
      <c r="D1878" s="2">
        <v>44980</v>
      </c>
      <c r="E1878" s="1" t="s">
        <v>1675</v>
      </c>
      <c r="F1878" s="5">
        <f t="shared" si="117"/>
        <v>12129.42</v>
      </c>
      <c r="G1878" s="1">
        <v>29</v>
      </c>
      <c r="H1878" s="1" t="str">
        <f t="shared" si="118"/>
        <v>High</v>
      </c>
      <c r="I1878" s="1" t="str">
        <f t="shared" si="119"/>
        <v>Other</v>
      </c>
      <c r="J1878" s="1">
        <f t="shared" si="120"/>
        <v>288675.89999999997</v>
      </c>
    </row>
    <row r="1879" spans="1:10" ht="12.75">
      <c r="A1879" s="1" t="s">
        <v>21</v>
      </c>
      <c r="B1879" s="1" t="s">
        <v>54</v>
      </c>
      <c r="C1879" s="1" t="s">
        <v>51</v>
      </c>
      <c r="D1879" s="2">
        <v>45055</v>
      </c>
      <c r="E1879" s="1" t="s">
        <v>1676</v>
      </c>
      <c r="F1879" s="5">
        <f t="shared" si="117"/>
        <v>11749.75</v>
      </c>
      <c r="G1879" s="1">
        <v>213</v>
      </c>
      <c r="H1879" s="1" t="str">
        <f t="shared" si="118"/>
        <v>High</v>
      </c>
      <c r="I1879" s="1" t="str">
        <f t="shared" si="119"/>
        <v>Other</v>
      </c>
      <c r="J1879" s="1">
        <f t="shared" si="120"/>
        <v>288675.89999999997</v>
      </c>
    </row>
    <row r="1880" spans="1:10" ht="12.75">
      <c r="A1880" s="1" t="s">
        <v>12</v>
      </c>
      <c r="B1880" s="1" t="s">
        <v>42</v>
      </c>
      <c r="C1880" s="1" t="s">
        <v>147</v>
      </c>
      <c r="D1880" s="2">
        <v>45083</v>
      </c>
      <c r="E1880" s="1" t="s">
        <v>1677</v>
      </c>
      <c r="F1880" s="5">
        <f t="shared" si="117"/>
        <v>3967.25</v>
      </c>
      <c r="G1880" s="1">
        <v>101</v>
      </c>
      <c r="H1880" s="1" t="str">
        <f t="shared" si="118"/>
        <v>High</v>
      </c>
      <c r="I1880" s="1" t="str">
        <f t="shared" si="119"/>
        <v>Other</v>
      </c>
      <c r="J1880" s="1">
        <f t="shared" si="120"/>
        <v>288675.89999999997</v>
      </c>
    </row>
    <row r="1881" spans="1:10" ht="12.75">
      <c r="A1881" s="1" t="s">
        <v>12</v>
      </c>
      <c r="B1881" s="1" t="s">
        <v>42</v>
      </c>
      <c r="C1881" s="1" t="s">
        <v>65</v>
      </c>
      <c r="D1881" s="2">
        <v>45111</v>
      </c>
      <c r="E1881" s="1" t="s">
        <v>1678</v>
      </c>
      <c r="F1881" s="5">
        <f t="shared" si="117"/>
        <v>8105.37</v>
      </c>
      <c r="G1881" s="1">
        <v>255</v>
      </c>
      <c r="H1881" s="1" t="str">
        <f t="shared" si="118"/>
        <v>High</v>
      </c>
      <c r="I1881" s="1" t="str">
        <f t="shared" si="119"/>
        <v>Other</v>
      </c>
      <c r="J1881" s="1">
        <f t="shared" si="120"/>
        <v>288675.89999999997</v>
      </c>
    </row>
    <row r="1882" spans="1:10" ht="12.75">
      <c r="A1882" s="1" t="s">
        <v>7</v>
      </c>
      <c r="B1882" s="1" t="s">
        <v>54</v>
      </c>
      <c r="C1882" s="1" t="s">
        <v>65</v>
      </c>
      <c r="D1882" s="2">
        <v>45083</v>
      </c>
      <c r="E1882" s="1" t="s">
        <v>1679</v>
      </c>
      <c r="F1882" s="5">
        <f t="shared" si="117"/>
        <v>1614.17</v>
      </c>
      <c r="G1882" s="1">
        <v>106</v>
      </c>
      <c r="H1882" s="1" t="str">
        <f t="shared" si="118"/>
        <v>High</v>
      </c>
      <c r="I1882" s="1" t="str">
        <f t="shared" si="119"/>
        <v>Other</v>
      </c>
      <c r="J1882" s="1">
        <f t="shared" si="120"/>
        <v>288675.89999999997</v>
      </c>
    </row>
    <row r="1883" spans="1:10" ht="12.75">
      <c r="A1883" s="1" t="s">
        <v>21</v>
      </c>
      <c r="B1883" s="1" t="s">
        <v>5</v>
      </c>
      <c r="C1883" s="1" t="s">
        <v>91</v>
      </c>
      <c r="D1883" s="2">
        <v>45059</v>
      </c>
      <c r="E1883" s="1" t="s">
        <v>1680</v>
      </c>
      <c r="F1883" s="5">
        <f t="shared" si="117"/>
        <v>1613.3</v>
      </c>
      <c r="G1883" s="1">
        <v>91</v>
      </c>
      <c r="H1883" s="1" t="str">
        <f t="shared" si="118"/>
        <v>High</v>
      </c>
      <c r="I1883" s="1" t="str">
        <f t="shared" si="119"/>
        <v>Other</v>
      </c>
      <c r="J1883" s="1">
        <f t="shared" si="120"/>
        <v>288675.89999999997</v>
      </c>
    </row>
    <row r="1884" spans="1:10" ht="12.75">
      <c r="A1884" s="1" t="s">
        <v>29</v>
      </c>
      <c r="B1884" s="1" t="s">
        <v>54</v>
      </c>
      <c r="C1884" s="1" t="s">
        <v>68</v>
      </c>
      <c r="D1884" s="2">
        <v>44957</v>
      </c>
      <c r="E1884" s="1" t="s">
        <v>1681</v>
      </c>
      <c r="F1884" s="5">
        <f t="shared" si="117"/>
        <v>2155.64</v>
      </c>
      <c r="G1884" s="1">
        <v>281</v>
      </c>
      <c r="H1884" s="1" t="str">
        <f t="shared" si="118"/>
        <v>High</v>
      </c>
      <c r="I1884" s="1" t="str">
        <f t="shared" si="119"/>
        <v>Other</v>
      </c>
      <c r="J1884" s="1">
        <f t="shared" si="120"/>
        <v>288675.89999999997</v>
      </c>
    </row>
    <row r="1885" spans="1:10" ht="12.75">
      <c r="A1885" s="1" t="s">
        <v>17</v>
      </c>
      <c r="B1885" s="1" t="s">
        <v>54</v>
      </c>
      <c r="C1885" s="1" t="s">
        <v>126</v>
      </c>
      <c r="D1885" s="2">
        <v>45107</v>
      </c>
      <c r="E1885" s="1" t="s">
        <v>1682</v>
      </c>
      <c r="F1885" s="5">
        <f t="shared" si="117"/>
        <v>8184.37</v>
      </c>
      <c r="G1885" s="1">
        <v>43</v>
      </c>
      <c r="H1885" s="1" t="str">
        <f t="shared" si="118"/>
        <v>High</v>
      </c>
      <c r="I1885" s="1" t="str">
        <f t="shared" si="119"/>
        <v>Other</v>
      </c>
      <c r="J1885" s="1">
        <f t="shared" si="120"/>
        <v>288675.89999999997</v>
      </c>
    </row>
    <row r="1886" spans="1:10" ht="12.75">
      <c r="A1886" s="1" t="s">
        <v>16</v>
      </c>
      <c r="B1886" s="1" t="s">
        <v>62</v>
      </c>
      <c r="C1886" s="1" t="s">
        <v>86</v>
      </c>
      <c r="D1886" s="2">
        <v>45163</v>
      </c>
      <c r="E1886" s="1" t="s">
        <v>1683</v>
      </c>
      <c r="F1886" s="5">
        <f t="shared" si="117"/>
        <v>3613.32</v>
      </c>
      <c r="G1886" s="1">
        <v>251</v>
      </c>
      <c r="H1886" s="1" t="str">
        <f t="shared" si="118"/>
        <v>High</v>
      </c>
      <c r="I1886" s="1" t="str">
        <f t="shared" si="119"/>
        <v>Other</v>
      </c>
      <c r="J1886" s="1">
        <f t="shared" si="120"/>
        <v>288675.89999999997</v>
      </c>
    </row>
    <row r="1887" spans="1:10" ht="12.75">
      <c r="A1887" s="1" t="s">
        <v>20</v>
      </c>
      <c r="B1887" s="1" t="s">
        <v>54</v>
      </c>
      <c r="C1887" s="1" t="s">
        <v>49</v>
      </c>
      <c r="D1887" s="2">
        <v>44936</v>
      </c>
      <c r="E1887" s="1" t="s">
        <v>1684</v>
      </c>
      <c r="F1887" s="5">
        <f t="shared" si="117"/>
        <v>801.09</v>
      </c>
      <c r="G1887" s="1">
        <v>101</v>
      </c>
      <c r="H1887" s="1" t="str">
        <f t="shared" si="118"/>
        <v>High</v>
      </c>
      <c r="I1887" s="1" t="str">
        <f t="shared" si="119"/>
        <v>Other</v>
      </c>
      <c r="J1887" s="1">
        <f t="shared" si="120"/>
        <v>288675.89999999997</v>
      </c>
    </row>
    <row r="1888" spans="1:10" ht="12.75">
      <c r="A1888" s="1" t="s">
        <v>7</v>
      </c>
      <c r="B1888" s="1" t="s">
        <v>59</v>
      </c>
      <c r="C1888" s="1" t="s">
        <v>86</v>
      </c>
      <c r="D1888" s="2">
        <v>45160</v>
      </c>
      <c r="E1888" s="1" t="s">
        <v>1685</v>
      </c>
      <c r="F1888" s="5">
        <f t="shared" si="117"/>
        <v>2069.48</v>
      </c>
      <c r="G1888" s="1">
        <v>8</v>
      </c>
      <c r="H1888" s="1" t="str">
        <f t="shared" si="118"/>
        <v>High</v>
      </c>
      <c r="I1888" s="1" t="str">
        <f t="shared" si="119"/>
        <v>Other</v>
      </c>
      <c r="J1888" s="1">
        <f t="shared" si="120"/>
        <v>288675.89999999997</v>
      </c>
    </row>
    <row r="1889" spans="1:10" ht="12.75">
      <c r="A1889" s="1" t="s">
        <v>26</v>
      </c>
      <c r="B1889" s="1" t="s">
        <v>54</v>
      </c>
      <c r="C1889" s="1" t="s">
        <v>43</v>
      </c>
      <c r="D1889" s="2">
        <v>45030</v>
      </c>
      <c r="E1889" s="1" t="s">
        <v>1686</v>
      </c>
      <c r="F1889" s="5">
        <f t="shared" si="117"/>
        <v>5096.21</v>
      </c>
      <c r="G1889" s="1">
        <v>284</v>
      </c>
      <c r="H1889" s="1" t="str">
        <f t="shared" si="118"/>
        <v>High</v>
      </c>
      <c r="I1889" s="1" t="str">
        <f t="shared" si="119"/>
        <v>Other</v>
      </c>
      <c r="J1889" s="1">
        <f t="shared" si="120"/>
        <v>288675.89999999997</v>
      </c>
    </row>
    <row r="1890" spans="1:10" ht="12.75">
      <c r="A1890" s="1" t="s">
        <v>22</v>
      </c>
      <c r="B1890" s="1" t="s">
        <v>39</v>
      </c>
      <c r="C1890" s="1" t="s">
        <v>49</v>
      </c>
      <c r="D1890" s="2">
        <v>45077</v>
      </c>
      <c r="E1890" s="1" t="s">
        <v>1687</v>
      </c>
      <c r="F1890" s="5">
        <f t="shared" si="117"/>
        <v>10573.5</v>
      </c>
      <c r="G1890" s="1">
        <v>338</v>
      </c>
      <c r="H1890" s="1" t="str">
        <f t="shared" si="118"/>
        <v>High</v>
      </c>
      <c r="I1890" s="1" t="str">
        <f t="shared" si="119"/>
        <v>Other</v>
      </c>
      <c r="J1890" s="1">
        <f t="shared" si="120"/>
        <v>288675.89999999997</v>
      </c>
    </row>
    <row r="1891" spans="1:10" ht="12.75">
      <c r="A1891" s="1" t="s">
        <v>22</v>
      </c>
      <c r="B1891" s="1" t="s">
        <v>39</v>
      </c>
      <c r="C1891" s="1" t="s">
        <v>100</v>
      </c>
      <c r="D1891" s="2">
        <v>45024</v>
      </c>
      <c r="E1891" s="1" t="s">
        <v>1688</v>
      </c>
      <c r="F1891" s="5">
        <f t="shared" si="117"/>
        <v>4611.37</v>
      </c>
      <c r="G1891" s="1">
        <v>322</v>
      </c>
      <c r="H1891" s="1" t="str">
        <f t="shared" si="118"/>
        <v>High</v>
      </c>
      <c r="I1891" s="1" t="str">
        <f t="shared" si="119"/>
        <v>Other</v>
      </c>
      <c r="J1891" s="1">
        <f t="shared" si="120"/>
        <v>288675.89999999997</v>
      </c>
    </row>
    <row r="1892" spans="1:10" ht="12.75">
      <c r="A1892" s="1" t="s">
        <v>26</v>
      </c>
      <c r="B1892" s="1" t="s">
        <v>59</v>
      </c>
      <c r="C1892" s="1" t="s">
        <v>65</v>
      </c>
      <c r="D1892" s="2">
        <v>44978</v>
      </c>
      <c r="E1892" s="1" t="s">
        <v>1689</v>
      </c>
      <c r="F1892" s="5">
        <f t="shared" si="117"/>
        <v>3288.77</v>
      </c>
      <c r="G1892" s="1">
        <v>148</v>
      </c>
      <c r="H1892" s="1" t="str">
        <f t="shared" si="118"/>
        <v>High</v>
      </c>
      <c r="I1892" s="1" t="str">
        <f t="shared" si="119"/>
        <v>Other</v>
      </c>
      <c r="J1892" s="1">
        <f t="shared" si="120"/>
        <v>288675.89999999997</v>
      </c>
    </row>
    <row r="1893" spans="1:10" ht="12.75">
      <c r="A1893" s="1" t="s">
        <v>27</v>
      </c>
      <c r="B1893" s="1" t="s">
        <v>5</v>
      </c>
      <c r="C1893" s="1" t="s">
        <v>86</v>
      </c>
      <c r="D1893" s="2">
        <v>45015</v>
      </c>
      <c r="E1893" s="1" t="s">
        <v>1690</v>
      </c>
      <c r="F1893" s="5">
        <f t="shared" si="117"/>
        <v>10883.13</v>
      </c>
      <c r="G1893" s="1">
        <v>394</v>
      </c>
      <c r="H1893" s="1" t="str">
        <f t="shared" si="118"/>
        <v>High</v>
      </c>
      <c r="I1893" s="1" t="str">
        <f t="shared" si="119"/>
        <v>Other</v>
      </c>
      <c r="J1893" s="1">
        <f t="shared" si="120"/>
        <v>288675.89999999997</v>
      </c>
    </row>
    <row r="1894" spans="1:10" ht="12.75">
      <c r="A1894" s="1" t="s">
        <v>2</v>
      </c>
      <c r="B1894" s="1" t="s">
        <v>42</v>
      </c>
      <c r="C1894" s="1" t="s">
        <v>100</v>
      </c>
      <c r="D1894" s="2">
        <v>44987</v>
      </c>
      <c r="E1894" s="1" t="s">
        <v>1691</v>
      </c>
      <c r="F1894" s="5">
        <f t="shared" si="117"/>
        <v>1516.56</v>
      </c>
      <c r="G1894" s="1">
        <v>2</v>
      </c>
      <c r="H1894" s="1" t="str">
        <f t="shared" si="118"/>
        <v>High</v>
      </c>
      <c r="I1894" s="1" t="str">
        <f t="shared" si="119"/>
        <v>Other</v>
      </c>
      <c r="J1894" s="1">
        <f t="shared" si="120"/>
        <v>288675.89999999997</v>
      </c>
    </row>
    <row r="1895" spans="1:10" ht="12.75">
      <c r="A1895" s="1" t="s">
        <v>11</v>
      </c>
      <c r="B1895" s="1" t="s">
        <v>59</v>
      </c>
      <c r="C1895" s="1" t="s">
        <v>60</v>
      </c>
      <c r="D1895" s="2">
        <v>45135</v>
      </c>
      <c r="E1895" s="1" t="s">
        <v>1692</v>
      </c>
      <c r="F1895" s="5">
        <f t="shared" si="117"/>
        <v>391.33</v>
      </c>
      <c r="G1895" s="1">
        <v>184</v>
      </c>
      <c r="H1895" s="1" t="str">
        <f t="shared" si="118"/>
        <v>Low</v>
      </c>
      <c r="I1895" s="1" t="str">
        <f t="shared" si="119"/>
        <v>Other</v>
      </c>
      <c r="J1895" s="1">
        <f t="shared" si="120"/>
        <v>287159.33999999997</v>
      </c>
    </row>
    <row r="1896" spans="1:10" ht="12.75">
      <c r="A1896" s="1" t="s">
        <v>8</v>
      </c>
      <c r="B1896" s="1" t="s">
        <v>54</v>
      </c>
      <c r="C1896" s="1" t="s">
        <v>147</v>
      </c>
      <c r="D1896" s="2">
        <v>45009</v>
      </c>
      <c r="E1896" s="1" t="s">
        <v>1693</v>
      </c>
      <c r="F1896" s="5">
        <f t="shared" si="117"/>
        <v>7969.08</v>
      </c>
      <c r="G1896" s="1">
        <v>38</v>
      </c>
      <c r="H1896" s="1" t="str">
        <f t="shared" si="118"/>
        <v>High</v>
      </c>
      <c r="I1896" s="1" t="str">
        <f t="shared" si="119"/>
        <v>Other</v>
      </c>
      <c r="J1896" s="1">
        <f t="shared" si="120"/>
        <v>287159.33999999997</v>
      </c>
    </row>
    <row r="1897" spans="1:10" ht="12.75">
      <c r="A1897" s="1" t="s">
        <v>24</v>
      </c>
      <c r="B1897" s="1" t="s">
        <v>5</v>
      </c>
      <c r="C1897" s="1" t="s">
        <v>52</v>
      </c>
      <c r="D1897" s="2">
        <v>45149</v>
      </c>
      <c r="E1897" s="1" t="s">
        <v>1694</v>
      </c>
      <c r="F1897" s="5">
        <f t="shared" si="117"/>
        <v>63.71</v>
      </c>
      <c r="G1897" s="1">
        <v>109</v>
      </c>
      <c r="H1897" s="1" t="str">
        <f t="shared" si="118"/>
        <v>Low</v>
      </c>
      <c r="I1897" s="1" t="str">
        <f t="shared" si="119"/>
        <v>Other</v>
      </c>
      <c r="J1897" s="1">
        <f t="shared" si="120"/>
        <v>287159.33999999997</v>
      </c>
    </row>
    <row r="1898" spans="1:10" ht="12.75">
      <c r="A1898" s="1" t="s">
        <v>13</v>
      </c>
      <c r="B1898" s="1" t="s">
        <v>39</v>
      </c>
      <c r="C1898" s="1" t="s">
        <v>91</v>
      </c>
      <c r="D1898" s="2">
        <v>45063</v>
      </c>
      <c r="E1898" s="1" t="s">
        <v>1695</v>
      </c>
      <c r="F1898" s="5">
        <f t="shared" si="117"/>
        <v>8832.33</v>
      </c>
      <c r="G1898" s="1">
        <v>175</v>
      </c>
      <c r="H1898" s="1" t="str">
        <f t="shared" si="118"/>
        <v>High</v>
      </c>
      <c r="I1898" s="1" t="str">
        <f t="shared" si="119"/>
        <v>Other</v>
      </c>
      <c r="J1898" s="1">
        <f t="shared" si="120"/>
        <v>287159.33999999997</v>
      </c>
    </row>
    <row r="1899" spans="1:10" ht="12.75">
      <c r="A1899" s="1" t="s">
        <v>8</v>
      </c>
      <c r="B1899" s="1" t="s">
        <v>62</v>
      </c>
      <c r="C1899" s="1" t="s">
        <v>102</v>
      </c>
      <c r="D1899" s="2">
        <v>45064</v>
      </c>
      <c r="E1899" s="1" t="s">
        <v>1696</v>
      </c>
      <c r="F1899" s="5">
        <f t="shared" si="117"/>
        <v>3542.19</v>
      </c>
      <c r="G1899" s="1">
        <v>180</v>
      </c>
      <c r="H1899" s="1" t="str">
        <f t="shared" si="118"/>
        <v>High</v>
      </c>
      <c r="I1899" s="1" t="str">
        <f t="shared" si="119"/>
        <v>Other</v>
      </c>
      <c r="J1899" s="1">
        <f t="shared" si="120"/>
        <v>287159.33999999997</v>
      </c>
    </row>
    <row r="1900" spans="1:10" ht="12.75">
      <c r="A1900" s="1" t="s">
        <v>26</v>
      </c>
      <c r="B1900" s="1" t="s">
        <v>39</v>
      </c>
      <c r="C1900" s="1" t="s">
        <v>45</v>
      </c>
      <c r="D1900" s="2">
        <v>45155</v>
      </c>
      <c r="E1900" s="1" t="s">
        <v>1697</v>
      </c>
      <c r="F1900" s="5">
        <f t="shared" si="117"/>
        <v>6052.07</v>
      </c>
      <c r="G1900" s="1">
        <v>173</v>
      </c>
      <c r="H1900" s="1" t="str">
        <f t="shared" si="118"/>
        <v>High</v>
      </c>
      <c r="I1900" s="1" t="str">
        <f t="shared" si="119"/>
        <v>Other</v>
      </c>
      <c r="J1900" s="1">
        <f t="shared" si="120"/>
        <v>287159.33999999997</v>
      </c>
    </row>
    <row r="1901" spans="1:10" ht="12.75">
      <c r="A1901" s="1" t="s">
        <v>17</v>
      </c>
      <c r="B1901" s="1" t="s">
        <v>54</v>
      </c>
      <c r="C1901" s="1" t="s">
        <v>63</v>
      </c>
      <c r="D1901" s="2">
        <v>45020</v>
      </c>
      <c r="E1901" s="1" t="s">
        <v>1698</v>
      </c>
      <c r="F1901" s="5">
        <f t="shared" si="117"/>
        <v>543.20000000000005</v>
      </c>
      <c r="G1901" s="1">
        <v>54</v>
      </c>
      <c r="H1901" s="1" t="str">
        <f t="shared" si="118"/>
        <v>Medium</v>
      </c>
      <c r="I1901" s="1" t="str">
        <f t="shared" si="119"/>
        <v>Other</v>
      </c>
      <c r="J1901" s="1">
        <f t="shared" si="120"/>
        <v>287159.33999999997</v>
      </c>
    </row>
    <row r="1902" spans="1:10" ht="12.75">
      <c r="A1902" s="1" t="s">
        <v>7</v>
      </c>
      <c r="B1902" s="1" t="s">
        <v>42</v>
      </c>
      <c r="C1902" s="1" t="s">
        <v>43</v>
      </c>
      <c r="D1902" s="2">
        <v>45147</v>
      </c>
      <c r="E1902" s="1" t="s">
        <v>1699</v>
      </c>
      <c r="F1902" s="5">
        <f t="shared" si="117"/>
        <v>18894.919999999998</v>
      </c>
      <c r="G1902" s="1">
        <v>201</v>
      </c>
      <c r="H1902" s="1" t="str">
        <f t="shared" si="118"/>
        <v>High</v>
      </c>
      <c r="I1902" s="1" t="str">
        <f t="shared" si="119"/>
        <v>Other</v>
      </c>
      <c r="J1902" s="1">
        <f t="shared" si="120"/>
        <v>287159.33999999997</v>
      </c>
    </row>
    <row r="1903" spans="1:10" ht="12.75">
      <c r="A1903" s="1" t="s">
        <v>7</v>
      </c>
      <c r="B1903" s="1" t="s">
        <v>54</v>
      </c>
      <c r="C1903" s="1" t="s">
        <v>68</v>
      </c>
      <c r="D1903" s="2">
        <v>44943</v>
      </c>
      <c r="E1903" s="1" t="s">
        <v>1700</v>
      </c>
      <c r="F1903" s="5">
        <f t="shared" si="117"/>
        <v>689.4</v>
      </c>
      <c r="G1903" s="1">
        <v>331</v>
      </c>
      <c r="H1903" s="1" t="str">
        <f t="shared" si="118"/>
        <v>Medium</v>
      </c>
      <c r="I1903" s="1" t="str">
        <f t="shared" si="119"/>
        <v>Other</v>
      </c>
      <c r="J1903" s="1">
        <f t="shared" si="120"/>
        <v>287159.33999999997</v>
      </c>
    </row>
    <row r="1904" spans="1:10" ht="12.75">
      <c r="A1904" s="1" t="s">
        <v>27</v>
      </c>
      <c r="B1904" s="1" t="s">
        <v>62</v>
      </c>
      <c r="C1904" s="1" t="s">
        <v>84</v>
      </c>
      <c r="D1904" s="2">
        <v>44971</v>
      </c>
      <c r="E1904" s="1" t="s">
        <v>1701</v>
      </c>
      <c r="F1904" s="5">
        <f t="shared" si="117"/>
        <v>4435.95</v>
      </c>
      <c r="G1904" s="1">
        <v>31</v>
      </c>
      <c r="H1904" s="1" t="str">
        <f t="shared" si="118"/>
        <v>High</v>
      </c>
      <c r="I1904" s="1" t="str">
        <f t="shared" si="119"/>
        <v>Other</v>
      </c>
      <c r="J1904" s="1">
        <f t="shared" si="120"/>
        <v>287159.33999999997</v>
      </c>
    </row>
    <row r="1905" spans="1:10" ht="12.75">
      <c r="A1905" s="1" t="s">
        <v>20</v>
      </c>
      <c r="B1905" s="1" t="s">
        <v>54</v>
      </c>
      <c r="C1905" s="1" t="s">
        <v>60</v>
      </c>
      <c r="D1905" s="2">
        <v>45062</v>
      </c>
      <c r="E1905" s="1" t="s">
        <v>1702</v>
      </c>
      <c r="F1905" s="5">
        <f t="shared" si="117"/>
        <v>9111.34</v>
      </c>
      <c r="G1905" s="1">
        <v>324</v>
      </c>
      <c r="H1905" s="1" t="str">
        <f t="shared" si="118"/>
        <v>High</v>
      </c>
      <c r="I1905" s="1" t="str">
        <f t="shared" si="119"/>
        <v>Other</v>
      </c>
      <c r="J1905" s="1">
        <f t="shared" si="120"/>
        <v>287159.33999999997</v>
      </c>
    </row>
    <row r="1906" spans="1:10" ht="12.75">
      <c r="A1906" s="1" t="s">
        <v>17</v>
      </c>
      <c r="B1906" s="1" t="s">
        <v>62</v>
      </c>
      <c r="C1906" s="1" t="s">
        <v>49</v>
      </c>
      <c r="D1906" s="2">
        <v>45001</v>
      </c>
      <c r="E1906" s="1" t="s">
        <v>1703</v>
      </c>
      <c r="F1906" s="5">
        <f t="shared" si="117"/>
        <v>10369.709999999999</v>
      </c>
      <c r="G1906" s="1">
        <v>129</v>
      </c>
      <c r="H1906" s="1" t="str">
        <f t="shared" si="118"/>
        <v>High</v>
      </c>
      <c r="I1906" s="1" t="str">
        <f t="shared" si="119"/>
        <v>Other</v>
      </c>
      <c r="J1906" s="1">
        <f t="shared" si="120"/>
        <v>287159.33999999997</v>
      </c>
    </row>
    <row r="1907" spans="1:10" ht="12.75">
      <c r="A1907" s="1" t="s">
        <v>13</v>
      </c>
      <c r="B1907" s="1" t="s">
        <v>62</v>
      </c>
      <c r="C1907" s="1" t="s">
        <v>147</v>
      </c>
      <c r="D1907" s="2">
        <v>44957</v>
      </c>
      <c r="E1907" s="1" t="s">
        <v>1704</v>
      </c>
      <c r="F1907" s="5">
        <f t="shared" si="117"/>
        <v>5833.2</v>
      </c>
      <c r="G1907" s="1">
        <v>290</v>
      </c>
      <c r="H1907" s="1" t="str">
        <f t="shared" si="118"/>
        <v>High</v>
      </c>
      <c r="I1907" s="1" t="str">
        <f t="shared" si="119"/>
        <v>Other</v>
      </c>
      <c r="J1907" s="1">
        <f t="shared" si="120"/>
        <v>287159.33999999997</v>
      </c>
    </row>
    <row r="1908" spans="1:10" ht="12.75">
      <c r="A1908" s="1" t="s">
        <v>16</v>
      </c>
      <c r="B1908" s="1" t="s">
        <v>62</v>
      </c>
      <c r="C1908" s="1" t="s">
        <v>68</v>
      </c>
      <c r="D1908" s="2">
        <v>44995</v>
      </c>
      <c r="E1908" s="1" t="s">
        <v>1705</v>
      </c>
      <c r="F1908" s="5">
        <f t="shared" si="117"/>
        <v>1229.96</v>
      </c>
      <c r="G1908" s="1">
        <v>219</v>
      </c>
      <c r="H1908" s="1" t="str">
        <f t="shared" si="118"/>
        <v>High</v>
      </c>
      <c r="I1908" s="1" t="str">
        <f t="shared" si="119"/>
        <v>Other</v>
      </c>
      <c r="J1908" s="1">
        <f t="shared" si="120"/>
        <v>287159.33999999997</v>
      </c>
    </row>
    <row r="1909" spans="1:10" ht="12.75">
      <c r="A1909" s="1" t="s">
        <v>22</v>
      </c>
      <c r="B1909" s="1" t="s">
        <v>39</v>
      </c>
      <c r="C1909" s="1" t="s">
        <v>68</v>
      </c>
      <c r="D1909" s="2">
        <v>45107</v>
      </c>
      <c r="E1909" s="1" t="s">
        <v>1706</v>
      </c>
      <c r="F1909" s="5">
        <f t="shared" si="117"/>
        <v>8839.7199999999993</v>
      </c>
      <c r="G1909" s="1">
        <v>170</v>
      </c>
      <c r="H1909" s="1" t="str">
        <f t="shared" si="118"/>
        <v>High</v>
      </c>
      <c r="I1909" s="1" t="str">
        <f t="shared" si="119"/>
        <v>Other</v>
      </c>
      <c r="J1909" s="1">
        <f t="shared" si="120"/>
        <v>287159.33999999997</v>
      </c>
    </row>
    <row r="1910" spans="1:10" ht="12.75">
      <c r="A1910" s="1" t="s">
        <v>10</v>
      </c>
      <c r="B1910" s="1" t="s">
        <v>54</v>
      </c>
      <c r="C1910" s="1" t="s">
        <v>63</v>
      </c>
      <c r="D1910" s="2">
        <v>44986</v>
      </c>
      <c r="E1910" s="1" t="s">
        <v>1707</v>
      </c>
      <c r="F1910" s="5">
        <f t="shared" si="117"/>
        <v>5747.66</v>
      </c>
      <c r="G1910" s="1">
        <v>176</v>
      </c>
      <c r="H1910" s="1" t="str">
        <f t="shared" si="118"/>
        <v>High</v>
      </c>
      <c r="I1910" s="1" t="str">
        <f t="shared" si="119"/>
        <v>Other</v>
      </c>
      <c r="J1910" s="1">
        <f t="shared" si="120"/>
        <v>287159.33999999997</v>
      </c>
    </row>
    <row r="1911" spans="1:10" ht="12.75">
      <c r="A1911" s="1" t="s">
        <v>2</v>
      </c>
      <c r="B1911" s="1" t="s">
        <v>39</v>
      </c>
      <c r="C1911" s="1" t="s">
        <v>65</v>
      </c>
      <c r="D1911" s="2">
        <v>45073</v>
      </c>
      <c r="E1911" s="1" t="s">
        <v>1708</v>
      </c>
      <c r="F1911" s="5">
        <f t="shared" si="117"/>
        <v>3666.04</v>
      </c>
      <c r="G1911" s="1">
        <v>107</v>
      </c>
      <c r="H1911" s="1" t="str">
        <f t="shared" si="118"/>
        <v>High</v>
      </c>
      <c r="I1911" s="1" t="str">
        <f t="shared" si="119"/>
        <v>Other</v>
      </c>
      <c r="J1911" s="1">
        <f t="shared" si="120"/>
        <v>287159.33999999997</v>
      </c>
    </row>
    <row r="1912" spans="1:10" ht="12.75">
      <c r="A1912" s="1" t="s">
        <v>22</v>
      </c>
      <c r="B1912" s="1" t="s">
        <v>39</v>
      </c>
      <c r="C1912" s="1" t="s">
        <v>72</v>
      </c>
      <c r="D1912" s="2">
        <v>45118</v>
      </c>
      <c r="E1912" s="1" t="s">
        <v>1709</v>
      </c>
      <c r="F1912" s="5">
        <f t="shared" si="117"/>
        <v>6853.82</v>
      </c>
      <c r="G1912" s="1">
        <v>220</v>
      </c>
      <c r="H1912" s="1" t="str">
        <f t="shared" si="118"/>
        <v>High</v>
      </c>
      <c r="I1912" s="1" t="str">
        <f t="shared" si="119"/>
        <v>Other</v>
      </c>
      <c r="J1912" s="1">
        <f t="shared" si="120"/>
        <v>283493.3</v>
      </c>
    </row>
    <row r="1913" spans="1:10" ht="12.75">
      <c r="A1913" s="1" t="s">
        <v>18</v>
      </c>
      <c r="B1913" s="1" t="s">
        <v>54</v>
      </c>
      <c r="C1913" s="1" t="s">
        <v>40</v>
      </c>
      <c r="D1913" s="2">
        <v>44987</v>
      </c>
      <c r="E1913" s="1" t="s">
        <v>1710</v>
      </c>
      <c r="F1913" s="5">
        <f t="shared" si="117"/>
        <v>4361.01</v>
      </c>
      <c r="G1913" s="1">
        <v>59</v>
      </c>
      <c r="H1913" s="1" t="str">
        <f t="shared" si="118"/>
        <v>High</v>
      </c>
      <c r="I1913" s="1" t="str">
        <f t="shared" si="119"/>
        <v>Other</v>
      </c>
      <c r="J1913" s="1">
        <f t="shared" si="120"/>
        <v>283493.3</v>
      </c>
    </row>
    <row r="1914" spans="1:10" ht="12.75">
      <c r="A1914" s="1" t="s">
        <v>11</v>
      </c>
      <c r="B1914" s="1" t="s">
        <v>59</v>
      </c>
      <c r="C1914" s="1" t="s">
        <v>100</v>
      </c>
      <c r="D1914" s="2">
        <v>44989</v>
      </c>
      <c r="E1914" s="1" t="s">
        <v>1711</v>
      </c>
      <c r="F1914" s="5">
        <f t="shared" si="117"/>
        <v>7686.15</v>
      </c>
      <c r="G1914" s="1">
        <v>141</v>
      </c>
      <c r="H1914" s="1" t="str">
        <f t="shared" si="118"/>
        <v>High</v>
      </c>
      <c r="I1914" s="1" t="str">
        <f t="shared" si="119"/>
        <v>Other</v>
      </c>
      <c r="J1914" s="1">
        <f t="shared" si="120"/>
        <v>283493.3</v>
      </c>
    </row>
    <row r="1915" spans="1:10" ht="12.75">
      <c r="A1915" s="1" t="s">
        <v>12</v>
      </c>
      <c r="B1915" s="1" t="s">
        <v>39</v>
      </c>
      <c r="C1915" s="1" t="s">
        <v>43</v>
      </c>
      <c r="D1915" s="2">
        <v>45100</v>
      </c>
      <c r="E1915" s="1" t="s">
        <v>1712</v>
      </c>
      <c r="F1915" s="5">
        <f t="shared" si="117"/>
        <v>4188.43</v>
      </c>
      <c r="G1915" s="1">
        <v>235</v>
      </c>
      <c r="H1915" s="1" t="str">
        <f t="shared" si="118"/>
        <v>High</v>
      </c>
      <c r="I1915" s="1" t="str">
        <f t="shared" si="119"/>
        <v>Other</v>
      </c>
      <c r="J1915" s="1">
        <f t="shared" si="120"/>
        <v>283493.3</v>
      </c>
    </row>
    <row r="1916" spans="1:10" ht="12.75">
      <c r="A1916" s="1" t="s">
        <v>12</v>
      </c>
      <c r="B1916" s="1" t="s">
        <v>59</v>
      </c>
      <c r="C1916" s="1" t="s">
        <v>91</v>
      </c>
      <c r="D1916" s="2">
        <v>44953</v>
      </c>
      <c r="E1916" s="1" t="s">
        <v>1713</v>
      </c>
      <c r="F1916" s="5">
        <f t="shared" si="117"/>
        <v>5425.24</v>
      </c>
      <c r="G1916" s="1">
        <v>234</v>
      </c>
      <c r="H1916" s="1" t="str">
        <f t="shared" si="118"/>
        <v>High</v>
      </c>
      <c r="I1916" s="1" t="str">
        <f t="shared" si="119"/>
        <v>Other</v>
      </c>
      <c r="J1916" s="1">
        <f t="shared" si="120"/>
        <v>283493.3</v>
      </c>
    </row>
    <row r="1917" spans="1:10" ht="12.75">
      <c r="A1917" s="1" t="s">
        <v>14</v>
      </c>
      <c r="B1917" s="1" t="s">
        <v>62</v>
      </c>
      <c r="C1917" s="1" t="s">
        <v>60</v>
      </c>
      <c r="D1917" s="2">
        <v>44940</v>
      </c>
      <c r="E1917" s="1" t="s">
        <v>1714</v>
      </c>
      <c r="F1917" s="5">
        <f t="shared" si="117"/>
        <v>2896.97</v>
      </c>
      <c r="G1917" s="1">
        <v>456</v>
      </c>
      <c r="H1917" s="1" t="str">
        <f t="shared" si="118"/>
        <v>High</v>
      </c>
      <c r="I1917" s="1" t="str">
        <f t="shared" si="119"/>
        <v>Other</v>
      </c>
      <c r="J1917" s="1">
        <f t="shared" si="120"/>
        <v>283493.3</v>
      </c>
    </row>
    <row r="1918" spans="1:10" ht="12.75">
      <c r="A1918" s="1" t="s">
        <v>6</v>
      </c>
      <c r="B1918" s="1" t="s">
        <v>42</v>
      </c>
      <c r="C1918" s="1" t="s">
        <v>81</v>
      </c>
      <c r="D1918" s="2">
        <v>45136</v>
      </c>
      <c r="E1918" s="1" t="s">
        <v>1715</v>
      </c>
      <c r="F1918" s="5">
        <f t="shared" si="117"/>
        <v>1071.31</v>
      </c>
      <c r="G1918" s="1">
        <v>23</v>
      </c>
      <c r="H1918" s="1" t="str">
        <f t="shared" si="118"/>
        <v>High</v>
      </c>
      <c r="I1918" s="1" t="str">
        <f t="shared" si="119"/>
        <v>Other</v>
      </c>
      <c r="J1918" s="1">
        <f t="shared" si="120"/>
        <v>283493.3</v>
      </c>
    </row>
    <row r="1919" spans="1:10" ht="12.75">
      <c r="A1919" s="1" t="s">
        <v>7</v>
      </c>
      <c r="B1919" s="1" t="s">
        <v>62</v>
      </c>
      <c r="C1919" s="1" t="s">
        <v>49</v>
      </c>
      <c r="D1919" s="2">
        <v>45059</v>
      </c>
      <c r="E1919" s="1" t="s">
        <v>1716</v>
      </c>
      <c r="F1919" s="5">
        <f t="shared" si="117"/>
        <v>6417.05</v>
      </c>
      <c r="G1919" s="1">
        <v>497</v>
      </c>
      <c r="H1919" s="1" t="str">
        <f t="shared" si="118"/>
        <v>High</v>
      </c>
      <c r="I1919" s="1" t="str">
        <f t="shared" si="119"/>
        <v>Other</v>
      </c>
      <c r="J1919" s="1">
        <f t="shared" si="120"/>
        <v>283493.3</v>
      </c>
    </row>
    <row r="1920" spans="1:10" ht="12.75">
      <c r="A1920" s="1" t="s">
        <v>16</v>
      </c>
      <c r="B1920" s="1" t="s">
        <v>62</v>
      </c>
      <c r="C1920" s="1" t="s">
        <v>122</v>
      </c>
      <c r="D1920" s="2">
        <v>44960</v>
      </c>
      <c r="E1920" s="1" t="s">
        <v>1717</v>
      </c>
      <c r="F1920" s="5">
        <f t="shared" si="117"/>
        <v>10967.31</v>
      </c>
      <c r="G1920" s="1">
        <v>172</v>
      </c>
      <c r="H1920" s="1" t="str">
        <f t="shared" si="118"/>
        <v>High</v>
      </c>
      <c r="I1920" s="1" t="str">
        <f t="shared" si="119"/>
        <v>Other</v>
      </c>
      <c r="J1920" s="1">
        <f t="shared" si="120"/>
        <v>283493.3</v>
      </c>
    </row>
    <row r="1921" spans="1:10" ht="12.75">
      <c r="A1921" s="1" t="s">
        <v>7</v>
      </c>
      <c r="B1921" s="1" t="s">
        <v>42</v>
      </c>
      <c r="C1921" s="1" t="s">
        <v>49</v>
      </c>
      <c r="D1921" s="2">
        <v>45073</v>
      </c>
      <c r="E1921" s="1" t="s">
        <v>1718</v>
      </c>
      <c r="F1921" s="5">
        <f t="shared" si="117"/>
        <v>6345.02</v>
      </c>
      <c r="G1921" s="1">
        <v>28</v>
      </c>
      <c r="H1921" s="1" t="str">
        <f t="shared" si="118"/>
        <v>High</v>
      </c>
      <c r="I1921" s="1" t="str">
        <f t="shared" si="119"/>
        <v>Other</v>
      </c>
      <c r="J1921" s="1">
        <f t="shared" si="120"/>
        <v>283493.3</v>
      </c>
    </row>
    <row r="1922" spans="1:10" ht="12.75">
      <c r="A1922" s="1" t="s">
        <v>15</v>
      </c>
      <c r="B1922" s="1" t="s">
        <v>5</v>
      </c>
      <c r="C1922" s="1" t="s">
        <v>65</v>
      </c>
      <c r="D1922" s="2">
        <v>44975</v>
      </c>
      <c r="E1922" s="1" t="s">
        <v>1719</v>
      </c>
      <c r="F1922" s="5">
        <f t="shared" ref="F1922:F1985" si="121">VALUE(SUBSTITUTE(E1922,"$",""))</f>
        <v>2824.71</v>
      </c>
      <c r="G1922" s="1">
        <v>25</v>
      </c>
      <c r="H1922" s="1" t="str">
        <f t="shared" ref="H1922:H1985" si="122">IF(F1922&gt;800,"High",IF(F1922&gt;500,"Medium","Low"))</f>
        <v>High</v>
      </c>
      <c r="I1922" s="1" t="str">
        <f t="shared" ref="I1922:I1985" si="123">IF(AND(B1922="Australia",A1922="Mallorie Waber"),"Top Local","Other")</f>
        <v>Other</v>
      </c>
      <c r="J1922" s="1">
        <f t="shared" ref="J1922:J1985" si="124">SUMIF(A1922:A5202,"Mallorie Waber",F1922:F5202)</f>
        <v>283493.3</v>
      </c>
    </row>
    <row r="1923" spans="1:10" ht="12.75">
      <c r="A1923" s="1" t="s">
        <v>7</v>
      </c>
      <c r="B1923" s="1" t="s">
        <v>42</v>
      </c>
      <c r="C1923" s="1" t="s">
        <v>76</v>
      </c>
      <c r="D1923" s="2">
        <v>44954</v>
      </c>
      <c r="E1923" s="1" t="s">
        <v>1720</v>
      </c>
      <c r="F1923" s="5">
        <f t="shared" si="121"/>
        <v>1463.67</v>
      </c>
      <c r="G1923" s="1">
        <v>34</v>
      </c>
      <c r="H1923" s="1" t="str">
        <f t="shared" si="122"/>
        <v>High</v>
      </c>
      <c r="I1923" s="1" t="str">
        <f t="shared" si="123"/>
        <v>Other</v>
      </c>
      <c r="J1923" s="1">
        <f t="shared" si="124"/>
        <v>283493.3</v>
      </c>
    </row>
    <row r="1924" spans="1:10" ht="12.75">
      <c r="A1924" s="1" t="s">
        <v>10</v>
      </c>
      <c r="B1924" s="1" t="s">
        <v>39</v>
      </c>
      <c r="C1924" s="1" t="s">
        <v>63</v>
      </c>
      <c r="D1924" s="2">
        <v>45106</v>
      </c>
      <c r="E1924" s="1" t="s">
        <v>1721</v>
      </c>
      <c r="F1924" s="5">
        <f t="shared" si="121"/>
        <v>5856.52</v>
      </c>
      <c r="G1924" s="1">
        <v>115</v>
      </c>
      <c r="H1924" s="1" t="str">
        <f t="shared" si="122"/>
        <v>High</v>
      </c>
      <c r="I1924" s="1" t="str">
        <f t="shared" si="123"/>
        <v>Other</v>
      </c>
      <c r="J1924" s="1">
        <f t="shared" si="124"/>
        <v>283493.3</v>
      </c>
    </row>
    <row r="1925" spans="1:10" ht="12.75">
      <c r="A1925" s="1" t="s">
        <v>29</v>
      </c>
      <c r="B1925" s="1" t="s">
        <v>42</v>
      </c>
      <c r="C1925" s="1" t="s">
        <v>126</v>
      </c>
      <c r="D1925" s="2">
        <v>44939</v>
      </c>
      <c r="E1925" s="1" t="s">
        <v>1722</v>
      </c>
      <c r="F1925" s="5">
        <f t="shared" si="121"/>
        <v>4303.8599999999997</v>
      </c>
      <c r="G1925" s="1">
        <v>282</v>
      </c>
      <c r="H1925" s="1" t="str">
        <f t="shared" si="122"/>
        <v>High</v>
      </c>
      <c r="I1925" s="1" t="str">
        <f t="shared" si="123"/>
        <v>Other</v>
      </c>
      <c r="J1925" s="1">
        <f t="shared" si="124"/>
        <v>283493.3</v>
      </c>
    </row>
    <row r="1926" spans="1:10" ht="12.75">
      <c r="A1926" s="1" t="s">
        <v>11</v>
      </c>
      <c r="B1926" s="1" t="s">
        <v>39</v>
      </c>
      <c r="C1926" s="1" t="s">
        <v>52</v>
      </c>
      <c r="D1926" s="2">
        <v>45104</v>
      </c>
      <c r="E1926" s="1" t="s">
        <v>1723</v>
      </c>
      <c r="F1926" s="5">
        <f t="shared" si="121"/>
        <v>2047.77</v>
      </c>
      <c r="G1926" s="1">
        <v>169</v>
      </c>
      <c r="H1926" s="1" t="str">
        <f t="shared" si="122"/>
        <v>High</v>
      </c>
      <c r="I1926" s="1" t="str">
        <f t="shared" si="123"/>
        <v>Other</v>
      </c>
      <c r="J1926" s="1">
        <f t="shared" si="124"/>
        <v>283493.3</v>
      </c>
    </row>
    <row r="1927" spans="1:10" ht="12.75">
      <c r="A1927" s="1" t="s">
        <v>16</v>
      </c>
      <c r="B1927" s="1" t="s">
        <v>62</v>
      </c>
      <c r="C1927" s="1" t="s">
        <v>84</v>
      </c>
      <c r="D1927" s="2">
        <v>45014</v>
      </c>
      <c r="E1927" s="1" t="s">
        <v>1724</v>
      </c>
      <c r="F1927" s="5">
        <f t="shared" si="121"/>
        <v>4692.3599999999997</v>
      </c>
      <c r="G1927" s="1">
        <v>1</v>
      </c>
      <c r="H1927" s="1" t="str">
        <f t="shared" si="122"/>
        <v>High</v>
      </c>
      <c r="I1927" s="1" t="str">
        <f t="shared" si="123"/>
        <v>Other</v>
      </c>
      <c r="J1927" s="1">
        <f t="shared" si="124"/>
        <v>283493.3</v>
      </c>
    </row>
    <row r="1928" spans="1:10" ht="12.75">
      <c r="A1928" s="1" t="s">
        <v>23</v>
      </c>
      <c r="B1928" s="1" t="s">
        <v>42</v>
      </c>
      <c r="C1928" s="1" t="s">
        <v>68</v>
      </c>
      <c r="D1928" s="2">
        <v>45080</v>
      </c>
      <c r="E1928" s="1" t="s">
        <v>1725</v>
      </c>
      <c r="F1928" s="5">
        <f t="shared" si="121"/>
        <v>7302.42</v>
      </c>
      <c r="G1928" s="1">
        <v>153</v>
      </c>
      <c r="H1928" s="1" t="str">
        <f t="shared" si="122"/>
        <v>High</v>
      </c>
      <c r="I1928" s="1" t="str">
        <f t="shared" si="123"/>
        <v>Other</v>
      </c>
      <c r="J1928" s="1">
        <f t="shared" si="124"/>
        <v>283493.3</v>
      </c>
    </row>
    <row r="1929" spans="1:10" ht="12.75">
      <c r="A1929" s="1" t="s">
        <v>2</v>
      </c>
      <c r="B1929" s="1" t="s">
        <v>62</v>
      </c>
      <c r="C1929" s="1" t="s">
        <v>49</v>
      </c>
      <c r="D1929" s="2">
        <v>45006</v>
      </c>
      <c r="E1929" s="1" t="s">
        <v>1726</v>
      </c>
      <c r="F1929" s="5">
        <f t="shared" si="121"/>
        <v>2056.92</v>
      </c>
      <c r="G1929" s="1">
        <v>103</v>
      </c>
      <c r="H1929" s="1" t="str">
        <f t="shared" si="122"/>
        <v>High</v>
      </c>
      <c r="I1929" s="1" t="str">
        <f t="shared" si="123"/>
        <v>Other</v>
      </c>
      <c r="J1929" s="1">
        <f t="shared" si="124"/>
        <v>283493.3</v>
      </c>
    </row>
    <row r="1930" spans="1:10" ht="12.75">
      <c r="A1930" s="1" t="s">
        <v>2</v>
      </c>
      <c r="B1930" s="1" t="s">
        <v>42</v>
      </c>
      <c r="C1930" s="1" t="s">
        <v>63</v>
      </c>
      <c r="D1930" s="2">
        <v>45028</v>
      </c>
      <c r="E1930" s="1" t="s">
        <v>1727</v>
      </c>
      <c r="F1930" s="5">
        <f t="shared" si="121"/>
        <v>11032.79</v>
      </c>
      <c r="G1930" s="1">
        <v>49</v>
      </c>
      <c r="H1930" s="1" t="str">
        <f t="shared" si="122"/>
        <v>High</v>
      </c>
      <c r="I1930" s="1" t="str">
        <f t="shared" si="123"/>
        <v>Other</v>
      </c>
      <c r="J1930" s="1">
        <f t="shared" si="124"/>
        <v>281436.37999999995</v>
      </c>
    </row>
    <row r="1931" spans="1:10" ht="12.75">
      <c r="A1931" s="1" t="s">
        <v>19</v>
      </c>
      <c r="B1931" s="1" t="s">
        <v>5</v>
      </c>
      <c r="C1931" s="1" t="s">
        <v>100</v>
      </c>
      <c r="D1931" s="2">
        <v>44945</v>
      </c>
      <c r="E1931" s="1" t="s">
        <v>1728</v>
      </c>
      <c r="F1931" s="5">
        <f t="shared" si="121"/>
        <v>7773.64</v>
      </c>
      <c r="G1931" s="1">
        <v>247</v>
      </c>
      <c r="H1931" s="1" t="str">
        <f t="shared" si="122"/>
        <v>High</v>
      </c>
      <c r="I1931" s="1" t="str">
        <f t="shared" si="123"/>
        <v>Other</v>
      </c>
      <c r="J1931" s="1">
        <f t="shared" si="124"/>
        <v>270403.58999999991</v>
      </c>
    </row>
    <row r="1932" spans="1:10" ht="12.75">
      <c r="A1932" s="1" t="s">
        <v>18</v>
      </c>
      <c r="B1932" s="1" t="s">
        <v>39</v>
      </c>
      <c r="C1932" s="1" t="s">
        <v>55</v>
      </c>
      <c r="D1932" s="2">
        <v>45022</v>
      </c>
      <c r="E1932" s="1" t="s">
        <v>1729</v>
      </c>
      <c r="F1932" s="5">
        <f t="shared" si="121"/>
        <v>3843.01</v>
      </c>
      <c r="G1932" s="1">
        <v>295</v>
      </c>
      <c r="H1932" s="1" t="str">
        <f t="shared" si="122"/>
        <v>High</v>
      </c>
      <c r="I1932" s="1" t="str">
        <f t="shared" si="123"/>
        <v>Other</v>
      </c>
      <c r="J1932" s="1">
        <f t="shared" si="124"/>
        <v>270403.58999999991</v>
      </c>
    </row>
    <row r="1933" spans="1:10" ht="12.75">
      <c r="A1933" s="1" t="s">
        <v>8</v>
      </c>
      <c r="B1933" s="1" t="s">
        <v>5</v>
      </c>
      <c r="C1933" s="1" t="s">
        <v>55</v>
      </c>
      <c r="D1933" s="2">
        <v>45140</v>
      </c>
      <c r="E1933" s="1" t="s">
        <v>1730</v>
      </c>
      <c r="F1933" s="5">
        <f t="shared" si="121"/>
        <v>9163.7900000000009</v>
      </c>
      <c r="G1933" s="1">
        <v>81</v>
      </c>
      <c r="H1933" s="1" t="str">
        <f t="shared" si="122"/>
        <v>High</v>
      </c>
      <c r="I1933" s="1" t="str">
        <f t="shared" si="123"/>
        <v>Other</v>
      </c>
      <c r="J1933" s="1">
        <f t="shared" si="124"/>
        <v>270403.58999999991</v>
      </c>
    </row>
    <row r="1934" spans="1:10" ht="12.75">
      <c r="A1934" s="1" t="s">
        <v>20</v>
      </c>
      <c r="B1934" s="1" t="s">
        <v>5</v>
      </c>
      <c r="C1934" s="1" t="s">
        <v>63</v>
      </c>
      <c r="D1934" s="2">
        <v>45028</v>
      </c>
      <c r="E1934" s="1" t="s">
        <v>1731</v>
      </c>
      <c r="F1934" s="5">
        <f t="shared" si="121"/>
        <v>7628.59</v>
      </c>
      <c r="G1934" s="1">
        <v>146</v>
      </c>
      <c r="H1934" s="1" t="str">
        <f t="shared" si="122"/>
        <v>High</v>
      </c>
      <c r="I1934" s="1" t="str">
        <f t="shared" si="123"/>
        <v>Other</v>
      </c>
      <c r="J1934" s="1">
        <f t="shared" si="124"/>
        <v>270403.58999999991</v>
      </c>
    </row>
    <row r="1935" spans="1:10" ht="12.75">
      <c r="A1935" s="1" t="s">
        <v>22</v>
      </c>
      <c r="B1935" s="1" t="s">
        <v>42</v>
      </c>
      <c r="C1935" s="1" t="s">
        <v>65</v>
      </c>
      <c r="D1935" s="2">
        <v>45128</v>
      </c>
      <c r="E1935" s="1" t="s">
        <v>1732</v>
      </c>
      <c r="F1935" s="5">
        <f t="shared" si="121"/>
        <v>18220.59</v>
      </c>
      <c r="G1935" s="1">
        <v>139</v>
      </c>
      <c r="H1935" s="1" t="str">
        <f t="shared" si="122"/>
        <v>High</v>
      </c>
      <c r="I1935" s="1" t="str">
        <f t="shared" si="123"/>
        <v>Other</v>
      </c>
      <c r="J1935" s="1">
        <f t="shared" si="124"/>
        <v>270403.58999999991</v>
      </c>
    </row>
    <row r="1936" spans="1:10" ht="12.75">
      <c r="A1936" s="1" t="s">
        <v>10</v>
      </c>
      <c r="B1936" s="1" t="s">
        <v>54</v>
      </c>
      <c r="C1936" s="1" t="s">
        <v>122</v>
      </c>
      <c r="D1936" s="2">
        <v>45007</v>
      </c>
      <c r="E1936" s="1" t="s">
        <v>1733</v>
      </c>
      <c r="F1936" s="5">
        <f t="shared" si="121"/>
        <v>9828.94</v>
      </c>
      <c r="G1936" s="1">
        <v>24</v>
      </c>
      <c r="H1936" s="1" t="str">
        <f t="shared" si="122"/>
        <v>High</v>
      </c>
      <c r="I1936" s="1" t="str">
        <f t="shared" si="123"/>
        <v>Other</v>
      </c>
      <c r="J1936" s="1">
        <f t="shared" si="124"/>
        <v>270403.58999999991</v>
      </c>
    </row>
    <row r="1937" spans="1:10" ht="12.75">
      <c r="A1937" s="1" t="s">
        <v>13</v>
      </c>
      <c r="B1937" s="1" t="s">
        <v>42</v>
      </c>
      <c r="C1937" s="1" t="s">
        <v>45</v>
      </c>
      <c r="D1937" s="2">
        <v>45055</v>
      </c>
      <c r="E1937" s="1" t="s">
        <v>1734</v>
      </c>
      <c r="F1937" s="5">
        <f t="shared" si="121"/>
        <v>4726.6499999999996</v>
      </c>
      <c r="G1937" s="1">
        <v>5</v>
      </c>
      <c r="H1937" s="1" t="str">
        <f t="shared" si="122"/>
        <v>High</v>
      </c>
      <c r="I1937" s="1" t="str">
        <f t="shared" si="123"/>
        <v>Other</v>
      </c>
      <c r="J1937" s="1">
        <f t="shared" si="124"/>
        <v>270403.58999999991</v>
      </c>
    </row>
    <row r="1938" spans="1:10" ht="12.75">
      <c r="A1938" s="1" t="s">
        <v>27</v>
      </c>
      <c r="B1938" s="1" t="s">
        <v>5</v>
      </c>
      <c r="C1938" s="1" t="s">
        <v>122</v>
      </c>
      <c r="D1938" s="2">
        <v>45147</v>
      </c>
      <c r="E1938" s="1" t="s">
        <v>1735</v>
      </c>
      <c r="F1938" s="5">
        <f t="shared" si="121"/>
        <v>344.82</v>
      </c>
      <c r="G1938" s="1">
        <v>118</v>
      </c>
      <c r="H1938" s="1" t="str">
        <f t="shared" si="122"/>
        <v>Low</v>
      </c>
      <c r="I1938" s="1" t="str">
        <f t="shared" si="123"/>
        <v>Other</v>
      </c>
      <c r="J1938" s="1">
        <f t="shared" si="124"/>
        <v>270403.58999999991</v>
      </c>
    </row>
    <row r="1939" spans="1:10" ht="12.75">
      <c r="A1939" s="1" t="s">
        <v>9</v>
      </c>
      <c r="B1939" s="1" t="s">
        <v>62</v>
      </c>
      <c r="C1939" s="1" t="s">
        <v>102</v>
      </c>
      <c r="D1939" s="2">
        <v>45127</v>
      </c>
      <c r="E1939" s="1" t="s">
        <v>1736</v>
      </c>
      <c r="F1939" s="5">
        <f t="shared" si="121"/>
        <v>3451.24</v>
      </c>
      <c r="G1939" s="1">
        <v>283</v>
      </c>
      <c r="H1939" s="1" t="str">
        <f t="shared" si="122"/>
        <v>High</v>
      </c>
      <c r="I1939" s="1" t="str">
        <f t="shared" si="123"/>
        <v>Other</v>
      </c>
      <c r="J1939" s="1">
        <f t="shared" si="124"/>
        <v>270403.58999999991</v>
      </c>
    </row>
    <row r="1940" spans="1:10" ht="12.75">
      <c r="A1940" s="1" t="s">
        <v>7</v>
      </c>
      <c r="B1940" s="1" t="s">
        <v>42</v>
      </c>
      <c r="C1940" s="1" t="s">
        <v>147</v>
      </c>
      <c r="D1940" s="2">
        <v>45030</v>
      </c>
      <c r="E1940" s="1" t="s">
        <v>1737</v>
      </c>
      <c r="F1940" s="5">
        <f t="shared" si="121"/>
        <v>5071.49</v>
      </c>
      <c r="G1940" s="1">
        <v>439</v>
      </c>
      <c r="H1940" s="1" t="str">
        <f t="shared" si="122"/>
        <v>High</v>
      </c>
      <c r="I1940" s="1" t="str">
        <f t="shared" si="123"/>
        <v>Other</v>
      </c>
      <c r="J1940" s="1">
        <f t="shared" si="124"/>
        <v>270403.58999999991</v>
      </c>
    </row>
    <row r="1941" spans="1:10" ht="12.75">
      <c r="A1941" s="1" t="s">
        <v>11</v>
      </c>
      <c r="B1941" s="1" t="s">
        <v>62</v>
      </c>
      <c r="C1941" s="1" t="s">
        <v>84</v>
      </c>
      <c r="D1941" s="2">
        <v>44951</v>
      </c>
      <c r="E1941" s="1" t="s">
        <v>1738</v>
      </c>
      <c r="F1941" s="5">
        <f t="shared" si="121"/>
        <v>4719.38</v>
      </c>
      <c r="G1941" s="1">
        <v>132</v>
      </c>
      <c r="H1941" s="1" t="str">
        <f t="shared" si="122"/>
        <v>High</v>
      </c>
      <c r="I1941" s="1" t="str">
        <f t="shared" si="123"/>
        <v>Other</v>
      </c>
      <c r="J1941" s="1">
        <f t="shared" si="124"/>
        <v>270403.58999999991</v>
      </c>
    </row>
    <row r="1942" spans="1:10" ht="12.75">
      <c r="A1942" s="1" t="s">
        <v>27</v>
      </c>
      <c r="B1942" s="1" t="s">
        <v>5</v>
      </c>
      <c r="C1942" s="1" t="s">
        <v>91</v>
      </c>
      <c r="D1942" s="2">
        <v>45041</v>
      </c>
      <c r="E1942" s="1" t="s">
        <v>1739</v>
      </c>
      <c r="F1942" s="5">
        <f t="shared" si="121"/>
        <v>3430.58</v>
      </c>
      <c r="G1942" s="1">
        <v>174</v>
      </c>
      <c r="H1942" s="1" t="str">
        <f t="shared" si="122"/>
        <v>High</v>
      </c>
      <c r="I1942" s="1" t="str">
        <f t="shared" si="123"/>
        <v>Other</v>
      </c>
      <c r="J1942" s="1">
        <f t="shared" si="124"/>
        <v>270403.58999999991</v>
      </c>
    </row>
    <row r="1943" spans="1:10" ht="12.75">
      <c r="A1943" s="1" t="s">
        <v>21</v>
      </c>
      <c r="B1943" s="1" t="s">
        <v>62</v>
      </c>
      <c r="C1943" s="1" t="s">
        <v>52</v>
      </c>
      <c r="D1943" s="2">
        <v>44943</v>
      </c>
      <c r="E1943" s="1" t="s">
        <v>1740</v>
      </c>
      <c r="F1943" s="5">
        <f t="shared" si="121"/>
        <v>268.3</v>
      </c>
      <c r="G1943" s="1">
        <v>239</v>
      </c>
      <c r="H1943" s="1" t="str">
        <f t="shared" si="122"/>
        <v>Low</v>
      </c>
      <c r="I1943" s="1" t="str">
        <f t="shared" si="123"/>
        <v>Other</v>
      </c>
      <c r="J1943" s="1">
        <f t="shared" si="124"/>
        <v>270403.58999999991</v>
      </c>
    </row>
    <row r="1944" spans="1:10" ht="12.75">
      <c r="A1944" s="1" t="s">
        <v>18</v>
      </c>
      <c r="B1944" s="1" t="s">
        <v>59</v>
      </c>
      <c r="C1944" s="1" t="s">
        <v>63</v>
      </c>
      <c r="D1944" s="2">
        <v>45153</v>
      </c>
      <c r="E1944" s="1" t="s">
        <v>1741</v>
      </c>
      <c r="F1944" s="5">
        <f t="shared" si="121"/>
        <v>991.46</v>
      </c>
      <c r="G1944" s="1">
        <v>133</v>
      </c>
      <c r="H1944" s="1" t="str">
        <f t="shared" si="122"/>
        <v>High</v>
      </c>
      <c r="I1944" s="1" t="str">
        <f t="shared" si="123"/>
        <v>Other</v>
      </c>
      <c r="J1944" s="1">
        <f t="shared" si="124"/>
        <v>270403.58999999991</v>
      </c>
    </row>
    <row r="1945" spans="1:10" ht="12.75">
      <c r="A1945" s="1" t="s">
        <v>18</v>
      </c>
      <c r="B1945" s="1" t="s">
        <v>62</v>
      </c>
      <c r="C1945" s="1" t="s">
        <v>81</v>
      </c>
      <c r="D1945" s="2">
        <v>45079</v>
      </c>
      <c r="E1945" s="1" t="s">
        <v>1742</v>
      </c>
      <c r="F1945" s="5">
        <f t="shared" si="121"/>
        <v>213.45</v>
      </c>
      <c r="G1945" s="1">
        <v>17</v>
      </c>
      <c r="H1945" s="1" t="str">
        <f t="shared" si="122"/>
        <v>Low</v>
      </c>
      <c r="I1945" s="1" t="str">
        <f t="shared" si="123"/>
        <v>Other</v>
      </c>
      <c r="J1945" s="1">
        <f t="shared" si="124"/>
        <v>270403.58999999991</v>
      </c>
    </row>
    <row r="1946" spans="1:10" ht="12.75">
      <c r="A1946" s="1" t="s">
        <v>23</v>
      </c>
      <c r="B1946" s="1" t="s">
        <v>59</v>
      </c>
      <c r="C1946" s="1" t="s">
        <v>43</v>
      </c>
      <c r="D1946" s="2">
        <v>45107</v>
      </c>
      <c r="E1946" s="1" t="s">
        <v>1743</v>
      </c>
      <c r="F1946" s="5">
        <f t="shared" si="121"/>
        <v>7586.38</v>
      </c>
      <c r="G1946" s="1">
        <v>131</v>
      </c>
      <c r="H1946" s="1" t="str">
        <f t="shared" si="122"/>
        <v>High</v>
      </c>
      <c r="I1946" s="1" t="str">
        <f t="shared" si="123"/>
        <v>Other</v>
      </c>
      <c r="J1946" s="1">
        <f t="shared" si="124"/>
        <v>270403.58999999991</v>
      </c>
    </row>
    <row r="1947" spans="1:10" ht="12.75">
      <c r="A1947" s="1" t="s">
        <v>21</v>
      </c>
      <c r="B1947" s="1" t="s">
        <v>54</v>
      </c>
      <c r="C1947" s="1" t="s">
        <v>100</v>
      </c>
      <c r="D1947" s="2">
        <v>44967</v>
      </c>
      <c r="E1947" s="1" t="s">
        <v>1744</v>
      </c>
      <c r="F1947" s="5">
        <f t="shared" si="121"/>
        <v>6192.19</v>
      </c>
      <c r="G1947" s="1">
        <v>99</v>
      </c>
      <c r="H1947" s="1" t="str">
        <f t="shared" si="122"/>
        <v>High</v>
      </c>
      <c r="I1947" s="1" t="str">
        <f t="shared" si="123"/>
        <v>Other</v>
      </c>
      <c r="J1947" s="1">
        <f t="shared" si="124"/>
        <v>270403.58999999991</v>
      </c>
    </row>
    <row r="1948" spans="1:10" ht="12.75">
      <c r="A1948" s="1" t="s">
        <v>14</v>
      </c>
      <c r="B1948" s="1" t="s">
        <v>62</v>
      </c>
      <c r="C1948" s="1" t="s">
        <v>126</v>
      </c>
      <c r="D1948" s="2">
        <v>44980</v>
      </c>
      <c r="E1948" s="1" t="s">
        <v>1745</v>
      </c>
      <c r="F1948" s="5">
        <f t="shared" si="121"/>
        <v>1510.58</v>
      </c>
      <c r="G1948" s="1">
        <v>602</v>
      </c>
      <c r="H1948" s="1" t="str">
        <f t="shared" si="122"/>
        <v>High</v>
      </c>
      <c r="I1948" s="1" t="str">
        <f t="shared" si="123"/>
        <v>Other</v>
      </c>
      <c r="J1948" s="1">
        <f t="shared" si="124"/>
        <v>270403.58999999991</v>
      </c>
    </row>
    <row r="1949" spans="1:10" ht="12.75">
      <c r="A1949" s="1" t="s">
        <v>6</v>
      </c>
      <c r="B1949" s="1" t="s">
        <v>42</v>
      </c>
      <c r="C1949" s="1" t="s">
        <v>68</v>
      </c>
      <c r="D1949" s="2">
        <v>44953</v>
      </c>
      <c r="E1949" s="1" t="s">
        <v>1746</v>
      </c>
      <c r="F1949" s="5">
        <f t="shared" si="121"/>
        <v>8693.31</v>
      </c>
      <c r="G1949" s="1">
        <v>209</v>
      </c>
      <c r="H1949" s="1" t="str">
        <f t="shared" si="122"/>
        <v>High</v>
      </c>
      <c r="I1949" s="1" t="str">
        <f t="shared" si="123"/>
        <v>Other</v>
      </c>
      <c r="J1949" s="1">
        <f t="shared" si="124"/>
        <v>270403.58999999991</v>
      </c>
    </row>
    <row r="1950" spans="1:10" ht="12.75">
      <c r="A1950" s="1" t="s">
        <v>25</v>
      </c>
      <c r="B1950" s="1" t="s">
        <v>39</v>
      </c>
      <c r="C1950" s="1" t="s">
        <v>40</v>
      </c>
      <c r="D1950" s="2">
        <v>45072</v>
      </c>
      <c r="E1950" s="1" t="s">
        <v>1747</v>
      </c>
      <c r="F1950" s="5">
        <f t="shared" si="121"/>
        <v>5509.77</v>
      </c>
      <c r="G1950" s="1">
        <v>307</v>
      </c>
      <c r="H1950" s="1" t="str">
        <f t="shared" si="122"/>
        <v>High</v>
      </c>
      <c r="I1950" s="1" t="str">
        <f t="shared" si="123"/>
        <v>Other</v>
      </c>
      <c r="J1950" s="1">
        <f t="shared" si="124"/>
        <v>270403.58999999991</v>
      </c>
    </row>
    <row r="1951" spans="1:10" ht="12.75">
      <c r="A1951" s="1" t="s">
        <v>7</v>
      </c>
      <c r="B1951" s="1" t="s">
        <v>59</v>
      </c>
      <c r="C1951" s="1" t="s">
        <v>147</v>
      </c>
      <c r="D1951" s="2">
        <v>45030</v>
      </c>
      <c r="E1951" s="1" t="s">
        <v>1748</v>
      </c>
      <c r="F1951" s="5">
        <f t="shared" si="121"/>
        <v>1863.2</v>
      </c>
      <c r="G1951" s="1">
        <v>22</v>
      </c>
      <c r="H1951" s="1" t="str">
        <f t="shared" si="122"/>
        <v>High</v>
      </c>
      <c r="I1951" s="1" t="str">
        <f t="shared" si="123"/>
        <v>Other</v>
      </c>
      <c r="J1951" s="1">
        <f t="shared" si="124"/>
        <v>270403.58999999991</v>
      </c>
    </row>
    <row r="1952" spans="1:10" ht="12.75">
      <c r="A1952" s="1" t="s">
        <v>9</v>
      </c>
      <c r="B1952" s="1" t="s">
        <v>5</v>
      </c>
      <c r="C1952" s="1" t="s">
        <v>51</v>
      </c>
      <c r="D1952" s="2">
        <v>45139</v>
      </c>
      <c r="E1952" s="1" t="s">
        <v>1749</v>
      </c>
      <c r="F1952" s="5">
        <f t="shared" si="121"/>
        <v>4822.5</v>
      </c>
      <c r="G1952" s="1">
        <v>159</v>
      </c>
      <c r="H1952" s="1" t="str">
        <f t="shared" si="122"/>
        <v>High</v>
      </c>
      <c r="I1952" s="1" t="str">
        <f t="shared" si="123"/>
        <v>Other</v>
      </c>
      <c r="J1952" s="1">
        <f t="shared" si="124"/>
        <v>270403.58999999991</v>
      </c>
    </row>
    <row r="1953" spans="1:10" ht="12.75">
      <c r="A1953" s="1" t="s">
        <v>2</v>
      </c>
      <c r="B1953" s="1" t="s">
        <v>5</v>
      </c>
      <c r="C1953" s="1" t="s">
        <v>63</v>
      </c>
      <c r="D1953" s="2">
        <v>45160</v>
      </c>
      <c r="E1953" s="1" t="s">
        <v>1750</v>
      </c>
      <c r="F1953" s="5">
        <f t="shared" si="121"/>
        <v>10856.55</v>
      </c>
      <c r="G1953" s="1">
        <v>229</v>
      </c>
      <c r="H1953" s="1" t="str">
        <f t="shared" si="122"/>
        <v>High</v>
      </c>
      <c r="I1953" s="1" t="str">
        <f t="shared" si="123"/>
        <v>Top Local</v>
      </c>
      <c r="J1953" s="1">
        <f t="shared" si="124"/>
        <v>270403.58999999991</v>
      </c>
    </row>
    <row r="1954" spans="1:10" ht="12.75">
      <c r="A1954" s="1" t="s">
        <v>14</v>
      </c>
      <c r="B1954" s="1" t="s">
        <v>42</v>
      </c>
      <c r="C1954" s="1" t="s">
        <v>51</v>
      </c>
      <c r="D1954" s="2">
        <v>45129</v>
      </c>
      <c r="E1954" s="1" t="s">
        <v>1751</v>
      </c>
      <c r="F1954" s="5">
        <f t="shared" si="121"/>
        <v>11252.11</v>
      </c>
      <c r="G1954" s="1">
        <v>159</v>
      </c>
      <c r="H1954" s="1" t="str">
        <f t="shared" si="122"/>
        <v>High</v>
      </c>
      <c r="I1954" s="1" t="str">
        <f t="shared" si="123"/>
        <v>Other</v>
      </c>
      <c r="J1954" s="1">
        <f t="shared" si="124"/>
        <v>259547.04000000004</v>
      </c>
    </row>
    <row r="1955" spans="1:10" ht="12.75">
      <c r="A1955" s="1" t="s">
        <v>13</v>
      </c>
      <c r="B1955" s="1" t="s">
        <v>59</v>
      </c>
      <c r="C1955" s="1" t="s">
        <v>81</v>
      </c>
      <c r="D1955" s="2">
        <v>45044</v>
      </c>
      <c r="E1955" s="1" t="s">
        <v>1752</v>
      </c>
      <c r="F1955" s="5">
        <f t="shared" si="121"/>
        <v>1387.72</v>
      </c>
      <c r="G1955" s="1">
        <v>27</v>
      </c>
      <c r="H1955" s="1" t="str">
        <f t="shared" si="122"/>
        <v>High</v>
      </c>
      <c r="I1955" s="1" t="str">
        <f t="shared" si="123"/>
        <v>Other</v>
      </c>
      <c r="J1955" s="1">
        <f t="shared" si="124"/>
        <v>259547.04000000004</v>
      </c>
    </row>
    <row r="1956" spans="1:10" ht="12.75">
      <c r="A1956" s="1" t="s">
        <v>12</v>
      </c>
      <c r="B1956" s="1" t="s">
        <v>5</v>
      </c>
      <c r="C1956" s="1" t="s">
        <v>91</v>
      </c>
      <c r="D1956" s="2">
        <v>45076</v>
      </c>
      <c r="E1956" s="1" t="s">
        <v>1753</v>
      </c>
      <c r="F1956" s="5">
        <f t="shared" si="121"/>
        <v>5509.22</v>
      </c>
      <c r="G1956" s="1">
        <v>341</v>
      </c>
      <c r="H1956" s="1" t="str">
        <f t="shared" si="122"/>
        <v>High</v>
      </c>
      <c r="I1956" s="1" t="str">
        <f t="shared" si="123"/>
        <v>Other</v>
      </c>
      <c r="J1956" s="1">
        <f t="shared" si="124"/>
        <v>259547.04000000004</v>
      </c>
    </row>
    <row r="1957" spans="1:10" ht="12.75">
      <c r="A1957" s="1" t="s">
        <v>17</v>
      </c>
      <c r="B1957" s="1" t="s">
        <v>59</v>
      </c>
      <c r="C1957" s="1" t="s">
        <v>72</v>
      </c>
      <c r="D1957" s="2">
        <v>45128</v>
      </c>
      <c r="E1957" s="1" t="s">
        <v>1754</v>
      </c>
      <c r="F1957" s="5">
        <f t="shared" si="121"/>
        <v>2444.25</v>
      </c>
      <c r="G1957" s="1">
        <v>155</v>
      </c>
      <c r="H1957" s="1" t="str">
        <f t="shared" si="122"/>
        <v>High</v>
      </c>
      <c r="I1957" s="1" t="str">
        <f t="shared" si="123"/>
        <v>Other</v>
      </c>
      <c r="J1957" s="1">
        <f t="shared" si="124"/>
        <v>259547.04000000004</v>
      </c>
    </row>
    <row r="1958" spans="1:10" ht="12.75">
      <c r="A1958" s="1" t="s">
        <v>15</v>
      </c>
      <c r="B1958" s="1" t="s">
        <v>39</v>
      </c>
      <c r="C1958" s="1" t="s">
        <v>126</v>
      </c>
      <c r="D1958" s="2">
        <v>45140</v>
      </c>
      <c r="E1958" s="1" t="s">
        <v>1755</v>
      </c>
      <c r="F1958" s="5">
        <f t="shared" si="121"/>
        <v>3175.62</v>
      </c>
      <c r="G1958" s="1">
        <v>507</v>
      </c>
      <c r="H1958" s="1" t="str">
        <f t="shared" si="122"/>
        <v>High</v>
      </c>
      <c r="I1958" s="1" t="str">
        <f t="shared" si="123"/>
        <v>Other</v>
      </c>
      <c r="J1958" s="1">
        <f t="shared" si="124"/>
        <v>259547.04000000004</v>
      </c>
    </row>
    <row r="1959" spans="1:10" ht="12.75">
      <c r="A1959" s="1" t="s">
        <v>7</v>
      </c>
      <c r="B1959" s="1" t="s">
        <v>54</v>
      </c>
      <c r="C1959" s="1" t="s">
        <v>147</v>
      </c>
      <c r="D1959" s="2">
        <v>45092</v>
      </c>
      <c r="E1959" s="1" t="s">
        <v>1756</v>
      </c>
      <c r="F1959" s="5">
        <f t="shared" si="121"/>
        <v>7900.42</v>
      </c>
      <c r="G1959" s="1">
        <v>143</v>
      </c>
      <c r="H1959" s="1" t="str">
        <f t="shared" si="122"/>
        <v>High</v>
      </c>
      <c r="I1959" s="1" t="str">
        <f t="shared" si="123"/>
        <v>Other</v>
      </c>
      <c r="J1959" s="1">
        <f t="shared" si="124"/>
        <v>259547.04000000004</v>
      </c>
    </row>
    <row r="1960" spans="1:10" ht="12.75">
      <c r="A1960" s="1" t="s">
        <v>22</v>
      </c>
      <c r="B1960" s="1" t="s">
        <v>42</v>
      </c>
      <c r="C1960" s="1" t="s">
        <v>43</v>
      </c>
      <c r="D1960" s="2">
        <v>45112</v>
      </c>
      <c r="E1960" s="1" t="s">
        <v>1757</v>
      </c>
      <c r="F1960" s="5">
        <f t="shared" si="121"/>
        <v>9072.4599999999991</v>
      </c>
      <c r="G1960" s="1">
        <v>142</v>
      </c>
      <c r="H1960" s="1" t="str">
        <f t="shared" si="122"/>
        <v>High</v>
      </c>
      <c r="I1960" s="1" t="str">
        <f t="shared" si="123"/>
        <v>Other</v>
      </c>
      <c r="J1960" s="1">
        <f t="shared" si="124"/>
        <v>259547.04000000004</v>
      </c>
    </row>
    <row r="1961" spans="1:10" ht="12.75">
      <c r="A1961" s="1" t="s">
        <v>8</v>
      </c>
      <c r="B1961" s="1" t="s">
        <v>54</v>
      </c>
      <c r="C1961" s="1" t="s">
        <v>49</v>
      </c>
      <c r="D1961" s="2">
        <v>45028</v>
      </c>
      <c r="E1961" s="1" t="s">
        <v>1758</v>
      </c>
      <c r="F1961" s="5">
        <f t="shared" si="121"/>
        <v>8.06</v>
      </c>
      <c r="G1961" s="1">
        <v>513</v>
      </c>
      <c r="H1961" s="1" t="str">
        <f t="shared" si="122"/>
        <v>Low</v>
      </c>
      <c r="I1961" s="1" t="str">
        <f t="shared" si="123"/>
        <v>Other</v>
      </c>
      <c r="J1961" s="1">
        <f t="shared" si="124"/>
        <v>259547.04000000004</v>
      </c>
    </row>
    <row r="1962" spans="1:10" ht="12.75">
      <c r="A1962" s="1" t="s">
        <v>20</v>
      </c>
      <c r="B1962" s="1" t="s">
        <v>5</v>
      </c>
      <c r="C1962" s="1" t="s">
        <v>147</v>
      </c>
      <c r="D1962" s="2">
        <v>45156</v>
      </c>
      <c r="E1962" s="1" t="s">
        <v>1759</v>
      </c>
      <c r="F1962" s="5">
        <f t="shared" si="121"/>
        <v>1548.54</v>
      </c>
      <c r="G1962" s="1">
        <v>104</v>
      </c>
      <c r="H1962" s="1" t="str">
        <f t="shared" si="122"/>
        <v>High</v>
      </c>
      <c r="I1962" s="1" t="str">
        <f t="shared" si="123"/>
        <v>Other</v>
      </c>
      <c r="J1962" s="1">
        <f t="shared" si="124"/>
        <v>259547.04000000004</v>
      </c>
    </row>
    <row r="1963" spans="1:10" ht="12.75">
      <c r="A1963" s="1" t="s">
        <v>15</v>
      </c>
      <c r="B1963" s="1" t="s">
        <v>39</v>
      </c>
      <c r="C1963" s="1" t="s">
        <v>55</v>
      </c>
      <c r="D1963" s="2">
        <v>44938</v>
      </c>
      <c r="E1963" s="1" t="s">
        <v>1760</v>
      </c>
      <c r="F1963" s="5">
        <f t="shared" si="121"/>
        <v>5501.67</v>
      </c>
      <c r="G1963" s="1">
        <v>298</v>
      </c>
      <c r="H1963" s="1" t="str">
        <f t="shared" si="122"/>
        <v>High</v>
      </c>
      <c r="I1963" s="1" t="str">
        <f t="shared" si="123"/>
        <v>Other</v>
      </c>
      <c r="J1963" s="1">
        <f t="shared" si="124"/>
        <v>259547.04000000004</v>
      </c>
    </row>
    <row r="1964" spans="1:10" ht="12.75">
      <c r="A1964" s="1" t="s">
        <v>23</v>
      </c>
      <c r="B1964" s="1" t="s">
        <v>62</v>
      </c>
      <c r="C1964" s="1" t="s">
        <v>84</v>
      </c>
      <c r="D1964" s="2">
        <v>45149</v>
      </c>
      <c r="E1964" s="1" t="s">
        <v>1761</v>
      </c>
      <c r="F1964" s="5">
        <f t="shared" si="121"/>
        <v>7685.42</v>
      </c>
      <c r="G1964" s="1">
        <v>15</v>
      </c>
      <c r="H1964" s="1" t="str">
        <f t="shared" si="122"/>
        <v>High</v>
      </c>
      <c r="I1964" s="1" t="str">
        <f t="shared" si="123"/>
        <v>Other</v>
      </c>
      <c r="J1964" s="1">
        <f t="shared" si="124"/>
        <v>259547.04000000004</v>
      </c>
    </row>
    <row r="1965" spans="1:10" ht="12.75">
      <c r="A1965" s="1" t="s">
        <v>11</v>
      </c>
      <c r="B1965" s="1" t="s">
        <v>5</v>
      </c>
      <c r="C1965" s="1" t="s">
        <v>76</v>
      </c>
      <c r="D1965" s="2">
        <v>44939</v>
      </c>
      <c r="E1965" s="1" t="s">
        <v>1762</v>
      </c>
      <c r="F1965" s="5">
        <f t="shared" si="121"/>
        <v>5147.7700000000004</v>
      </c>
      <c r="G1965" s="1">
        <v>402</v>
      </c>
      <c r="H1965" s="1" t="str">
        <f t="shared" si="122"/>
        <v>High</v>
      </c>
      <c r="I1965" s="1" t="str">
        <f t="shared" si="123"/>
        <v>Other</v>
      </c>
      <c r="J1965" s="1">
        <f t="shared" si="124"/>
        <v>259547.04000000004</v>
      </c>
    </row>
    <row r="1966" spans="1:10" ht="12.75">
      <c r="A1966" s="1" t="s">
        <v>13</v>
      </c>
      <c r="B1966" s="1" t="s">
        <v>39</v>
      </c>
      <c r="C1966" s="1" t="s">
        <v>122</v>
      </c>
      <c r="D1966" s="2">
        <v>45045</v>
      </c>
      <c r="E1966" s="1" t="s">
        <v>1763</v>
      </c>
      <c r="F1966" s="5">
        <f t="shared" si="121"/>
        <v>3070.43</v>
      </c>
      <c r="G1966" s="1">
        <v>143</v>
      </c>
      <c r="H1966" s="1" t="str">
        <f t="shared" si="122"/>
        <v>High</v>
      </c>
      <c r="I1966" s="1" t="str">
        <f t="shared" si="123"/>
        <v>Other</v>
      </c>
      <c r="J1966" s="1">
        <f t="shared" si="124"/>
        <v>259547.04000000004</v>
      </c>
    </row>
    <row r="1967" spans="1:10" ht="12.75">
      <c r="A1967" s="1" t="s">
        <v>19</v>
      </c>
      <c r="B1967" s="1" t="s">
        <v>54</v>
      </c>
      <c r="C1967" s="1" t="s">
        <v>52</v>
      </c>
      <c r="D1967" s="2">
        <v>45114</v>
      </c>
      <c r="E1967" s="1" t="s">
        <v>1764</v>
      </c>
      <c r="F1967" s="5">
        <f t="shared" si="121"/>
        <v>1127.5</v>
      </c>
      <c r="G1967" s="1">
        <v>88</v>
      </c>
      <c r="H1967" s="1" t="str">
        <f t="shared" si="122"/>
        <v>High</v>
      </c>
      <c r="I1967" s="1" t="str">
        <f t="shared" si="123"/>
        <v>Other</v>
      </c>
      <c r="J1967" s="1">
        <f t="shared" si="124"/>
        <v>259547.04000000004</v>
      </c>
    </row>
    <row r="1968" spans="1:10" ht="12.75">
      <c r="A1968" s="1" t="s">
        <v>9</v>
      </c>
      <c r="B1968" s="1" t="s">
        <v>54</v>
      </c>
      <c r="C1968" s="1" t="s">
        <v>40</v>
      </c>
      <c r="D1968" s="2">
        <v>44996</v>
      </c>
      <c r="E1968" s="1" t="s">
        <v>1765</v>
      </c>
      <c r="F1968" s="5">
        <f t="shared" si="121"/>
        <v>8502.77</v>
      </c>
      <c r="G1968" s="1">
        <v>4</v>
      </c>
      <c r="H1968" s="1" t="str">
        <f t="shared" si="122"/>
        <v>High</v>
      </c>
      <c r="I1968" s="1" t="str">
        <f t="shared" si="123"/>
        <v>Other</v>
      </c>
      <c r="J1968" s="1">
        <f t="shared" si="124"/>
        <v>259547.04000000004</v>
      </c>
    </row>
    <row r="1969" spans="1:10" ht="12.75">
      <c r="A1969" s="1" t="s">
        <v>9</v>
      </c>
      <c r="B1969" s="1" t="s">
        <v>39</v>
      </c>
      <c r="C1969" s="1" t="s">
        <v>147</v>
      </c>
      <c r="D1969" s="2">
        <v>44973</v>
      </c>
      <c r="E1969" s="1" t="s">
        <v>1766</v>
      </c>
      <c r="F1969" s="5">
        <f t="shared" si="121"/>
        <v>5961.02</v>
      </c>
      <c r="G1969" s="1">
        <v>241</v>
      </c>
      <c r="H1969" s="1" t="str">
        <f t="shared" si="122"/>
        <v>High</v>
      </c>
      <c r="I1969" s="1" t="str">
        <f t="shared" si="123"/>
        <v>Other</v>
      </c>
      <c r="J1969" s="1">
        <f t="shared" si="124"/>
        <v>259547.04000000004</v>
      </c>
    </row>
    <row r="1970" spans="1:10" ht="12.75">
      <c r="A1970" s="1" t="s">
        <v>16</v>
      </c>
      <c r="B1970" s="1" t="s">
        <v>5</v>
      </c>
      <c r="C1970" s="1" t="s">
        <v>68</v>
      </c>
      <c r="D1970" s="2">
        <v>44933</v>
      </c>
      <c r="E1970" s="1" t="s">
        <v>1767</v>
      </c>
      <c r="F1970" s="5">
        <f t="shared" si="121"/>
        <v>2478.33</v>
      </c>
      <c r="G1970" s="1">
        <v>33</v>
      </c>
      <c r="H1970" s="1" t="str">
        <f t="shared" si="122"/>
        <v>High</v>
      </c>
      <c r="I1970" s="1" t="str">
        <f t="shared" si="123"/>
        <v>Other</v>
      </c>
      <c r="J1970" s="1">
        <f t="shared" si="124"/>
        <v>259547.04000000004</v>
      </c>
    </row>
    <row r="1971" spans="1:10" ht="12.75">
      <c r="A1971" s="1" t="s">
        <v>28</v>
      </c>
      <c r="B1971" s="1" t="s">
        <v>54</v>
      </c>
      <c r="C1971" s="1" t="s">
        <v>65</v>
      </c>
      <c r="D1971" s="2">
        <v>44938</v>
      </c>
      <c r="E1971" s="1" t="s">
        <v>1768</v>
      </c>
      <c r="F1971" s="5">
        <f t="shared" si="121"/>
        <v>1269.56</v>
      </c>
      <c r="G1971" s="1">
        <v>497</v>
      </c>
      <c r="H1971" s="1" t="str">
        <f t="shared" si="122"/>
        <v>High</v>
      </c>
      <c r="I1971" s="1" t="str">
        <f t="shared" si="123"/>
        <v>Other</v>
      </c>
      <c r="J1971" s="1">
        <f t="shared" si="124"/>
        <v>259547.04000000004</v>
      </c>
    </row>
    <row r="1972" spans="1:10" ht="12.75">
      <c r="A1972" s="1" t="s">
        <v>28</v>
      </c>
      <c r="B1972" s="1" t="s">
        <v>42</v>
      </c>
      <c r="C1972" s="1" t="s">
        <v>63</v>
      </c>
      <c r="D1972" s="2">
        <v>45086</v>
      </c>
      <c r="E1972" s="1" t="s">
        <v>1769</v>
      </c>
      <c r="F1972" s="5">
        <f t="shared" si="121"/>
        <v>11130.52</v>
      </c>
      <c r="G1972" s="1">
        <v>144</v>
      </c>
      <c r="H1972" s="1" t="str">
        <f t="shared" si="122"/>
        <v>High</v>
      </c>
      <c r="I1972" s="1" t="str">
        <f t="shared" si="123"/>
        <v>Other</v>
      </c>
      <c r="J1972" s="1">
        <f t="shared" si="124"/>
        <v>259547.04000000004</v>
      </c>
    </row>
    <row r="1973" spans="1:10" ht="12.75">
      <c r="A1973" s="1" t="s">
        <v>27</v>
      </c>
      <c r="B1973" s="1" t="s">
        <v>42</v>
      </c>
      <c r="C1973" s="1" t="s">
        <v>63</v>
      </c>
      <c r="D1973" s="2">
        <v>45062</v>
      </c>
      <c r="E1973" s="1" t="s">
        <v>1770</v>
      </c>
      <c r="F1973" s="5">
        <f t="shared" si="121"/>
        <v>2455.09</v>
      </c>
      <c r="G1973" s="1">
        <v>83</v>
      </c>
      <c r="H1973" s="1" t="str">
        <f t="shared" si="122"/>
        <v>High</v>
      </c>
      <c r="I1973" s="1" t="str">
        <f t="shared" si="123"/>
        <v>Other</v>
      </c>
      <c r="J1973" s="1">
        <f t="shared" si="124"/>
        <v>259547.04000000004</v>
      </c>
    </row>
    <row r="1974" spans="1:10" ht="12.75">
      <c r="A1974" s="1" t="s">
        <v>20</v>
      </c>
      <c r="B1974" s="1" t="s">
        <v>39</v>
      </c>
      <c r="C1974" s="1" t="s">
        <v>43</v>
      </c>
      <c r="D1974" s="2">
        <v>45100</v>
      </c>
      <c r="E1974" s="1" t="s">
        <v>1771</v>
      </c>
      <c r="F1974" s="5">
        <f t="shared" si="121"/>
        <v>12764.94</v>
      </c>
      <c r="G1974" s="1">
        <v>100</v>
      </c>
      <c r="H1974" s="1" t="str">
        <f t="shared" si="122"/>
        <v>High</v>
      </c>
      <c r="I1974" s="1" t="str">
        <f t="shared" si="123"/>
        <v>Other</v>
      </c>
      <c r="J1974" s="1">
        <f t="shared" si="124"/>
        <v>259547.04000000004</v>
      </c>
    </row>
    <row r="1975" spans="1:10" ht="12.75">
      <c r="A1975" s="1" t="s">
        <v>26</v>
      </c>
      <c r="B1975" s="1" t="s">
        <v>39</v>
      </c>
      <c r="C1975" s="1" t="s">
        <v>100</v>
      </c>
      <c r="D1975" s="2">
        <v>44954</v>
      </c>
      <c r="E1975" s="1" t="s">
        <v>1772</v>
      </c>
      <c r="F1975" s="5">
        <f t="shared" si="121"/>
        <v>13351.42</v>
      </c>
      <c r="G1975" s="1">
        <v>198</v>
      </c>
      <c r="H1975" s="1" t="str">
        <f t="shared" si="122"/>
        <v>High</v>
      </c>
      <c r="I1975" s="1" t="str">
        <f t="shared" si="123"/>
        <v>Other</v>
      </c>
      <c r="J1975" s="1">
        <f t="shared" si="124"/>
        <v>259547.04000000004</v>
      </c>
    </row>
    <row r="1976" spans="1:10" ht="12.75">
      <c r="A1976" s="1" t="s">
        <v>21</v>
      </c>
      <c r="B1976" s="1" t="s">
        <v>39</v>
      </c>
      <c r="C1976" s="1" t="s">
        <v>40</v>
      </c>
      <c r="D1976" s="2">
        <v>45121</v>
      </c>
      <c r="E1976" s="1" t="s">
        <v>1773</v>
      </c>
      <c r="F1976" s="5">
        <f t="shared" si="121"/>
        <v>2763.22</v>
      </c>
      <c r="G1976" s="1">
        <v>223</v>
      </c>
      <c r="H1976" s="1" t="str">
        <f t="shared" si="122"/>
        <v>High</v>
      </c>
      <c r="I1976" s="1" t="str">
        <f t="shared" si="123"/>
        <v>Other</v>
      </c>
      <c r="J1976" s="1">
        <f t="shared" si="124"/>
        <v>259547.04000000004</v>
      </c>
    </row>
    <row r="1977" spans="1:10" ht="12.75">
      <c r="A1977" s="1" t="s">
        <v>16</v>
      </c>
      <c r="B1977" s="1" t="s">
        <v>62</v>
      </c>
      <c r="C1977" s="1" t="s">
        <v>65</v>
      </c>
      <c r="D1977" s="2">
        <v>45034</v>
      </c>
      <c r="E1977" s="1" t="s">
        <v>1774</v>
      </c>
      <c r="F1977" s="5">
        <f t="shared" si="121"/>
        <v>6523.34</v>
      </c>
      <c r="G1977" s="1">
        <v>245</v>
      </c>
      <c r="H1977" s="1" t="str">
        <f t="shared" si="122"/>
        <v>High</v>
      </c>
      <c r="I1977" s="1" t="str">
        <f t="shared" si="123"/>
        <v>Other</v>
      </c>
      <c r="J1977" s="1">
        <f t="shared" si="124"/>
        <v>259547.04000000004</v>
      </c>
    </row>
    <row r="1978" spans="1:10" ht="12.75">
      <c r="A1978" s="1" t="s">
        <v>22</v>
      </c>
      <c r="B1978" s="1" t="s">
        <v>59</v>
      </c>
      <c r="C1978" s="1" t="s">
        <v>72</v>
      </c>
      <c r="D1978" s="2">
        <v>45091</v>
      </c>
      <c r="E1978" s="1" t="s">
        <v>1775</v>
      </c>
      <c r="F1978" s="5">
        <f t="shared" si="121"/>
        <v>1868.25</v>
      </c>
      <c r="G1978" s="1">
        <v>82</v>
      </c>
      <c r="H1978" s="1" t="str">
        <f t="shared" si="122"/>
        <v>High</v>
      </c>
      <c r="I1978" s="1" t="str">
        <f t="shared" si="123"/>
        <v>Other</v>
      </c>
      <c r="J1978" s="1">
        <f t="shared" si="124"/>
        <v>259547.04000000004</v>
      </c>
    </row>
    <row r="1979" spans="1:10" ht="12.75">
      <c r="A1979" s="1" t="s">
        <v>22</v>
      </c>
      <c r="B1979" s="1" t="s">
        <v>39</v>
      </c>
      <c r="C1979" s="1" t="s">
        <v>60</v>
      </c>
      <c r="D1979" s="2">
        <v>45031</v>
      </c>
      <c r="E1979" s="1" t="s">
        <v>1776</v>
      </c>
      <c r="F1979" s="5">
        <f t="shared" si="121"/>
        <v>8431.83</v>
      </c>
      <c r="G1979" s="1">
        <v>251</v>
      </c>
      <c r="H1979" s="1" t="str">
        <f t="shared" si="122"/>
        <v>High</v>
      </c>
      <c r="I1979" s="1" t="str">
        <f t="shared" si="123"/>
        <v>Other</v>
      </c>
      <c r="J1979" s="1">
        <f t="shared" si="124"/>
        <v>259547.04000000004</v>
      </c>
    </row>
    <row r="1980" spans="1:10" ht="12.75">
      <c r="A1980" s="1" t="s">
        <v>24</v>
      </c>
      <c r="B1980" s="1" t="s">
        <v>62</v>
      </c>
      <c r="C1980" s="1" t="s">
        <v>45</v>
      </c>
      <c r="D1980" s="2">
        <v>45065</v>
      </c>
      <c r="E1980" s="1" t="s">
        <v>1777</v>
      </c>
      <c r="F1980" s="5">
        <f t="shared" si="121"/>
        <v>5646.99</v>
      </c>
      <c r="G1980" s="1">
        <v>64</v>
      </c>
      <c r="H1980" s="1" t="str">
        <f t="shared" si="122"/>
        <v>High</v>
      </c>
      <c r="I1980" s="1" t="str">
        <f t="shared" si="123"/>
        <v>Other</v>
      </c>
      <c r="J1980" s="1">
        <f t="shared" si="124"/>
        <v>259547.04000000004</v>
      </c>
    </row>
    <row r="1981" spans="1:10" ht="12.75">
      <c r="A1981" s="1" t="s">
        <v>20</v>
      </c>
      <c r="B1981" s="1" t="s">
        <v>42</v>
      </c>
      <c r="C1981" s="1" t="s">
        <v>84</v>
      </c>
      <c r="D1981" s="2">
        <v>45029</v>
      </c>
      <c r="E1981" s="1" t="s">
        <v>1778</v>
      </c>
      <c r="F1981" s="5">
        <f t="shared" si="121"/>
        <v>1484.67</v>
      </c>
      <c r="G1981" s="1">
        <v>180</v>
      </c>
      <c r="H1981" s="1" t="str">
        <f t="shared" si="122"/>
        <v>High</v>
      </c>
      <c r="I1981" s="1" t="str">
        <f t="shared" si="123"/>
        <v>Other</v>
      </c>
      <c r="J1981" s="1">
        <f t="shared" si="124"/>
        <v>259547.04000000004</v>
      </c>
    </row>
    <row r="1982" spans="1:10" ht="12.75">
      <c r="A1982" s="1" t="s">
        <v>13</v>
      </c>
      <c r="B1982" s="1" t="s">
        <v>62</v>
      </c>
      <c r="C1982" s="1" t="s">
        <v>102</v>
      </c>
      <c r="D1982" s="2">
        <v>45153</v>
      </c>
      <c r="E1982" s="1" t="s">
        <v>1779</v>
      </c>
      <c r="F1982" s="5">
        <f t="shared" si="121"/>
        <v>3859.95</v>
      </c>
      <c r="G1982" s="1">
        <v>395</v>
      </c>
      <c r="H1982" s="1" t="str">
        <f t="shared" si="122"/>
        <v>High</v>
      </c>
      <c r="I1982" s="1" t="str">
        <f t="shared" si="123"/>
        <v>Other</v>
      </c>
      <c r="J1982" s="1">
        <f t="shared" si="124"/>
        <v>259547.04000000004</v>
      </c>
    </row>
    <row r="1983" spans="1:10" ht="12.75">
      <c r="A1983" s="1" t="s">
        <v>29</v>
      </c>
      <c r="B1983" s="1" t="s">
        <v>42</v>
      </c>
      <c r="C1983" s="1" t="s">
        <v>102</v>
      </c>
      <c r="D1983" s="2">
        <v>45160</v>
      </c>
      <c r="E1983" s="1" t="s">
        <v>1780</v>
      </c>
      <c r="F1983" s="5">
        <f t="shared" si="121"/>
        <v>3237.3</v>
      </c>
      <c r="G1983" s="1">
        <v>227</v>
      </c>
      <c r="H1983" s="1" t="str">
        <f t="shared" si="122"/>
        <v>High</v>
      </c>
      <c r="I1983" s="1" t="str">
        <f t="shared" si="123"/>
        <v>Other</v>
      </c>
      <c r="J1983" s="1">
        <f t="shared" si="124"/>
        <v>259547.04000000004</v>
      </c>
    </row>
    <row r="1984" spans="1:10" ht="12.75">
      <c r="A1984" s="1" t="s">
        <v>29</v>
      </c>
      <c r="B1984" s="1" t="s">
        <v>54</v>
      </c>
      <c r="C1984" s="1" t="s">
        <v>122</v>
      </c>
      <c r="D1984" s="2">
        <v>45038</v>
      </c>
      <c r="E1984" s="1" t="s">
        <v>1781</v>
      </c>
      <c r="F1984" s="5">
        <f t="shared" si="121"/>
        <v>4072.43</v>
      </c>
      <c r="G1984" s="1">
        <v>64</v>
      </c>
      <c r="H1984" s="1" t="str">
        <f t="shared" si="122"/>
        <v>High</v>
      </c>
      <c r="I1984" s="1" t="str">
        <f t="shared" si="123"/>
        <v>Other</v>
      </c>
      <c r="J1984" s="1">
        <f t="shared" si="124"/>
        <v>259547.04000000004</v>
      </c>
    </row>
    <row r="1985" spans="1:10" ht="12.75">
      <c r="A1985" s="1" t="s">
        <v>8</v>
      </c>
      <c r="B1985" s="1" t="s">
        <v>39</v>
      </c>
      <c r="C1985" s="1" t="s">
        <v>102</v>
      </c>
      <c r="D1985" s="2">
        <v>45141</v>
      </c>
      <c r="E1985" s="1" t="s">
        <v>1782</v>
      </c>
      <c r="F1985" s="5">
        <f t="shared" si="121"/>
        <v>8054.87</v>
      </c>
      <c r="G1985" s="1">
        <v>118</v>
      </c>
      <c r="H1985" s="1" t="str">
        <f t="shared" si="122"/>
        <v>High</v>
      </c>
      <c r="I1985" s="1" t="str">
        <f t="shared" si="123"/>
        <v>Other</v>
      </c>
      <c r="J1985" s="1">
        <f t="shared" si="124"/>
        <v>259547.04000000004</v>
      </c>
    </row>
    <row r="1986" spans="1:10" ht="12.75">
      <c r="A1986" s="1" t="s">
        <v>6</v>
      </c>
      <c r="B1986" s="1" t="s">
        <v>54</v>
      </c>
      <c r="C1986" s="1" t="s">
        <v>68</v>
      </c>
      <c r="D1986" s="2">
        <v>44930</v>
      </c>
      <c r="E1986" s="1" t="s">
        <v>1783</v>
      </c>
      <c r="F1986" s="5">
        <f t="shared" ref="F1986:F2049" si="125">VALUE(SUBSTITUTE(E1986,"$",""))</f>
        <v>420.3</v>
      </c>
      <c r="G1986" s="1">
        <v>224</v>
      </c>
      <c r="H1986" s="1" t="str">
        <f t="shared" ref="H1986:H2049" si="126">IF(F1986&gt;800,"High",IF(F1986&gt;500,"Medium","Low"))</f>
        <v>Low</v>
      </c>
      <c r="I1986" s="1" t="str">
        <f t="shared" ref="I1986:I2049" si="127">IF(AND(B1986="Australia",A1986="Mallorie Waber"),"Top Local","Other")</f>
        <v>Other</v>
      </c>
      <c r="J1986" s="1">
        <f t="shared" ref="J1986:J2049" si="128">SUMIF(A1986:A5266,"Mallorie Waber",F1986:F5266)</f>
        <v>259547.04000000004</v>
      </c>
    </row>
    <row r="1987" spans="1:10" ht="12.75">
      <c r="A1987" s="1" t="s">
        <v>12</v>
      </c>
      <c r="B1987" s="1" t="s">
        <v>62</v>
      </c>
      <c r="C1987" s="1" t="s">
        <v>52</v>
      </c>
      <c r="D1987" s="2">
        <v>44939</v>
      </c>
      <c r="E1987" s="1" t="s">
        <v>1784</v>
      </c>
      <c r="F1987" s="5">
        <f t="shared" si="125"/>
        <v>17073.990000000002</v>
      </c>
      <c r="G1987" s="1">
        <v>218</v>
      </c>
      <c r="H1987" s="1" t="str">
        <f t="shared" si="126"/>
        <v>High</v>
      </c>
      <c r="I1987" s="1" t="str">
        <f t="shared" si="127"/>
        <v>Other</v>
      </c>
      <c r="J1987" s="1">
        <f t="shared" si="128"/>
        <v>259547.04000000004</v>
      </c>
    </row>
    <row r="1988" spans="1:10" ht="12.75">
      <c r="A1988" s="1" t="s">
        <v>10</v>
      </c>
      <c r="B1988" s="1" t="s">
        <v>5</v>
      </c>
      <c r="C1988" s="1" t="s">
        <v>122</v>
      </c>
      <c r="D1988" s="2">
        <v>45057</v>
      </c>
      <c r="E1988" s="1" t="s">
        <v>1785</v>
      </c>
      <c r="F1988" s="5">
        <f t="shared" si="125"/>
        <v>13624.31</v>
      </c>
      <c r="G1988" s="1">
        <v>33</v>
      </c>
      <c r="H1988" s="1" t="str">
        <f t="shared" si="126"/>
        <v>High</v>
      </c>
      <c r="I1988" s="1" t="str">
        <f t="shared" si="127"/>
        <v>Other</v>
      </c>
      <c r="J1988" s="1">
        <f t="shared" si="128"/>
        <v>259547.04000000004</v>
      </c>
    </row>
    <row r="1989" spans="1:10" ht="12.75">
      <c r="A1989" s="1" t="s">
        <v>13</v>
      </c>
      <c r="B1989" s="1" t="s">
        <v>54</v>
      </c>
      <c r="C1989" s="1" t="s">
        <v>45</v>
      </c>
      <c r="D1989" s="2">
        <v>44973</v>
      </c>
      <c r="E1989" s="1" t="s">
        <v>1786</v>
      </c>
      <c r="F1989" s="5">
        <f t="shared" si="125"/>
        <v>2318.46</v>
      </c>
      <c r="G1989" s="1">
        <v>235</v>
      </c>
      <c r="H1989" s="1" t="str">
        <f t="shared" si="126"/>
        <v>High</v>
      </c>
      <c r="I1989" s="1" t="str">
        <f t="shared" si="127"/>
        <v>Other</v>
      </c>
      <c r="J1989" s="1">
        <f t="shared" si="128"/>
        <v>259547.04000000004</v>
      </c>
    </row>
    <row r="1990" spans="1:10" ht="12.75">
      <c r="A1990" s="1" t="s">
        <v>8</v>
      </c>
      <c r="B1990" s="1" t="s">
        <v>39</v>
      </c>
      <c r="C1990" s="1" t="s">
        <v>126</v>
      </c>
      <c r="D1990" s="2">
        <v>45066</v>
      </c>
      <c r="E1990" s="1" t="s">
        <v>1787</v>
      </c>
      <c r="F1990" s="5">
        <f t="shared" si="125"/>
        <v>10740.05</v>
      </c>
      <c r="G1990" s="1">
        <v>67</v>
      </c>
      <c r="H1990" s="1" t="str">
        <f t="shared" si="126"/>
        <v>High</v>
      </c>
      <c r="I1990" s="1" t="str">
        <f t="shared" si="127"/>
        <v>Other</v>
      </c>
      <c r="J1990" s="1">
        <f t="shared" si="128"/>
        <v>259547.04000000004</v>
      </c>
    </row>
    <row r="1991" spans="1:10" ht="12.75">
      <c r="A1991" s="1" t="s">
        <v>11</v>
      </c>
      <c r="B1991" s="1" t="s">
        <v>39</v>
      </c>
      <c r="C1991" s="1" t="s">
        <v>65</v>
      </c>
      <c r="D1991" s="2">
        <v>44960</v>
      </c>
      <c r="E1991" s="1" t="s">
        <v>1788</v>
      </c>
      <c r="F1991" s="5">
        <f t="shared" si="125"/>
        <v>7624.67</v>
      </c>
      <c r="G1991" s="1">
        <v>422</v>
      </c>
      <c r="H1991" s="1" t="str">
        <f t="shared" si="126"/>
        <v>High</v>
      </c>
      <c r="I1991" s="1" t="str">
        <f t="shared" si="127"/>
        <v>Other</v>
      </c>
      <c r="J1991" s="1">
        <f t="shared" si="128"/>
        <v>259547.04000000004</v>
      </c>
    </row>
    <row r="1992" spans="1:10" ht="12.75">
      <c r="A1992" s="1" t="s">
        <v>28</v>
      </c>
      <c r="B1992" s="1" t="s">
        <v>42</v>
      </c>
      <c r="C1992" s="1" t="s">
        <v>86</v>
      </c>
      <c r="D1992" s="2">
        <v>45052</v>
      </c>
      <c r="E1992" s="1" t="s">
        <v>1789</v>
      </c>
      <c r="F1992" s="5">
        <f t="shared" si="125"/>
        <v>10168.32</v>
      </c>
      <c r="G1992" s="1">
        <v>159</v>
      </c>
      <c r="H1992" s="1" t="str">
        <f t="shared" si="126"/>
        <v>High</v>
      </c>
      <c r="I1992" s="1" t="str">
        <f t="shared" si="127"/>
        <v>Other</v>
      </c>
      <c r="J1992" s="1">
        <f t="shared" si="128"/>
        <v>259547.04000000004</v>
      </c>
    </row>
    <row r="1993" spans="1:10" ht="12.75">
      <c r="A1993" s="1" t="s">
        <v>23</v>
      </c>
      <c r="B1993" s="1" t="s">
        <v>39</v>
      </c>
      <c r="C1993" s="1" t="s">
        <v>102</v>
      </c>
      <c r="D1993" s="2">
        <v>45107</v>
      </c>
      <c r="E1993" s="1" t="s">
        <v>1790</v>
      </c>
      <c r="F1993" s="5">
        <f t="shared" si="125"/>
        <v>6635.15</v>
      </c>
      <c r="G1993" s="1">
        <v>141</v>
      </c>
      <c r="H1993" s="1" t="str">
        <f t="shared" si="126"/>
        <v>High</v>
      </c>
      <c r="I1993" s="1" t="str">
        <f t="shared" si="127"/>
        <v>Other</v>
      </c>
      <c r="J1993" s="1">
        <f t="shared" si="128"/>
        <v>259547.04000000004</v>
      </c>
    </row>
    <row r="1994" spans="1:10" ht="12.75">
      <c r="A1994" s="1" t="s">
        <v>23</v>
      </c>
      <c r="B1994" s="1" t="s">
        <v>39</v>
      </c>
      <c r="C1994" s="1" t="s">
        <v>49</v>
      </c>
      <c r="D1994" s="2">
        <v>45007</v>
      </c>
      <c r="E1994" s="1" t="s">
        <v>1791</v>
      </c>
      <c r="F1994" s="5">
        <f t="shared" si="125"/>
        <v>860.12</v>
      </c>
      <c r="G1994" s="1">
        <v>158</v>
      </c>
      <c r="H1994" s="1" t="str">
        <f t="shared" si="126"/>
        <v>High</v>
      </c>
      <c r="I1994" s="1" t="str">
        <f t="shared" si="127"/>
        <v>Other</v>
      </c>
      <c r="J1994" s="1">
        <f t="shared" si="128"/>
        <v>259547.04000000004</v>
      </c>
    </row>
    <row r="1995" spans="1:10" ht="12.75">
      <c r="A1995" s="1" t="s">
        <v>25</v>
      </c>
      <c r="B1995" s="1" t="s">
        <v>62</v>
      </c>
      <c r="C1995" s="1" t="s">
        <v>60</v>
      </c>
      <c r="D1995" s="2">
        <v>44974</v>
      </c>
      <c r="E1995" s="1" t="s">
        <v>1792</v>
      </c>
      <c r="F1995" s="5">
        <f t="shared" si="125"/>
        <v>8671.2099999999991</v>
      </c>
      <c r="G1995" s="1">
        <v>52</v>
      </c>
      <c r="H1995" s="1" t="str">
        <f t="shared" si="126"/>
        <v>High</v>
      </c>
      <c r="I1995" s="1" t="str">
        <f t="shared" si="127"/>
        <v>Other</v>
      </c>
      <c r="J1995" s="1">
        <f t="shared" si="128"/>
        <v>259547.04000000004</v>
      </c>
    </row>
    <row r="1996" spans="1:10" ht="12.75">
      <c r="A1996" s="1" t="s">
        <v>11</v>
      </c>
      <c r="B1996" s="1" t="s">
        <v>39</v>
      </c>
      <c r="C1996" s="1" t="s">
        <v>43</v>
      </c>
      <c r="D1996" s="2">
        <v>45114</v>
      </c>
      <c r="E1996" s="1" t="s">
        <v>1793</v>
      </c>
      <c r="F1996" s="5">
        <f t="shared" si="125"/>
        <v>5534.11</v>
      </c>
      <c r="G1996" s="1">
        <v>63</v>
      </c>
      <c r="H1996" s="1" t="str">
        <f t="shared" si="126"/>
        <v>High</v>
      </c>
      <c r="I1996" s="1" t="str">
        <f t="shared" si="127"/>
        <v>Other</v>
      </c>
      <c r="J1996" s="1">
        <f t="shared" si="128"/>
        <v>259547.04000000004</v>
      </c>
    </row>
    <row r="1997" spans="1:10" ht="12.75">
      <c r="A1997" s="1" t="s">
        <v>22</v>
      </c>
      <c r="B1997" s="1" t="s">
        <v>39</v>
      </c>
      <c r="C1997" s="1" t="s">
        <v>147</v>
      </c>
      <c r="D1997" s="2">
        <v>45001</v>
      </c>
      <c r="E1997" s="1" t="s">
        <v>1794</v>
      </c>
      <c r="F1997" s="5">
        <f t="shared" si="125"/>
        <v>6800.26</v>
      </c>
      <c r="G1997" s="1">
        <v>187</v>
      </c>
      <c r="H1997" s="1" t="str">
        <f t="shared" si="126"/>
        <v>High</v>
      </c>
      <c r="I1997" s="1" t="str">
        <f t="shared" si="127"/>
        <v>Other</v>
      </c>
      <c r="J1997" s="1">
        <f t="shared" si="128"/>
        <v>259547.04000000004</v>
      </c>
    </row>
    <row r="1998" spans="1:10" ht="12.75">
      <c r="A1998" s="1" t="s">
        <v>12</v>
      </c>
      <c r="B1998" s="1" t="s">
        <v>39</v>
      </c>
      <c r="C1998" s="1" t="s">
        <v>51</v>
      </c>
      <c r="D1998" s="2">
        <v>45150</v>
      </c>
      <c r="E1998" s="1" t="s">
        <v>1795</v>
      </c>
      <c r="F1998" s="5">
        <f t="shared" si="125"/>
        <v>3927.83</v>
      </c>
      <c r="G1998" s="1">
        <v>123</v>
      </c>
      <c r="H1998" s="1" t="str">
        <f t="shared" si="126"/>
        <v>High</v>
      </c>
      <c r="I1998" s="1" t="str">
        <f t="shared" si="127"/>
        <v>Other</v>
      </c>
      <c r="J1998" s="1">
        <f t="shared" si="128"/>
        <v>259547.04000000004</v>
      </c>
    </row>
    <row r="1999" spans="1:10" ht="12.75">
      <c r="A1999" s="1" t="s">
        <v>20</v>
      </c>
      <c r="B1999" s="1" t="s">
        <v>54</v>
      </c>
      <c r="C1999" s="1" t="s">
        <v>52</v>
      </c>
      <c r="D1999" s="2">
        <v>44947</v>
      </c>
      <c r="E1999" s="1" t="s">
        <v>1796</v>
      </c>
      <c r="F1999" s="5">
        <f t="shared" si="125"/>
        <v>5833.8</v>
      </c>
      <c r="G1999" s="1">
        <v>196</v>
      </c>
      <c r="H1999" s="1" t="str">
        <f t="shared" si="126"/>
        <v>High</v>
      </c>
      <c r="I1999" s="1" t="str">
        <f t="shared" si="127"/>
        <v>Other</v>
      </c>
      <c r="J1999" s="1">
        <f t="shared" si="128"/>
        <v>259547.04000000004</v>
      </c>
    </row>
    <row r="2000" spans="1:10" ht="12.75">
      <c r="A2000" s="1" t="s">
        <v>22</v>
      </c>
      <c r="B2000" s="1" t="s">
        <v>5</v>
      </c>
      <c r="C2000" s="1" t="s">
        <v>55</v>
      </c>
      <c r="D2000" s="2">
        <v>45052</v>
      </c>
      <c r="E2000" s="1" t="s">
        <v>1797</v>
      </c>
      <c r="F2000" s="5">
        <f t="shared" si="125"/>
        <v>733.08</v>
      </c>
      <c r="G2000" s="1">
        <v>147</v>
      </c>
      <c r="H2000" s="1" t="str">
        <f t="shared" si="126"/>
        <v>Medium</v>
      </c>
      <c r="I2000" s="1" t="str">
        <f t="shared" si="127"/>
        <v>Other</v>
      </c>
      <c r="J2000" s="1">
        <f t="shared" si="128"/>
        <v>259547.04000000004</v>
      </c>
    </row>
    <row r="2001" spans="1:10" ht="12.75">
      <c r="A2001" s="1" t="s">
        <v>22</v>
      </c>
      <c r="B2001" s="1" t="s">
        <v>62</v>
      </c>
      <c r="C2001" s="1" t="s">
        <v>55</v>
      </c>
      <c r="D2001" s="2">
        <v>45101</v>
      </c>
      <c r="E2001" s="1" t="s">
        <v>1798</v>
      </c>
      <c r="F2001" s="5">
        <f t="shared" si="125"/>
        <v>7164.51</v>
      </c>
      <c r="G2001" s="1">
        <v>140</v>
      </c>
      <c r="H2001" s="1" t="str">
        <f t="shared" si="126"/>
        <v>High</v>
      </c>
      <c r="I2001" s="1" t="str">
        <f t="shared" si="127"/>
        <v>Other</v>
      </c>
      <c r="J2001" s="1">
        <f t="shared" si="128"/>
        <v>259547.04000000004</v>
      </c>
    </row>
    <row r="2002" spans="1:10" ht="12.75">
      <c r="A2002" s="1" t="s">
        <v>16</v>
      </c>
      <c r="B2002" s="1" t="s">
        <v>59</v>
      </c>
      <c r="C2002" s="1" t="s">
        <v>84</v>
      </c>
      <c r="D2002" s="2">
        <v>45051</v>
      </c>
      <c r="E2002" s="1" t="s">
        <v>1799</v>
      </c>
      <c r="F2002" s="5">
        <f t="shared" si="125"/>
        <v>7900.52</v>
      </c>
      <c r="G2002" s="1">
        <v>175</v>
      </c>
      <c r="H2002" s="1" t="str">
        <f t="shared" si="126"/>
        <v>High</v>
      </c>
      <c r="I2002" s="1" t="str">
        <f t="shared" si="127"/>
        <v>Other</v>
      </c>
      <c r="J2002" s="1">
        <f t="shared" si="128"/>
        <v>259547.04000000004</v>
      </c>
    </row>
    <row r="2003" spans="1:10" ht="12.75">
      <c r="A2003" s="1" t="s">
        <v>19</v>
      </c>
      <c r="B2003" s="1" t="s">
        <v>54</v>
      </c>
      <c r="C2003" s="1" t="s">
        <v>51</v>
      </c>
      <c r="D2003" s="2">
        <v>45010</v>
      </c>
      <c r="E2003" s="1" t="s">
        <v>1800</v>
      </c>
      <c r="F2003" s="5">
        <f t="shared" si="125"/>
        <v>3550.76</v>
      </c>
      <c r="G2003" s="1">
        <v>85</v>
      </c>
      <c r="H2003" s="1" t="str">
        <f t="shared" si="126"/>
        <v>High</v>
      </c>
      <c r="I2003" s="1" t="str">
        <f t="shared" si="127"/>
        <v>Other</v>
      </c>
      <c r="J2003" s="1">
        <f t="shared" si="128"/>
        <v>259547.04000000004</v>
      </c>
    </row>
    <row r="2004" spans="1:10" ht="12.75">
      <c r="A2004" s="1" t="s">
        <v>24</v>
      </c>
      <c r="B2004" s="1" t="s">
        <v>5</v>
      </c>
      <c r="C2004" s="1" t="s">
        <v>126</v>
      </c>
      <c r="D2004" s="2">
        <v>44971</v>
      </c>
      <c r="E2004" s="1" t="s">
        <v>1801</v>
      </c>
      <c r="F2004" s="5">
        <f t="shared" si="125"/>
        <v>10281.51</v>
      </c>
      <c r="G2004" s="1">
        <v>136</v>
      </c>
      <c r="H2004" s="1" t="str">
        <f t="shared" si="126"/>
        <v>High</v>
      </c>
      <c r="I2004" s="1" t="str">
        <f t="shared" si="127"/>
        <v>Other</v>
      </c>
      <c r="J2004" s="1">
        <f t="shared" si="128"/>
        <v>259547.04000000004</v>
      </c>
    </row>
    <row r="2005" spans="1:10" ht="12.75">
      <c r="A2005" s="1" t="s">
        <v>24</v>
      </c>
      <c r="B2005" s="1" t="s">
        <v>54</v>
      </c>
      <c r="C2005" s="1" t="s">
        <v>43</v>
      </c>
      <c r="D2005" s="2">
        <v>45058</v>
      </c>
      <c r="E2005" s="1" t="s">
        <v>1802</v>
      </c>
      <c r="F2005" s="5">
        <f t="shared" si="125"/>
        <v>5936.81</v>
      </c>
      <c r="G2005" s="1">
        <v>180</v>
      </c>
      <c r="H2005" s="1" t="str">
        <f t="shared" si="126"/>
        <v>High</v>
      </c>
      <c r="I2005" s="1" t="str">
        <f t="shared" si="127"/>
        <v>Other</v>
      </c>
      <c r="J2005" s="1">
        <f t="shared" si="128"/>
        <v>259547.04000000004</v>
      </c>
    </row>
    <row r="2006" spans="1:10" ht="12.75">
      <c r="A2006" s="1" t="s">
        <v>16</v>
      </c>
      <c r="B2006" s="1" t="s">
        <v>54</v>
      </c>
      <c r="C2006" s="1" t="s">
        <v>49</v>
      </c>
      <c r="D2006" s="2">
        <v>44951</v>
      </c>
      <c r="E2006" s="1" t="s">
        <v>1803</v>
      </c>
      <c r="F2006" s="5">
        <f t="shared" si="125"/>
        <v>4552.1499999999996</v>
      </c>
      <c r="G2006" s="1">
        <v>172</v>
      </c>
      <c r="H2006" s="1" t="str">
        <f t="shared" si="126"/>
        <v>High</v>
      </c>
      <c r="I2006" s="1" t="str">
        <f t="shared" si="127"/>
        <v>Other</v>
      </c>
      <c r="J2006" s="1">
        <f t="shared" si="128"/>
        <v>259547.04000000004</v>
      </c>
    </row>
    <row r="2007" spans="1:10" ht="12.75">
      <c r="A2007" s="1" t="s">
        <v>17</v>
      </c>
      <c r="B2007" s="1" t="s">
        <v>39</v>
      </c>
      <c r="C2007" s="1" t="s">
        <v>43</v>
      </c>
      <c r="D2007" s="2">
        <v>45105</v>
      </c>
      <c r="E2007" s="1" t="s">
        <v>1804</v>
      </c>
      <c r="F2007" s="5">
        <f t="shared" si="125"/>
        <v>15944.86</v>
      </c>
      <c r="G2007" s="1">
        <v>11</v>
      </c>
      <c r="H2007" s="1" t="str">
        <f t="shared" si="126"/>
        <v>High</v>
      </c>
      <c r="I2007" s="1" t="str">
        <f t="shared" si="127"/>
        <v>Other</v>
      </c>
      <c r="J2007" s="1">
        <f t="shared" si="128"/>
        <v>259547.04000000004</v>
      </c>
    </row>
    <row r="2008" spans="1:10" ht="12.75">
      <c r="A2008" s="1" t="s">
        <v>6</v>
      </c>
      <c r="B2008" s="1" t="s">
        <v>5</v>
      </c>
      <c r="C2008" s="1" t="s">
        <v>65</v>
      </c>
      <c r="D2008" s="2">
        <v>45120</v>
      </c>
      <c r="E2008" s="1" t="s">
        <v>1805</v>
      </c>
      <c r="F2008" s="5">
        <f t="shared" si="125"/>
        <v>7722.58</v>
      </c>
      <c r="G2008" s="1">
        <v>188</v>
      </c>
      <c r="H2008" s="1" t="str">
        <f t="shared" si="126"/>
        <v>High</v>
      </c>
      <c r="I2008" s="1" t="str">
        <f t="shared" si="127"/>
        <v>Other</v>
      </c>
      <c r="J2008" s="1">
        <f t="shared" si="128"/>
        <v>259547.04000000004</v>
      </c>
    </row>
    <row r="2009" spans="1:10" ht="12.75">
      <c r="A2009" s="1" t="s">
        <v>26</v>
      </c>
      <c r="B2009" s="1" t="s">
        <v>59</v>
      </c>
      <c r="C2009" s="1" t="s">
        <v>72</v>
      </c>
      <c r="D2009" s="2">
        <v>45062</v>
      </c>
      <c r="E2009" s="1" t="s">
        <v>1806</v>
      </c>
      <c r="F2009" s="5">
        <f t="shared" si="125"/>
        <v>3105.38</v>
      </c>
      <c r="G2009" s="1">
        <v>268</v>
      </c>
      <c r="H2009" s="1" t="str">
        <f t="shared" si="126"/>
        <v>High</v>
      </c>
      <c r="I2009" s="1" t="str">
        <f t="shared" si="127"/>
        <v>Other</v>
      </c>
      <c r="J2009" s="1">
        <f t="shared" si="128"/>
        <v>259547.04000000004</v>
      </c>
    </row>
    <row r="2010" spans="1:10" ht="12.75">
      <c r="A2010" s="1" t="s">
        <v>15</v>
      </c>
      <c r="B2010" s="1" t="s">
        <v>42</v>
      </c>
      <c r="C2010" s="1" t="s">
        <v>52</v>
      </c>
      <c r="D2010" s="2">
        <v>44999</v>
      </c>
      <c r="E2010" s="1" t="s">
        <v>1807</v>
      </c>
      <c r="F2010" s="5">
        <f t="shared" si="125"/>
        <v>6994.35</v>
      </c>
      <c r="G2010" s="1">
        <v>179</v>
      </c>
      <c r="H2010" s="1" t="str">
        <f t="shared" si="126"/>
        <v>High</v>
      </c>
      <c r="I2010" s="1" t="str">
        <f t="shared" si="127"/>
        <v>Other</v>
      </c>
      <c r="J2010" s="1">
        <f t="shared" si="128"/>
        <v>259547.04000000004</v>
      </c>
    </row>
    <row r="2011" spans="1:10" ht="12.75">
      <c r="A2011" s="1" t="s">
        <v>23</v>
      </c>
      <c r="B2011" s="1" t="s">
        <v>59</v>
      </c>
      <c r="C2011" s="1" t="s">
        <v>52</v>
      </c>
      <c r="D2011" s="2">
        <v>45153</v>
      </c>
      <c r="E2011" s="1" t="s">
        <v>1808</v>
      </c>
      <c r="F2011" s="5">
        <f t="shared" si="125"/>
        <v>4264.49</v>
      </c>
      <c r="G2011" s="1">
        <v>252</v>
      </c>
      <c r="H2011" s="1" t="str">
        <f t="shared" si="126"/>
        <v>High</v>
      </c>
      <c r="I2011" s="1" t="str">
        <f t="shared" si="127"/>
        <v>Other</v>
      </c>
      <c r="J2011" s="1">
        <f t="shared" si="128"/>
        <v>259547.04000000004</v>
      </c>
    </row>
    <row r="2012" spans="1:10" ht="12.75">
      <c r="A2012" s="1" t="s">
        <v>17</v>
      </c>
      <c r="B2012" s="1" t="s">
        <v>42</v>
      </c>
      <c r="C2012" s="1" t="s">
        <v>60</v>
      </c>
      <c r="D2012" s="2">
        <v>44973</v>
      </c>
      <c r="E2012" s="1" t="s">
        <v>1809</v>
      </c>
      <c r="F2012" s="5">
        <f t="shared" si="125"/>
        <v>1215.3</v>
      </c>
      <c r="G2012" s="1">
        <v>271</v>
      </c>
      <c r="H2012" s="1" t="str">
        <f t="shared" si="126"/>
        <v>High</v>
      </c>
      <c r="I2012" s="1" t="str">
        <f t="shared" si="127"/>
        <v>Other</v>
      </c>
      <c r="J2012" s="1">
        <f t="shared" si="128"/>
        <v>259547.04000000004</v>
      </c>
    </row>
    <row r="2013" spans="1:10" ht="12.75">
      <c r="A2013" s="1" t="s">
        <v>2</v>
      </c>
      <c r="B2013" s="1" t="s">
        <v>39</v>
      </c>
      <c r="C2013" s="1" t="s">
        <v>86</v>
      </c>
      <c r="D2013" s="2">
        <v>45092</v>
      </c>
      <c r="E2013" s="1" t="s">
        <v>1810</v>
      </c>
      <c r="F2013" s="5">
        <f t="shared" si="125"/>
        <v>8519.3700000000008</v>
      </c>
      <c r="G2013" s="1">
        <v>45</v>
      </c>
      <c r="H2013" s="1" t="str">
        <f t="shared" si="126"/>
        <v>High</v>
      </c>
      <c r="I2013" s="1" t="str">
        <f t="shared" si="127"/>
        <v>Other</v>
      </c>
      <c r="J2013" s="1">
        <f t="shared" si="128"/>
        <v>259547.04000000004</v>
      </c>
    </row>
    <row r="2014" spans="1:10" ht="12.75">
      <c r="A2014" s="1" t="s">
        <v>16</v>
      </c>
      <c r="B2014" s="1" t="s">
        <v>5</v>
      </c>
      <c r="C2014" s="1" t="s">
        <v>100</v>
      </c>
      <c r="D2014" s="2">
        <v>45073</v>
      </c>
      <c r="E2014" s="1" t="s">
        <v>1811</v>
      </c>
      <c r="F2014" s="5">
        <f t="shared" si="125"/>
        <v>9810.9500000000007</v>
      </c>
      <c r="G2014" s="1">
        <v>105</v>
      </c>
      <c r="H2014" s="1" t="str">
        <f t="shared" si="126"/>
        <v>High</v>
      </c>
      <c r="I2014" s="1" t="str">
        <f t="shared" si="127"/>
        <v>Other</v>
      </c>
      <c r="J2014" s="1">
        <f t="shared" si="128"/>
        <v>251027.66999999998</v>
      </c>
    </row>
    <row r="2015" spans="1:10" ht="12.75">
      <c r="A2015" s="1" t="s">
        <v>29</v>
      </c>
      <c r="B2015" s="1" t="s">
        <v>59</v>
      </c>
      <c r="C2015" s="1" t="s">
        <v>65</v>
      </c>
      <c r="D2015" s="2">
        <v>45091</v>
      </c>
      <c r="E2015" s="1" t="s">
        <v>1812</v>
      </c>
      <c r="F2015" s="5">
        <f t="shared" si="125"/>
        <v>1065.6300000000001</v>
      </c>
      <c r="G2015" s="1">
        <v>107</v>
      </c>
      <c r="H2015" s="1" t="str">
        <f t="shared" si="126"/>
        <v>High</v>
      </c>
      <c r="I2015" s="1" t="str">
        <f t="shared" si="127"/>
        <v>Other</v>
      </c>
      <c r="J2015" s="1">
        <f t="shared" si="128"/>
        <v>251027.66999999998</v>
      </c>
    </row>
    <row r="2016" spans="1:10" ht="12.75">
      <c r="A2016" s="1" t="s">
        <v>29</v>
      </c>
      <c r="B2016" s="1" t="s">
        <v>42</v>
      </c>
      <c r="C2016" s="1" t="s">
        <v>63</v>
      </c>
      <c r="D2016" s="2">
        <v>44982</v>
      </c>
      <c r="E2016" s="1" t="s">
        <v>1813</v>
      </c>
      <c r="F2016" s="5">
        <f t="shared" si="125"/>
        <v>3894.68</v>
      </c>
      <c r="G2016" s="1">
        <v>80</v>
      </c>
      <c r="H2016" s="1" t="str">
        <f t="shared" si="126"/>
        <v>High</v>
      </c>
      <c r="I2016" s="1" t="str">
        <f t="shared" si="127"/>
        <v>Other</v>
      </c>
      <c r="J2016" s="1">
        <f t="shared" si="128"/>
        <v>251027.66999999998</v>
      </c>
    </row>
    <row r="2017" spans="1:10" ht="12.75">
      <c r="A2017" s="1" t="s">
        <v>29</v>
      </c>
      <c r="B2017" s="1" t="s">
        <v>42</v>
      </c>
      <c r="C2017" s="1" t="s">
        <v>52</v>
      </c>
      <c r="D2017" s="2">
        <v>45142</v>
      </c>
      <c r="E2017" s="1" t="s">
        <v>1814</v>
      </c>
      <c r="F2017" s="5">
        <f t="shared" si="125"/>
        <v>12194.27</v>
      </c>
      <c r="G2017" s="1">
        <v>252</v>
      </c>
      <c r="H2017" s="1" t="str">
        <f t="shared" si="126"/>
        <v>High</v>
      </c>
      <c r="I2017" s="1" t="str">
        <f t="shared" si="127"/>
        <v>Other</v>
      </c>
      <c r="J2017" s="1">
        <f t="shared" si="128"/>
        <v>251027.66999999998</v>
      </c>
    </row>
    <row r="2018" spans="1:10" ht="12.75">
      <c r="A2018" s="1" t="s">
        <v>12</v>
      </c>
      <c r="B2018" s="1" t="s">
        <v>42</v>
      </c>
      <c r="C2018" s="1" t="s">
        <v>51</v>
      </c>
      <c r="D2018" s="2">
        <v>45105</v>
      </c>
      <c r="E2018" s="1" t="s">
        <v>1815</v>
      </c>
      <c r="F2018" s="5">
        <f t="shared" si="125"/>
        <v>2455.13</v>
      </c>
      <c r="G2018" s="1">
        <v>236</v>
      </c>
      <c r="H2018" s="1" t="str">
        <f t="shared" si="126"/>
        <v>High</v>
      </c>
      <c r="I2018" s="1" t="str">
        <f t="shared" si="127"/>
        <v>Other</v>
      </c>
      <c r="J2018" s="1">
        <f t="shared" si="128"/>
        <v>251027.66999999998</v>
      </c>
    </row>
    <row r="2019" spans="1:10" ht="12.75">
      <c r="A2019" s="1" t="s">
        <v>23</v>
      </c>
      <c r="B2019" s="1" t="s">
        <v>62</v>
      </c>
      <c r="C2019" s="1" t="s">
        <v>76</v>
      </c>
      <c r="D2019" s="2">
        <v>45021</v>
      </c>
      <c r="E2019" s="1" t="s">
        <v>1816</v>
      </c>
      <c r="F2019" s="5">
        <f t="shared" si="125"/>
        <v>14887.76</v>
      </c>
      <c r="G2019" s="1">
        <v>12</v>
      </c>
      <c r="H2019" s="1" t="str">
        <f t="shared" si="126"/>
        <v>High</v>
      </c>
      <c r="I2019" s="1" t="str">
        <f t="shared" si="127"/>
        <v>Other</v>
      </c>
      <c r="J2019" s="1">
        <f t="shared" si="128"/>
        <v>251027.66999999998</v>
      </c>
    </row>
    <row r="2020" spans="1:10" ht="12.75">
      <c r="A2020" s="1" t="s">
        <v>9</v>
      </c>
      <c r="B2020" s="1" t="s">
        <v>62</v>
      </c>
      <c r="C2020" s="1" t="s">
        <v>45</v>
      </c>
      <c r="D2020" s="2">
        <v>45112</v>
      </c>
      <c r="E2020" s="1" t="s">
        <v>1817</v>
      </c>
      <c r="F2020" s="5">
        <f t="shared" si="125"/>
        <v>15276.46</v>
      </c>
      <c r="G2020" s="1">
        <v>121</v>
      </c>
      <c r="H2020" s="1" t="str">
        <f t="shared" si="126"/>
        <v>High</v>
      </c>
      <c r="I2020" s="1" t="str">
        <f t="shared" si="127"/>
        <v>Other</v>
      </c>
      <c r="J2020" s="1">
        <f t="shared" si="128"/>
        <v>251027.66999999998</v>
      </c>
    </row>
    <row r="2021" spans="1:10" ht="12.75">
      <c r="A2021" s="1" t="s">
        <v>8</v>
      </c>
      <c r="B2021" s="1" t="s">
        <v>54</v>
      </c>
      <c r="C2021" s="1" t="s">
        <v>63</v>
      </c>
      <c r="D2021" s="2">
        <v>44946</v>
      </c>
      <c r="E2021" s="1" t="s">
        <v>1818</v>
      </c>
      <c r="F2021" s="5">
        <f t="shared" si="125"/>
        <v>13520.48</v>
      </c>
      <c r="G2021" s="1">
        <v>47</v>
      </c>
      <c r="H2021" s="1" t="str">
        <f t="shared" si="126"/>
        <v>High</v>
      </c>
      <c r="I2021" s="1" t="str">
        <f t="shared" si="127"/>
        <v>Other</v>
      </c>
      <c r="J2021" s="1">
        <f t="shared" si="128"/>
        <v>251027.66999999998</v>
      </c>
    </row>
    <row r="2022" spans="1:10" ht="12.75">
      <c r="A2022" s="1" t="s">
        <v>17</v>
      </c>
      <c r="B2022" s="1" t="s">
        <v>54</v>
      </c>
      <c r="C2022" s="1" t="s">
        <v>65</v>
      </c>
      <c r="D2022" s="2">
        <v>44973</v>
      </c>
      <c r="E2022" s="1" t="s">
        <v>1819</v>
      </c>
      <c r="F2022" s="5">
        <f t="shared" si="125"/>
        <v>9195.5300000000007</v>
      </c>
      <c r="G2022" s="1">
        <v>127</v>
      </c>
      <c r="H2022" s="1" t="str">
        <f t="shared" si="126"/>
        <v>High</v>
      </c>
      <c r="I2022" s="1" t="str">
        <f t="shared" si="127"/>
        <v>Other</v>
      </c>
      <c r="J2022" s="1">
        <f t="shared" si="128"/>
        <v>251027.66999999998</v>
      </c>
    </row>
    <row r="2023" spans="1:10" ht="12.75">
      <c r="A2023" s="1" t="s">
        <v>24</v>
      </c>
      <c r="B2023" s="1" t="s">
        <v>39</v>
      </c>
      <c r="C2023" s="1" t="s">
        <v>65</v>
      </c>
      <c r="D2023" s="2">
        <v>45119</v>
      </c>
      <c r="E2023" s="1" t="s">
        <v>1820</v>
      </c>
      <c r="F2023" s="5">
        <f t="shared" si="125"/>
        <v>460.98</v>
      </c>
      <c r="G2023" s="1">
        <v>182</v>
      </c>
      <c r="H2023" s="1" t="str">
        <f t="shared" si="126"/>
        <v>Low</v>
      </c>
      <c r="I2023" s="1" t="str">
        <f t="shared" si="127"/>
        <v>Other</v>
      </c>
      <c r="J2023" s="1">
        <f t="shared" si="128"/>
        <v>251027.66999999998</v>
      </c>
    </row>
    <row r="2024" spans="1:10" ht="12.75">
      <c r="A2024" s="1" t="s">
        <v>12</v>
      </c>
      <c r="B2024" s="1" t="s">
        <v>42</v>
      </c>
      <c r="C2024" s="1" t="s">
        <v>100</v>
      </c>
      <c r="D2024" s="2">
        <v>45093</v>
      </c>
      <c r="E2024" s="1" t="s">
        <v>1821</v>
      </c>
      <c r="F2024" s="5">
        <f t="shared" si="125"/>
        <v>8216.56</v>
      </c>
      <c r="G2024" s="1">
        <v>257</v>
      </c>
      <c r="H2024" s="1" t="str">
        <f t="shared" si="126"/>
        <v>High</v>
      </c>
      <c r="I2024" s="1" t="str">
        <f t="shared" si="127"/>
        <v>Other</v>
      </c>
      <c r="J2024" s="1">
        <f t="shared" si="128"/>
        <v>251027.66999999998</v>
      </c>
    </row>
    <row r="2025" spans="1:10" ht="12.75">
      <c r="A2025" s="1" t="s">
        <v>21</v>
      </c>
      <c r="B2025" s="1" t="s">
        <v>5</v>
      </c>
      <c r="C2025" s="1" t="s">
        <v>102</v>
      </c>
      <c r="D2025" s="2">
        <v>45029</v>
      </c>
      <c r="E2025" s="1" t="s">
        <v>1822</v>
      </c>
      <c r="F2025" s="5">
        <f t="shared" si="125"/>
        <v>1863.54</v>
      </c>
      <c r="G2025" s="1">
        <v>277</v>
      </c>
      <c r="H2025" s="1" t="str">
        <f t="shared" si="126"/>
        <v>High</v>
      </c>
      <c r="I2025" s="1" t="str">
        <f t="shared" si="127"/>
        <v>Other</v>
      </c>
      <c r="J2025" s="1">
        <f t="shared" si="128"/>
        <v>251027.66999999998</v>
      </c>
    </row>
    <row r="2026" spans="1:10" ht="12.75">
      <c r="A2026" s="1" t="s">
        <v>8</v>
      </c>
      <c r="B2026" s="1" t="s">
        <v>39</v>
      </c>
      <c r="C2026" s="1" t="s">
        <v>55</v>
      </c>
      <c r="D2026" s="2">
        <v>44978</v>
      </c>
      <c r="E2026" s="1" t="s">
        <v>1823</v>
      </c>
      <c r="F2026" s="5">
        <f t="shared" si="125"/>
        <v>3283</v>
      </c>
      <c r="G2026" s="1">
        <v>72</v>
      </c>
      <c r="H2026" s="1" t="str">
        <f t="shared" si="126"/>
        <v>High</v>
      </c>
      <c r="I2026" s="1" t="str">
        <f t="shared" si="127"/>
        <v>Other</v>
      </c>
      <c r="J2026" s="1">
        <f t="shared" si="128"/>
        <v>251027.66999999998</v>
      </c>
    </row>
    <row r="2027" spans="1:10" ht="12.75">
      <c r="A2027" s="1" t="s">
        <v>26</v>
      </c>
      <c r="B2027" s="1" t="s">
        <v>62</v>
      </c>
      <c r="C2027" s="1" t="s">
        <v>102</v>
      </c>
      <c r="D2027" s="2">
        <v>45057</v>
      </c>
      <c r="E2027" s="1" t="s">
        <v>1824</v>
      </c>
      <c r="F2027" s="5">
        <f t="shared" si="125"/>
        <v>5967.18</v>
      </c>
      <c r="G2027" s="1">
        <v>247</v>
      </c>
      <c r="H2027" s="1" t="str">
        <f t="shared" si="126"/>
        <v>High</v>
      </c>
      <c r="I2027" s="1" t="str">
        <f t="shared" si="127"/>
        <v>Other</v>
      </c>
      <c r="J2027" s="1">
        <f t="shared" si="128"/>
        <v>251027.66999999998</v>
      </c>
    </row>
    <row r="2028" spans="1:10" ht="12.75">
      <c r="A2028" s="1" t="s">
        <v>17</v>
      </c>
      <c r="B2028" s="1" t="s">
        <v>42</v>
      </c>
      <c r="C2028" s="1" t="s">
        <v>55</v>
      </c>
      <c r="D2028" s="2">
        <v>45031</v>
      </c>
      <c r="E2028" s="1" t="s">
        <v>1825</v>
      </c>
      <c r="F2028" s="5">
        <f t="shared" si="125"/>
        <v>12083.5</v>
      </c>
      <c r="G2028" s="1">
        <v>334</v>
      </c>
      <c r="H2028" s="1" t="str">
        <f t="shared" si="126"/>
        <v>High</v>
      </c>
      <c r="I2028" s="1" t="str">
        <f t="shared" si="127"/>
        <v>Other</v>
      </c>
      <c r="J2028" s="1">
        <f t="shared" si="128"/>
        <v>251027.66999999998</v>
      </c>
    </row>
    <row r="2029" spans="1:10" ht="12.75">
      <c r="A2029" s="1" t="s">
        <v>22</v>
      </c>
      <c r="B2029" s="1" t="s">
        <v>62</v>
      </c>
      <c r="C2029" s="1" t="s">
        <v>45</v>
      </c>
      <c r="D2029" s="2">
        <v>45084</v>
      </c>
      <c r="E2029" s="1" t="s">
        <v>1826</v>
      </c>
      <c r="F2029" s="5">
        <f t="shared" si="125"/>
        <v>12397.06</v>
      </c>
      <c r="G2029" s="1">
        <v>179</v>
      </c>
      <c r="H2029" s="1" t="str">
        <f t="shared" si="126"/>
        <v>High</v>
      </c>
      <c r="I2029" s="1" t="str">
        <f t="shared" si="127"/>
        <v>Other</v>
      </c>
      <c r="J2029" s="1">
        <f t="shared" si="128"/>
        <v>251027.66999999998</v>
      </c>
    </row>
    <row r="2030" spans="1:10" ht="12.75">
      <c r="A2030" s="1" t="s">
        <v>22</v>
      </c>
      <c r="B2030" s="1" t="s">
        <v>39</v>
      </c>
      <c r="C2030" s="1" t="s">
        <v>84</v>
      </c>
      <c r="D2030" s="2">
        <v>45104</v>
      </c>
      <c r="E2030" s="1" t="s">
        <v>1827</v>
      </c>
      <c r="F2030" s="5">
        <f t="shared" si="125"/>
        <v>1746.01</v>
      </c>
      <c r="G2030" s="1">
        <v>280</v>
      </c>
      <c r="H2030" s="1" t="str">
        <f t="shared" si="126"/>
        <v>High</v>
      </c>
      <c r="I2030" s="1" t="str">
        <f t="shared" si="127"/>
        <v>Other</v>
      </c>
      <c r="J2030" s="1">
        <f t="shared" si="128"/>
        <v>251027.66999999998</v>
      </c>
    </row>
    <row r="2031" spans="1:10" ht="12.75">
      <c r="A2031" s="1" t="s">
        <v>16</v>
      </c>
      <c r="B2031" s="1" t="s">
        <v>42</v>
      </c>
      <c r="C2031" s="1" t="s">
        <v>52</v>
      </c>
      <c r="D2031" s="2">
        <v>45136</v>
      </c>
      <c r="E2031" s="1" t="s">
        <v>1828</v>
      </c>
      <c r="F2031" s="5">
        <f t="shared" si="125"/>
        <v>9021.65</v>
      </c>
      <c r="G2031" s="1">
        <v>104</v>
      </c>
      <c r="H2031" s="1" t="str">
        <f t="shared" si="126"/>
        <v>High</v>
      </c>
      <c r="I2031" s="1" t="str">
        <f t="shared" si="127"/>
        <v>Other</v>
      </c>
      <c r="J2031" s="1">
        <f t="shared" si="128"/>
        <v>251027.66999999998</v>
      </c>
    </row>
    <row r="2032" spans="1:10" ht="12.75">
      <c r="A2032" s="1" t="s">
        <v>29</v>
      </c>
      <c r="B2032" s="1" t="s">
        <v>62</v>
      </c>
      <c r="C2032" s="1" t="s">
        <v>49</v>
      </c>
      <c r="D2032" s="2">
        <v>45079</v>
      </c>
      <c r="E2032" s="1" t="s">
        <v>1829</v>
      </c>
      <c r="F2032" s="5">
        <f t="shared" si="125"/>
        <v>5263.45</v>
      </c>
      <c r="G2032" s="1">
        <v>165</v>
      </c>
      <c r="H2032" s="1" t="str">
        <f t="shared" si="126"/>
        <v>High</v>
      </c>
      <c r="I2032" s="1" t="str">
        <f t="shared" si="127"/>
        <v>Other</v>
      </c>
      <c r="J2032" s="1">
        <f t="shared" si="128"/>
        <v>251027.66999999998</v>
      </c>
    </row>
    <row r="2033" spans="1:10" ht="12.75">
      <c r="A2033" s="1" t="s">
        <v>19</v>
      </c>
      <c r="B2033" s="1" t="s">
        <v>42</v>
      </c>
      <c r="C2033" s="1" t="s">
        <v>40</v>
      </c>
      <c r="D2033" s="2">
        <v>44952</v>
      </c>
      <c r="E2033" s="1" t="s">
        <v>1830</v>
      </c>
      <c r="F2033" s="5">
        <f t="shared" si="125"/>
        <v>15473</v>
      </c>
      <c r="G2033" s="1">
        <v>91</v>
      </c>
      <c r="H2033" s="1" t="str">
        <f t="shared" si="126"/>
        <v>High</v>
      </c>
      <c r="I2033" s="1" t="str">
        <f t="shared" si="127"/>
        <v>Other</v>
      </c>
      <c r="J2033" s="1">
        <f t="shared" si="128"/>
        <v>251027.66999999998</v>
      </c>
    </row>
    <row r="2034" spans="1:10" ht="12.75">
      <c r="A2034" s="1" t="s">
        <v>19</v>
      </c>
      <c r="B2034" s="1" t="s">
        <v>62</v>
      </c>
      <c r="C2034" s="1" t="s">
        <v>51</v>
      </c>
      <c r="D2034" s="2">
        <v>44987</v>
      </c>
      <c r="E2034" s="1" t="s">
        <v>1831</v>
      </c>
      <c r="F2034" s="5">
        <f t="shared" si="125"/>
        <v>5566.57</v>
      </c>
      <c r="G2034" s="1">
        <v>140</v>
      </c>
      <c r="H2034" s="1" t="str">
        <f t="shared" si="126"/>
        <v>High</v>
      </c>
      <c r="I2034" s="1" t="str">
        <f t="shared" si="127"/>
        <v>Other</v>
      </c>
      <c r="J2034" s="1">
        <f t="shared" si="128"/>
        <v>251027.66999999998</v>
      </c>
    </row>
    <row r="2035" spans="1:10" ht="12.75">
      <c r="A2035" s="1" t="s">
        <v>10</v>
      </c>
      <c r="B2035" s="1" t="s">
        <v>5</v>
      </c>
      <c r="C2035" s="1" t="s">
        <v>147</v>
      </c>
      <c r="D2035" s="2">
        <v>44936</v>
      </c>
      <c r="E2035" s="1" t="s">
        <v>1832</v>
      </c>
      <c r="F2035" s="5">
        <f t="shared" si="125"/>
        <v>8111.43</v>
      </c>
      <c r="G2035" s="1">
        <v>111</v>
      </c>
      <c r="H2035" s="1" t="str">
        <f t="shared" si="126"/>
        <v>High</v>
      </c>
      <c r="I2035" s="1" t="str">
        <f t="shared" si="127"/>
        <v>Other</v>
      </c>
      <c r="J2035" s="1">
        <f t="shared" si="128"/>
        <v>251027.66999999998</v>
      </c>
    </row>
    <row r="2036" spans="1:10" ht="12.75">
      <c r="A2036" s="1" t="s">
        <v>28</v>
      </c>
      <c r="B2036" s="1" t="s">
        <v>59</v>
      </c>
      <c r="C2036" s="1" t="s">
        <v>147</v>
      </c>
      <c r="D2036" s="2">
        <v>45104</v>
      </c>
      <c r="E2036" s="1" t="s">
        <v>1833</v>
      </c>
      <c r="F2036" s="5">
        <f t="shared" si="125"/>
        <v>2341.8000000000002</v>
      </c>
      <c r="G2036" s="1">
        <v>117</v>
      </c>
      <c r="H2036" s="1" t="str">
        <f t="shared" si="126"/>
        <v>High</v>
      </c>
      <c r="I2036" s="1" t="str">
        <f t="shared" si="127"/>
        <v>Other</v>
      </c>
      <c r="J2036" s="1">
        <f t="shared" si="128"/>
        <v>251027.66999999998</v>
      </c>
    </row>
    <row r="2037" spans="1:10" ht="12.75">
      <c r="A2037" s="1" t="s">
        <v>16</v>
      </c>
      <c r="B2037" s="1" t="s">
        <v>62</v>
      </c>
      <c r="C2037" s="1" t="s">
        <v>60</v>
      </c>
      <c r="D2037" s="2">
        <v>45107</v>
      </c>
      <c r="E2037" s="1" t="s">
        <v>1834</v>
      </c>
      <c r="F2037" s="5">
        <f t="shared" si="125"/>
        <v>8650.42</v>
      </c>
      <c r="G2037" s="1">
        <v>19</v>
      </c>
      <c r="H2037" s="1" t="str">
        <f t="shared" si="126"/>
        <v>High</v>
      </c>
      <c r="I2037" s="1" t="str">
        <f t="shared" si="127"/>
        <v>Other</v>
      </c>
      <c r="J2037" s="1">
        <f t="shared" si="128"/>
        <v>251027.66999999998</v>
      </c>
    </row>
    <row r="2038" spans="1:10" ht="12.75">
      <c r="A2038" s="1" t="s">
        <v>26</v>
      </c>
      <c r="B2038" s="1" t="s">
        <v>5</v>
      </c>
      <c r="C2038" s="1" t="s">
        <v>43</v>
      </c>
      <c r="D2038" s="2">
        <v>45115</v>
      </c>
      <c r="E2038" s="1" t="s">
        <v>1835</v>
      </c>
      <c r="F2038" s="5">
        <f t="shared" si="125"/>
        <v>4444.72</v>
      </c>
      <c r="G2038" s="1">
        <v>77</v>
      </c>
      <c r="H2038" s="1" t="str">
        <f t="shared" si="126"/>
        <v>High</v>
      </c>
      <c r="I2038" s="1" t="str">
        <f t="shared" si="127"/>
        <v>Other</v>
      </c>
      <c r="J2038" s="1">
        <f t="shared" si="128"/>
        <v>251027.66999999998</v>
      </c>
    </row>
    <row r="2039" spans="1:10" ht="12.75">
      <c r="A2039" s="1" t="s">
        <v>22</v>
      </c>
      <c r="B2039" s="1" t="s">
        <v>42</v>
      </c>
      <c r="C2039" s="1" t="s">
        <v>76</v>
      </c>
      <c r="D2039" s="2">
        <v>45085</v>
      </c>
      <c r="E2039" s="1" t="s">
        <v>1836</v>
      </c>
      <c r="F2039" s="5">
        <f t="shared" si="125"/>
        <v>12531.37</v>
      </c>
      <c r="G2039" s="1">
        <v>86</v>
      </c>
      <c r="H2039" s="1" t="str">
        <f t="shared" si="126"/>
        <v>High</v>
      </c>
      <c r="I2039" s="1" t="str">
        <f t="shared" si="127"/>
        <v>Other</v>
      </c>
      <c r="J2039" s="1">
        <f t="shared" si="128"/>
        <v>251027.66999999998</v>
      </c>
    </row>
    <row r="2040" spans="1:10" ht="12.75">
      <c r="A2040" s="1" t="s">
        <v>15</v>
      </c>
      <c r="B2040" s="1" t="s">
        <v>39</v>
      </c>
      <c r="C2040" s="1" t="s">
        <v>86</v>
      </c>
      <c r="D2040" s="2">
        <v>45156</v>
      </c>
      <c r="E2040" s="1" t="s">
        <v>1837</v>
      </c>
      <c r="F2040" s="5">
        <f t="shared" si="125"/>
        <v>3558.89</v>
      </c>
      <c r="G2040" s="1">
        <v>231</v>
      </c>
      <c r="H2040" s="1" t="str">
        <f t="shared" si="126"/>
        <v>High</v>
      </c>
      <c r="I2040" s="1" t="str">
        <f t="shared" si="127"/>
        <v>Other</v>
      </c>
      <c r="J2040" s="1">
        <f t="shared" si="128"/>
        <v>251027.66999999998</v>
      </c>
    </row>
    <row r="2041" spans="1:10" ht="12.75">
      <c r="A2041" s="1" t="s">
        <v>8</v>
      </c>
      <c r="B2041" s="1" t="s">
        <v>5</v>
      </c>
      <c r="C2041" s="1" t="s">
        <v>52</v>
      </c>
      <c r="D2041" s="2">
        <v>45024</v>
      </c>
      <c r="E2041" s="1" t="s">
        <v>1838</v>
      </c>
      <c r="F2041" s="5">
        <f t="shared" si="125"/>
        <v>7889.9</v>
      </c>
      <c r="G2041" s="1">
        <v>300</v>
      </c>
      <c r="H2041" s="1" t="str">
        <f t="shared" si="126"/>
        <v>High</v>
      </c>
      <c r="I2041" s="1" t="str">
        <f t="shared" si="127"/>
        <v>Other</v>
      </c>
      <c r="J2041" s="1">
        <f t="shared" si="128"/>
        <v>251027.66999999998</v>
      </c>
    </row>
    <row r="2042" spans="1:10" ht="12.75">
      <c r="A2042" s="1" t="s">
        <v>29</v>
      </c>
      <c r="B2042" s="1" t="s">
        <v>62</v>
      </c>
      <c r="C2042" s="1" t="s">
        <v>81</v>
      </c>
      <c r="D2042" s="2">
        <v>45146</v>
      </c>
      <c r="E2042" s="1" t="s">
        <v>1839</v>
      </c>
      <c r="F2042" s="5">
        <f t="shared" si="125"/>
        <v>3589.18</v>
      </c>
      <c r="G2042" s="1">
        <v>176</v>
      </c>
      <c r="H2042" s="1" t="str">
        <f t="shared" si="126"/>
        <v>High</v>
      </c>
      <c r="I2042" s="1" t="str">
        <f t="shared" si="127"/>
        <v>Other</v>
      </c>
      <c r="J2042" s="1">
        <f t="shared" si="128"/>
        <v>251027.66999999998</v>
      </c>
    </row>
    <row r="2043" spans="1:10" ht="12.75">
      <c r="A2043" s="1" t="s">
        <v>29</v>
      </c>
      <c r="B2043" s="1" t="s">
        <v>39</v>
      </c>
      <c r="C2043" s="1" t="s">
        <v>72</v>
      </c>
      <c r="D2043" s="2">
        <v>45164</v>
      </c>
      <c r="E2043" s="1" t="s">
        <v>1840</v>
      </c>
      <c r="F2043" s="5">
        <f t="shared" si="125"/>
        <v>305.39</v>
      </c>
      <c r="G2043" s="1">
        <v>62</v>
      </c>
      <c r="H2043" s="1" t="str">
        <f t="shared" si="126"/>
        <v>Low</v>
      </c>
      <c r="I2043" s="1" t="str">
        <f t="shared" si="127"/>
        <v>Other</v>
      </c>
      <c r="J2043" s="1">
        <f t="shared" si="128"/>
        <v>251027.66999999998</v>
      </c>
    </row>
    <row r="2044" spans="1:10" ht="12.75">
      <c r="A2044" s="1" t="s">
        <v>22</v>
      </c>
      <c r="B2044" s="1" t="s">
        <v>62</v>
      </c>
      <c r="C2044" s="1" t="s">
        <v>81</v>
      </c>
      <c r="D2044" s="2">
        <v>44940</v>
      </c>
      <c r="E2044" s="1" t="s">
        <v>1841</v>
      </c>
      <c r="F2044" s="5">
        <f t="shared" si="125"/>
        <v>1896.64</v>
      </c>
      <c r="G2044" s="1">
        <v>161</v>
      </c>
      <c r="H2044" s="1" t="str">
        <f t="shared" si="126"/>
        <v>High</v>
      </c>
      <c r="I2044" s="1" t="str">
        <f t="shared" si="127"/>
        <v>Other</v>
      </c>
      <c r="J2044" s="1">
        <f t="shared" si="128"/>
        <v>251027.66999999998</v>
      </c>
    </row>
    <row r="2045" spans="1:10" ht="12.75">
      <c r="A2045" s="1" t="s">
        <v>6</v>
      </c>
      <c r="B2045" s="1" t="s">
        <v>59</v>
      </c>
      <c r="C2045" s="1" t="s">
        <v>122</v>
      </c>
      <c r="D2045" s="2">
        <v>45149</v>
      </c>
      <c r="E2045" s="1" t="s">
        <v>1842</v>
      </c>
      <c r="F2045" s="5">
        <f t="shared" si="125"/>
        <v>18494.72</v>
      </c>
      <c r="G2045" s="1">
        <v>298</v>
      </c>
      <c r="H2045" s="1" t="str">
        <f t="shared" si="126"/>
        <v>High</v>
      </c>
      <c r="I2045" s="1" t="str">
        <f t="shared" si="127"/>
        <v>Other</v>
      </c>
      <c r="J2045" s="1">
        <f t="shared" si="128"/>
        <v>251027.66999999998</v>
      </c>
    </row>
    <row r="2046" spans="1:10" ht="12.75">
      <c r="A2046" s="1" t="s">
        <v>9</v>
      </c>
      <c r="B2046" s="1" t="s">
        <v>59</v>
      </c>
      <c r="C2046" s="1" t="s">
        <v>91</v>
      </c>
      <c r="D2046" s="2">
        <v>45077</v>
      </c>
      <c r="E2046" s="1" t="s">
        <v>1843</v>
      </c>
      <c r="F2046" s="5">
        <f t="shared" si="125"/>
        <v>11103.47</v>
      </c>
      <c r="G2046" s="1">
        <v>24</v>
      </c>
      <c r="H2046" s="1" t="str">
        <f t="shared" si="126"/>
        <v>High</v>
      </c>
      <c r="I2046" s="1" t="str">
        <f t="shared" si="127"/>
        <v>Other</v>
      </c>
      <c r="J2046" s="1">
        <f t="shared" si="128"/>
        <v>251027.66999999998</v>
      </c>
    </row>
    <row r="2047" spans="1:10" ht="12.75">
      <c r="A2047" s="1" t="s">
        <v>10</v>
      </c>
      <c r="B2047" s="1" t="s">
        <v>54</v>
      </c>
      <c r="C2047" s="1" t="s">
        <v>55</v>
      </c>
      <c r="D2047" s="2">
        <v>45118</v>
      </c>
      <c r="E2047" s="1" t="s">
        <v>1844</v>
      </c>
      <c r="F2047" s="5">
        <f t="shared" si="125"/>
        <v>4162.28</v>
      </c>
      <c r="G2047" s="1">
        <v>11</v>
      </c>
      <c r="H2047" s="1" t="str">
        <f t="shared" si="126"/>
        <v>High</v>
      </c>
      <c r="I2047" s="1" t="str">
        <f t="shared" si="127"/>
        <v>Other</v>
      </c>
      <c r="J2047" s="1">
        <f t="shared" si="128"/>
        <v>251027.66999999998</v>
      </c>
    </row>
    <row r="2048" spans="1:10" ht="12.75">
      <c r="A2048" s="1" t="s">
        <v>18</v>
      </c>
      <c r="B2048" s="1" t="s">
        <v>62</v>
      </c>
      <c r="C2048" s="1" t="s">
        <v>126</v>
      </c>
      <c r="D2048" s="2">
        <v>44987</v>
      </c>
      <c r="E2048" s="1" t="s">
        <v>1845</v>
      </c>
      <c r="F2048" s="5">
        <f t="shared" si="125"/>
        <v>3357.3</v>
      </c>
      <c r="G2048" s="1">
        <v>308</v>
      </c>
      <c r="H2048" s="1" t="str">
        <f t="shared" si="126"/>
        <v>High</v>
      </c>
      <c r="I2048" s="1" t="str">
        <f t="shared" si="127"/>
        <v>Other</v>
      </c>
      <c r="J2048" s="1">
        <f t="shared" si="128"/>
        <v>251027.66999999998</v>
      </c>
    </row>
    <row r="2049" spans="1:10" ht="12.75">
      <c r="A2049" s="1" t="s">
        <v>9</v>
      </c>
      <c r="B2049" s="1" t="s">
        <v>5</v>
      </c>
      <c r="C2049" s="1" t="s">
        <v>100</v>
      </c>
      <c r="D2049" s="2">
        <v>45120</v>
      </c>
      <c r="E2049" s="1" t="s">
        <v>1846</v>
      </c>
      <c r="F2049" s="5">
        <f t="shared" si="125"/>
        <v>7033.52</v>
      </c>
      <c r="G2049" s="1">
        <v>94</v>
      </c>
      <c r="H2049" s="1" t="str">
        <f t="shared" si="126"/>
        <v>High</v>
      </c>
      <c r="I2049" s="1" t="str">
        <f t="shared" si="127"/>
        <v>Other</v>
      </c>
      <c r="J2049" s="1">
        <f t="shared" si="128"/>
        <v>251027.66999999998</v>
      </c>
    </row>
    <row r="2050" spans="1:10" ht="12.75">
      <c r="A2050" s="1" t="s">
        <v>19</v>
      </c>
      <c r="B2050" s="1" t="s">
        <v>39</v>
      </c>
      <c r="C2050" s="1" t="s">
        <v>76</v>
      </c>
      <c r="D2050" s="2">
        <v>45141</v>
      </c>
      <c r="E2050" s="1" t="s">
        <v>1847</v>
      </c>
      <c r="F2050" s="5">
        <f t="shared" ref="F2050:F2113" si="129">VALUE(SUBSTITUTE(E2050,"$",""))</f>
        <v>9896.7999999999993</v>
      </c>
      <c r="G2050" s="1">
        <v>143</v>
      </c>
      <c r="H2050" s="1" t="str">
        <f t="shared" ref="H2050:H2113" si="130">IF(F2050&gt;800,"High",IF(F2050&gt;500,"Medium","Low"))</f>
        <v>High</v>
      </c>
      <c r="I2050" s="1" t="str">
        <f t="shared" ref="I2050:I2113" si="131">IF(AND(B2050="Australia",A2050="Mallorie Waber"),"Top Local","Other")</f>
        <v>Other</v>
      </c>
      <c r="J2050" s="1">
        <f t="shared" ref="J2050:J2113" si="132">SUMIF(A2050:A5330,"Mallorie Waber",F2050:F5330)</f>
        <v>251027.66999999998</v>
      </c>
    </row>
    <row r="2051" spans="1:10" ht="12.75">
      <c r="A2051" s="1" t="s">
        <v>24</v>
      </c>
      <c r="B2051" s="1" t="s">
        <v>39</v>
      </c>
      <c r="C2051" s="1" t="s">
        <v>45</v>
      </c>
      <c r="D2051" s="2">
        <v>44986</v>
      </c>
      <c r="E2051" s="1" t="s">
        <v>1848</v>
      </c>
      <c r="F2051" s="5">
        <f t="shared" si="129"/>
        <v>15653.44</v>
      </c>
      <c r="G2051" s="1">
        <v>175</v>
      </c>
      <c r="H2051" s="1" t="str">
        <f t="shared" si="130"/>
        <v>High</v>
      </c>
      <c r="I2051" s="1" t="str">
        <f t="shared" si="131"/>
        <v>Other</v>
      </c>
      <c r="J2051" s="1">
        <f t="shared" si="132"/>
        <v>251027.66999999998</v>
      </c>
    </row>
    <row r="2052" spans="1:10" ht="12.75">
      <c r="A2052" s="1" t="s">
        <v>12</v>
      </c>
      <c r="B2052" s="1" t="s">
        <v>54</v>
      </c>
      <c r="C2052" s="1" t="s">
        <v>84</v>
      </c>
      <c r="D2052" s="2">
        <v>45029</v>
      </c>
      <c r="E2052" s="1" t="s">
        <v>1849</v>
      </c>
      <c r="F2052" s="5">
        <f t="shared" si="129"/>
        <v>7899.31</v>
      </c>
      <c r="G2052" s="1">
        <v>148</v>
      </c>
      <c r="H2052" s="1" t="str">
        <f t="shared" si="130"/>
        <v>High</v>
      </c>
      <c r="I2052" s="1" t="str">
        <f t="shared" si="131"/>
        <v>Other</v>
      </c>
      <c r="J2052" s="1">
        <f t="shared" si="132"/>
        <v>251027.66999999998</v>
      </c>
    </row>
    <row r="2053" spans="1:10" ht="12.75">
      <c r="A2053" s="1" t="s">
        <v>28</v>
      </c>
      <c r="B2053" s="1" t="s">
        <v>62</v>
      </c>
      <c r="C2053" s="1" t="s">
        <v>81</v>
      </c>
      <c r="D2053" s="2">
        <v>44971</v>
      </c>
      <c r="E2053" s="1" t="s">
        <v>1850</v>
      </c>
      <c r="F2053" s="5">
        <f t="shared" si="129"/>
        <v>10644.74</v>
      </c>
      <c r="G2053" s="1">
        <v>172</v>
      </c>
      <c r="H2053" s="1" t="str">
        <f t="shared" si="130"/>
        <v>High</v>
      </c>
      <c r="I2053" s="1" t="str">
        <f t="shared" si="131"/>
        <v>Other</v>
      </c>
      <c r="J2053" s="1">
        <f t="shared" si="132"/>
        <v>251027.66999999998</v>
      </c>
    </row>
    <row r="2054" spans="1:10" ht="12.75">
      <c r="A2054" s="1" t="s">
        <v>2</v>
      </c>
      <c r="B2054" s="1" t="s">
        <v>42</v>
      </c>
      <c r="C2054" s="1" t="s">
        <v>84</v>
      </c>
      <c r="D2054" s="2">
        <v>45133</v>
      </c>
      <c r="E2054" s="1" t="s">
        <v>1851</v>
      </c>
      <c r="F2054" s="5">
        <f t="shared" si="129"/>
        <v>872.83</v>
      </c>
      <c r="G2054" s="1">
        <v>224</v>
      </c>
      <c r="H2054" s="1" t="str">
        <f t="shared" si="130"/>
        <v>High</v>
      </c>
      <c r="I2054" s="1" t="str">
        <f t="shared" si="131"/>
        <v>Other</v>
      </c>
      <c r="J2054" s="1">
        <f t="shared" si="132"/>
        <v>251027.66999999998</v>
      </c>
    </row>
    <row r="2055" spans="1:10" ht="12.75">
      <c r="A2055" s="1" t="s">
        <v>7</v>
      </c>
      <c r="B2055" s="1" t="s">
        <v>39</v>
      </c>
      <c r="C2055" s="1" t="s">
        <v>65</v>
      </c>
      <c r="D2055" s="2">
        <v>44953</v>
      </c>
      <c r="E2055" s="1" t="s">
        <v>1852</v>
      </c>
      <c r="F2055" s="5">
        <f t="shared" si="129"/>
        <v>6337.94</v>
      </c>
      <c r="G2055" s="1">
        <v>128</v>
      </c>
      <c r="H2055" s="1" t="str">
        <f t="shared" si="130"/>
        <v>High</v>
      </c>
      <c r="I2055" s="1" t="str">
        <f t="shared" si="131"/>
        <v>Other</v>
      </c>
      <c r="J2055" s="1">
        <f t="shared" si="132"/>
        <v>250154.83999999997</v>
      </c>
    </row>
    <row r="2056" spans="1:10" ht="12.75">
      <c r="A2056" s="1" t="s">
        <v>11</v>
      </c>
      <c r="B2056" s="1" t="s">
        <v>42</v>
      </c>
      <c r="C2056" s="1" t="s">
        <v>45</v>
      </c>
      <c r="D2056" s="2">
        <v>45030</v>
      </c>
      <c r="E2056" s="1" t="s">
        <v>1853</v>
      </c>
      <c r="F2056" s="5">
        <f t="shared" si="129"/>
        <v>31.15</v>
      </c>
      <c r="G2056" s="1">
        <v>451</v>
      </c>
      <c r="H2056" s="1" t="str">
        <f t="shared" si="130"/>
        <v>Low</v>
      </c>
      <c r="I2056" s="1" t="str">
        <f t="shared" si="131"/>
        <v>Other</v>
      </c>
      <c r="J2056" s="1">
        <f t="shared" si="132"/>
        <v>250154.83999999997</v>
      </c>
    </row>
    <row r="2057" spans="1:10" ht="12.75">
      <c r="A2057" s="1" t="s">
        <v>22</v>
      </c>
      <c r="B2057" s="1" t="s">
        <v>59</v>
      </c>
      <c r="C2057" s="1" t="s">
        <v>91</v>
      </c>
      <c r="D2057" s="2">
        <v>45065</v>
      </c>
      <c r="E2057" s="1" t="s">
        <v>1854</v>
      </c>
      <c r="F2057" s="5">
        <f t="shared" si="129"/>
        <v>7107.55</v>
      </c>
      <c r="G2057" s="1">
        <v>142</v>
      </c>
      <c r="H2057" s="1" t="str">
        <f t="shared" si="130"/>
        <v>High</v>
      </c>
      <c r="I2057" s="1" t="str">
        <f t="shared" si="131"/>
        <v>Other</v>
      </c>
      <c r="J2057" s="1">
        <f t="shared" si="132"/>
        <v>250154.83999999997</v>
      </c>
    </row>
    <row r="2058" spans="1:10" ht="12.75">
      <c r="A2058" s="1" t="s">
        <v>13</v>
      </c>
      <c r="B2058" s="1" t="s">
        <v>42</v>
      </c>
      <c r="C2058" s="1" t="s">
        <v>63</v>
      </c>
      <c r="D2058" s="2">
        <v>44966</v>
      </c>
      <c r="E2058" s="1" t="s">
        <v>1855</v>
      </c>
      <c r="F2058" s="5">
        <f t="shared" si="129"/>
        <v>5465.85</v>
      </c>
      <c r="G2058" s="1">
        <v>56</v>
      </c>
      <c r="H2058" s="1" t="str">
        <f t="shared" si="130"/>
        <v>High</v>
      </c>
      <c r="I2058" s="1" t="str">
        <f t="shared" si="131"/>
        <v>Other</v>
      </c>
      <c r="J2058" s="1">
        <f t="shared" si="132"/>
        <v>250154.83999999997</v>
      </c>
    </row>
    <row r="2059" spans="1:10" ht="12.75">
      <c r="A2059" s="1" t="s">
        <v>7</v>
      </c>
      <c r="B2059" s="1" t="s">
        <v>39</v>
      </c>
      <c r="C2059" s="1" t="s">
        <v>76</v>
      </c>
      <c r="D2059" s="2">
        <v>45071</v>
      </c>
      <c r="E2059" s="1" t="s">
        <v>1856</v>
      </c>
      <c r="F2059" s="5">
        <f t="shared" si="129"/>
        <v>2462.14</v>
      </c>
      <c r="G2059" s="1">
        <v>60</v>
      </c>
      <c r="H2059" s="1" t="str">
        <f t="shared" si="130"/>
        <v>High</v>
      </c>
      <c r="I2059" s="1" t="str">
        <f t="shared" si="131"/>
        <v>Other</v>
      </c>
      <c r="J2059" s="1">
        <f t="shared" si="132"/>
        <v>250154.83999999997</v>
      </c>
    </row>
    <row r="2060" spans="1:10" ht="12.75">
      <c r="A2060" s="1" t="s">
        <v>22</v>
      </c>
      <c r="B2060" s="1" t="s">
        <v>5</v>
      </c>
      <c r="C2060" s="1" t="s">
        <v>86</v>
      </c>
      <c r="D2060" s="2">
        <v>44952</v>
      </c>
      <c r="E2060" s="1" t="s">
        <v>1857</v>
      </c>
      <c r="F2060" s="5">
        <f t="shared" si="129"/>
        <v>4194.4399999999996</v>
      </c>
      <c r="G2060" s="1">
        <v>80</v>
      </c>
      <c r="H2060" s="1" t="str">
        <f t="shared" si="130"/>
        <v>High</v>
      </c>
      <c r="I2060" s="1" t="str">
        <f t="shared" si="131"/>
        <v>Other</v>
      </c>
      <c r="J2060" s="1">
        <f t="shared" si="132"/>
        <v>250154.83999999997</v>
      </c>
    </row>
    <row r="2061" spans="1:10" ht="12.75">
      <c r="A2061" s="1" t="s">
        <v>28</v>
      </c>
      <c r="B2061" s="1" t="s">
        <v>42</v>
      </c>
      <c r="C2061" s="1" t="s">
        <v>84</v>
      </c>
      <c r="D2061" s="2">
        <v>45111</v>
      </c>
      <c r="E2061" s="1" t="s">
        <v>1858</v>
      </c>
      <c r="F2061" s="5">
        <f t="shared" si="129"/>
        <v>1994.44</v>
      </c>
      <c r="G2061" s="1">
        <v>299</v>
      </c>
      <c r="H2061" s="1" t="str">
        <f t="shared" si="130"/>
        <v>High</v>
      </c>
      <c r="I2061" s="1" t="str">
        <f t="shared" si="131"/>
        <v>Other</v>
      </c>
      <c r="J2061" s="1">
        <f t="shared" si="132"/>
        <v>250154.83999999997</v>
      </c>
    </row>
    <row r="2062" spans="1:10" ht="12.75">
      <c r="A2062" s="1" t="s">
        <v>17</v>
      </c>
      <c r="B2062" s="1" t="s">
        <v>42</v>
      </c>
      <c r="C2062" s="1" t="s">
        <v>91</v>
      </c>
      <c r="D2062" s="2">
        <v>45029</v>
      </c>
      <c r="E2062" s="1" t="s">
        <v>1859</v>
      </c>
      <c r="F2062" s="5">
        <f t="shared" si="129"/>
        <v>12124.05</v>
      </c>
      <c r="G2062" s="1">
        <v>80</v>
      </c>
      <c r="H2062" s="1" t="str">
        <f t="shared" si="130"/>
        <v>High</v>
      </c>
      <c r="I2062" s="1" t="str">
        <f t="shared" si="131"/>
        <v>Other</v>
      </c>
      <c r="J2062" s="1">
        <f t="shared" si="132"/>
        <v>250154.83999999997</v>
      </c>
    </row>
    <row r="2063" spans="1:10" ht="12.75">
      <c r="A2063" s="1" t="s">
        <v>20</v>
      </c>
      <c r="B2063" s="1" t="s">
        <v>5</v>
      </c>
      <c r="C2063" s="1" t="s">
        <v>49</v>
      </c>
      <c r="D2063" s="2">
        <v>44951</v>
      </c>
      <c r="E2063" s="1" t="s">
        <v>1860</v>
      </c>
      <c r="F2063" s="5">
        <f t="shared" si="129"/>
        <v>5884.09</v>
      </c>
      <c r="G2063" s="1">
        <v>117</v>
      </c>
      <c r="H2063" s="1" t="str">
        <f t="shared" si="130"/>
        <v>High</v>
      </c>
      <c r="I2063" s="1" t="str">
        <f t="shared" si="131"/>
        <v>Other</v>
      </c>
      <c r="J2063" s="1">
        <f t="shared" si="132"/>
        <v>250154.83999999997</v>
      </c>
    </row>
    <row r="2064" spans="1:10" ht="12.75">
      <c r="A2064" s="1" t="s">
        <v>25</v>
      </c>
      <c r="B2064" s="1" t="s">
        <v>59</v>
      </c>
      <c r="C2064" s="1" t="s">
        <v>43</v>
      </c>
      <c r="D2064" s="2">
        <v>45041</v>
      </c>
      <c r="E2064" s="1" t="s">
        <v>1861</v>
      </c>
      <c r="F2064" s="5">
        <f t="shared" si="129"/>
        <v>2639.16</v>
      </c>
      <c r="G2064" s="1">
        <v>80</v>
      </c>
      <c r="H2064" s="1" t="str">
        <f t="shared" si="130"/>
        <v>High</v>
      </c>
      <c r="I2064" s="1" t="str">
        <f t="shared" si="131"/>
        <v>Other</v>
      </c>
      <c r="J2064" s="1">
        <f t="shared" si="132"/>
        <v>250154.83999999997</v>
      </c>
    </row>
    <row r="2065" spans="1:10" ht="12.75">
      <c r="A2065" s="1" t="s">
        <v>25</v>
      </c>
      <c r="B2065" s="1" t="s">
        <v>59</v>
      </c>
      <c r="C2065" s="1" t="s">
        <v>63</v>
      </c>
      <c r="D2065" s="2">
        <v>45087</v>
      </c>
      <c r="E2065" s="1" t="s">
        <v>1862</v>
      </c>
      <c r="F2065" s="5">
        <f t="shared" si="129"/>
        <v>5031.3999999999996</v>
      </c>
      <c r="G2065" s="1">
        <v>401</v>
      </c>
      <c r="H2065" s="1" t="str">
        <f t="shared" si="130"/>
        <v>High</v>
      </c>
      <c r="I2065" s="1" t="str">
        <f t="shared" si="131"/>
        <v>Other</v>
      </c>
      <c r="J2065" s="1">
        <f t="shared" si="132"/>
        <v>250154.83999999997</v>
      </c>
    </row>
    <row r="2066" spans="1:10" ht="12.75">
      <c r="A2066" s="1" t="s">
        <v>9</v>
      </c>
      <c r="B2066" s="1" t="s">
        <v>54</v>
      </c>
      <c r="C2066" s="1" t="s">
        <v>84</v>
      </c>
      <c r="D2066" s="2">
        <v>45160</v>
      </c>
      <c r="E2066" s="1" t="s">
        <v>1863</v>
      </c>
      <c r="F2066" s="5">
        <f t="shared" si="129"/>
        <v>11510.71</v>
      </c>
      <c r="G2066" s="1">
        <v>56</v>
      </c>
      <c r="H2066" s="1" t="str">
        <f t="shared" si="130"/>
        <v>High</v>
      </c>
      <c r="I2066" s="1" t="str">
        <f t="shared" si="131"/>
        <v>Other</v>
      </c>
      <c r="J2066" s="1">
        <f t="shared" si="132"/>
        <v>250154.83999999997</v>
      </c>
    </row>
    <row r="2067" spans="1:10" ht="12.75">
      <c r="A2067" s="1" t="s">
        <v>10</v>
      </c>
      <c r="B2067" s="1" t="s">
        <v>42</v>
      </c>
      <c r="C2067" s="1" t="s">
        <v>52</v>
      </c>
      <c r="D2067" s="2">
        <v>45104</v>
      </c>
      <c r="E2067" s="1" t="s">
        <v>1864</v>
      </c>
      <c r="F2067" s="5">
        <f t="shared" si="129"/>
        <v>15021.98</v>
      </c>
      <c r="G2067" s="1">
        <v>211</v>
      </c>
      <c r="H2067" s="1" t="str">
        <f t="shared" si="130"/>
        <v>High</v>
      </c>
      <c r="I2067" s="1" t="str">
        <f t="shared" si="131"/>
        <v>Other</v>
      </c>
      <c r="J2067" s="1">
        <f t="shared" si="132"/>
        <v>250154.83999999997</v>
      </c>
    </row>
    <row r="2068" spans="1:10" ht="12.75">
      <c r="A2068" s="1" t="s">
        <v>13</v>
      </c>
      <c r="B2068" s="1" t="s">
        <v>42</v>
      </c>
      <c r="C2068" s="1" t="s">
        <v>60</v>
      </c>
      <c r="D2068" s="2">
        <v>45107</v>
      </c>
      <c r="E2068" s="1" t="s">
        <v>1865</v>
      </c>
      <c r="F2068" s="5">
        <f t="shared" si="129"/>
        <v>4517.1899999999996</v>
      </c>
      <c r="G2068" s="1">
        <v>40</v>
      </c>
      <c r="H2068" s="1" t="str">
        <f t="shared" si="130"/>
        <v>High</v>
      </c>
      <c r="I2068" s="1" t="str">
        <f t="shared" si="131"/>
        <v>Other</v>
      </c>
      <c r="J2068" s="1">
        <f t="shared" si="132"/>
        <v>250154.83999999997</v>
      </c>
    </row>
    <row r="2069" spans="1:10" ht="12.75">
      <c r="A2069" s="1" t="s">
        <v>11</v>
      </c>
      <c r="B2069" s="1" t="s">
        <v>42</v>
      </c>
      <c r="C2069" s="1" t="s">
        <v>91</v>
      </c>
      <c r="D2069" s="2">
        <v>45168</v>
      </c>
      <c r="E2069" s="1" t="s">
        <v>1866</v>
      </c>
      <c r="F2069" s="5">
        <f t="shared" si="129"/>
        <v>10778.53</v>
      </c>
      <c r="G2069" s="1">
        <v>99</v>
      </c>
      <c r="H2069" s="1" t="str">
        <f t="shared" si="130"/>
        <v>High</v>
      </c>
      <c r="I2069" s="1" t="str">
        <f t="shared" si="131"/>
        <v>Other</v>
      </c>
      <c r="J2069" s="1">
        <f t="shared" si="132"/>
        <v>250154.83999999997</v>
      </c>
    </row>
    <row r="2070" spans="1:10" ht="12.75">
      <c r="A2070" s="1" t="s">
        <v>18</v>
      </c>
      <c r="B2070" s="1" t="s">
        <v>5</v>
      </c>
      <c r="C2070" s="1" t="s">
        <v>100</v>
      </c>
      <c r="D2070" s="2">
        <v>45161</v>
      </c>
      <c r="E2070" s="1" t="s">
        <v>1867</v>
      </c>
      <c r="F2070" s="5">
        <f t="shared" si="129"/>
        <v>1145.72</v>
      </c>
      <c r="G2070" s="1">
        <v>60</v>
      </c>
      <c r="H2070" s="1" t="str">
        <f t="shared" si="130"/>
        <v>High</v>
      </c>
      <c r="I2070" s="1" t="str">
        <f t="shared" si="131"/>
        <v>Other</v>
      </c>
      <c r="J2070" s="1">
        <f t="shared" si="132"/>
        <v>250154.83999999997</v>
      </c>
    </row>
    <row r="2071" spans="1:10" ht="12.75">
      <c r="A2071" s="1" t="s">
        <v>25</v>
      </c>
      <c r="B2071" s="1" t="s">
        <v>54</v>
      </c>
      <c r="C2071" s="1" t="s">
        <v>51</v>
      </c>
      <c r="D2071" s="2">
        <v>45164</v>
      </c>
      <c r="E2071" s="1" t="s">
        <v>1868</v>
      </c>
      <c r="F2071" s="5">
        <f t="shared" si="129"/>
        <v>2518.5</v>
      </c>
      <c r="G2071" s="1">
        <v>45</v>
      </c>
      <c r="H2071" s="1" t="str">
        <f t="shared" si="130"/>
        <v>High</v>
      </c>
      <c r="I2071" s="1" t="str">
        <f t="shared" si="131"/>
        <v>Other</v>
      </c>
      <c r="J2071" s="1">
        <f t="shared" si="132"/>
        <v>250154.83999999997</v>
      </c>
    </row>
    <row r="2072" spans="1:10" ht="12.75">
      <c r="A2072" s="1" t="s">
        <v>20</v>
      </c>
      <c r="B2072" s="1" t="s">
        <v>5</v>
      </c>
      <c r="C2072" s="1" t="s">
        <v>60</v>
      </c>
      <c r="D2072" s="2">
        <v>44994</v>
      </c>
      <c r="E2072" s="1" t="s">
        <v>1869</v>
      </c>
      <c r="F2072" s="5">
        <f t="shared" si="129"/>
        <v>596.63</v>
      </c>
      <c r="G2072" s="1">
        <v>158</v>
      </c>
      <c r="H2072" s="1" t="str">
        <f t="shared" si="130"/>
        <v>Medium</v>
      </c>
      <c r="I2072" s="1" t="str">
        <f t="shared" si="131"/>
        <v>Other</v>
      </c>
      <c r="J2072" s="1">
        <f t="shared" si="132"/>
        <v>250154.83999999997</v>
      </c>
    </row>
    <row r="2073" spans="1:10" ht="12.75">
      <c r="A2073" s="1" t="s">
        <v>12</v>
      </c>
      <c r="B2073" s="1" t="s">
        <v>39</v>
      </c>
      <c r="C2073" s="1" t="s">
        <v>65</v>
      </c>
      <c r="D2073" s="2">
        <v>45036</v>
      </c>
      <c r="E2073" s="1" t="s">
        <v>1870</v>
      </c>
      <c r="F2073" s="5">
        <f t="shared" si="129"/>
        <v>1858.71</v>
      </c>
      <c r="G2073" s="1">
        <v>24</v>
      </c>
      <c r="H2073" s="1" t="str">
        <f t="shared" si="130"/>
        <v>High</v>
      </c>
      <c r="I2073" s="1" t="str">
        <f t="shared" si="131"/>
        <v>Other</v>
      </c>
      <c r="J2073" s="1">
        <f t="shared" si="132"/>
        <v>250154.83999999997</v>
      </c>
    </row>
    <row r="2074" spans="1:10" ht="12.75">
      <c r="A2074" s="1" t="s">
        <v>2</v>
      </c>
      <c r="B2074" s="1" t="s">
        <v>62</v>
      </c>
      <c r="C2074" s="1" t="s">
        <v>126</v>
      </c>
      <c r="D2074" s="2">
        <v>45087</v>
      </c>
      <c r="E2074" s="1" t="s">
        <v>1871</v>
      </c>
      <c r="F2074" s="5">
        <f t="shared" si="129"/>
        <v>5194.28</v>
      </c>
      <c r="G2074" s="1">
        <v>547</v>
      </c>
      <c r="H2074" s="1" t="str">
        <f t="shared" si="130"/>
        <v>High</v>
      </c>
      <c r="I2074" s="1" t="str">
        <f t="shared" si="131"/>
        <v>Other</v>
      </c>
      <c r="J2074" s="1">
        <f t="shared" si="132"/>
        <v>250154.83999999997</v>
      </c>
    </row>
    <row r="2075" spans="1:10" ht="12.75">
      <c r="A2075" s="1" t="s">
        <v>13</v>
      </c>
      <c r="B2075" s="1" t="s">
        <v>5</v>
      </c>
      <c r="C2075" s="1" t="s">
        <v>68</v>
      </c>
      <c r="D2075" s="2">
        <v>44965</v>
      </c>
      <c r="E2075" s="1" t="s">
        <v>1872</v>
      </c>
      <c r="F2075" s="5">
        <f t="shared" si="129"/>
        <v>960.69</v>
      </c>
      <c r="G2075" s="1">
        <v>155</v>
      </c>
      <c r="H2075" s="1" t="str">
        <f t="shared" si="130"/>
        <v>High</v>
      </c>
      <c r="I2075" s="1" t="str">
        <f t="shared" si="131"/>
        <v>Other</v>
      </c>
      <c r="J2075" s="1">
        <f t="shared" si="132"/>
        <v>244960.56</v>
      </c>
    </row>
    <row r="2076" spans="1:10" ht="12.75">
      <c r="A2076" s="1" t="s">
        <v>7</v>
      </c>
      <c r="B2076" s="1" t="s">
        <v>5</v>
      </c>
      <c r="C2076" s="1" t="s">
        <v>84</v>
      </c>
      <c r="D2076" s="2">
        <v>45163</v>
      </c>
      <c r="E2076" s="1" t="s">
        <v>1873</v>
      </c>
      <c r="F2076" s="5">
        <f t="shared" si="129"/>
        <v>5347.12</v>
      </c>
      <c r="G2076" s="1">
        <v>23</v>
      </c>
      <c r="H2076" s="1" t="str">
        <f t="shared" si="130"/>
        <v>High</v>
      </c>
      <c r="I2076" s="1" t="str">
        <f t="shared" si="131"/>
        <v>Other</v>
      </c>
      <c r="J2076" s="1">
        <f t="shared" si="132"/>
        <v>244960.56</v>
      </c>
    </row>
    <row r="2077" spans="1:10" ht="12.75">
      <c r="A2077" s="1" t="s">
        <v>21</v>
      </c>
      <c r="B2077" s="1" t="s">
        <v>42</v>
      </c>
      <c r="C2077" s="1" t="s">
        <v>45</v>
      </c>
      <c r="D2077" s="2">
        <v>44973</v>
      </c>
      <c r="E2077" s="1" t="s">
        <v>1874</v>
      </c>
      <c r="F2077" s="5">
        <f t="shared" si="129"/>
        <v>9805.11</v>
      </c>
      <c r="G2077" s="1">
        <v>76</v>
      </c>
      <c r="H2077" s="1" t="str">
        <f t="shared" si="130"/>
        <v>High</v>
      </c>
      <c r="I2077" s="1" t="str">
        <f t="shared" si="131"/>
        <v>Other</v>
      </c>
      <c r="J2077" s="1">
        <f t="shared" si="132"/>
        <v>244960.56</v>
      </c>
    </row>
    <row r="2078" spans="1:10" ht="12.75">
      <c r="A2078" s="1" t="s">
        <v>6</v>
      </c>
      <c r="B2078" s="1" t="s">
        <v>39</v>
      </c>
      <c r="C2078" s="1" t="s">
        <v>51</v>
      </c>
      <c r="D2078" s="2">
        <v>45076</v>
      </c>
      <c r="E2078" s="1" t="s">
        <v>1875</v>
      </c>
      <c r="F2078" s="5">
        <f t="shared" si="129"/>
        <v>13205.42</v>
      </c>
      <c r="G2078" s="1">
        <v>26</v>
      </c>
      <c r="H2078" s="1" t="str">
        <f t="shared" si="130"/>
        <v>High</v>
      </c>
      <c r="I2078" s="1" t="str">
        <f t="shared" si="131"/>
        <v>Other</v>
      </c>
      <c r="J2078" s="1">
        <f t="shared" si="132"/>
        <v>244960.56</v>
      </c>
    </row>
    <row r="2079" spans="1:10" ht="12.75">
      <c r="A2079" s="1" t="s">
        <v>20</v>
      </c>
      <c r="B2079" s="1" t="s">
        <v>54</v>
      </c>
      <c r="C2079" s="1" t="s">
        <v>55</v>
      </c>
      <c r="D2079" s="2">
        <v>45106</v>
      </c>
      <c r="E2079" s="1" t="s">
        <v>1876</v>
      </c>
      <c r="F2079" s="5">
        <f t="shared" si="129"/>
        <v>5929.2</v>
      </c>
      <c r="G2079" s="1">
        <v>65</v>
      </c>
      <c r="H2079" s="1" t="str">
        <f t="shared" si="130"/>
        <v>High</v>
      </c>
      <c r="I2079" s="1" t="str">
        <f t="shared" si="131"/>
        <v>Other</v>
      </c>
      <c r="J2079" s="1">
        <f t="shared" si="132"/>
        <v>244960.56</v>
      </c>
    </row>
    <row r="2080" spans="1:10" ht="12.75">
      <c r="A2080" s="1" t="s">
        <v>20</v>
      </c>
      <c r="B2080" s="1" t="s">
        <v>59</v>
      </c>
      <c r="C2080" s="1" t="s">
        <v>72</v>
      </c>
      <c r="D2080" s="2">
        <v>45093</v>
      </c>
      <c r="E2080" s="1" t="s">
        <v>1877</v>
      </c>
      <c r="F2080" s="5">
        <f t="shared" si="129"/>
        <v>516.91999999999996</v>
      </c>
      <c r="G2080" s="1">
        <v>141</v>
      </c>
      <c r="H2080" s="1" t="str">
        <f t="shared" si="130"/>
        <v>Medium</v>
      </c>
      <c r="I2080" s="1" t="str">
        <f t="shared" si="131"/>
        <v>Other</v>
      </c>
      <c r="J2080" s="1">
        <f t="shared" si="132"/>
        <v>244960.56</v>
      </c>
    </row>
    <row r="2081" spans="1:10" ht="12.75">
      <c r="A2081" s="1" t="s">
        <v>7</v>
      </c>
      <c r="B2081" s="1" t="s">
        <v>39</v>
      </c>
      <c r="C2081" s="1" t="s">
        <v>126</v>
      </c>
      <c r="D2081" s="2">
        <v>44989</v>
      </c>
      <c r="E2081" s="1" t="s">
        <v>1878</v>
      </c>
      <c r="F2081" s="5">
        <f t="shared" si="129"/>
        <v>2882.76</v>
      </c>
      <c r="G2081" s="1">
        <v>145</v>
      </c>
      <c r="H2081" s="1" t="str">
        <f t="shared" si="130"/>
        <v>High</v>
      </c>
      <c r="I2081" s="1" t="str">
        <f t="shared" si="131"/>
        <v>Other</v>
      </c>
      <c r="J2081" s="1">
        <f t="shared" si="132"/>
        <v>244960.56</v>
      </c>
    </row>
    <row r="2082" spans="1:10" ht="12.75">
      <c r="A2082" s="1" t="s">
        <v>24</v>
      </c>
      <c r="B2082" s="1" t="s">
        <v>54</v>
      </c>
      <c r="C2082" s="1" t="s">
        <v>45</v>
      </c>
      <c r="D2082" s="2">
        <v>45000</v>
      </c>
      <c r="E2082" s="1" t="s">
        <v>1879</v>
      </c>
      <c r="F2082" s="5">
        <f t="shared" si="129"/>
        <v>1637.72</v>
      </c>
      <c r="G2082" s="1">
        <v>454</v>
      </c>
      <c r="H2082" s="1" t="str">
        <f t="shared" si="130"/>
        <v>High</v>
      </c>
      <c r="I2082" s="1" t="str">
        <f t="shared" si="131"/>
        <v>Other</v>
      </c>
      <c r="J2082" s="1">
        <f t="shared" si="132"/>
        <v>244960.56</v>
      </c>
    </row>
    <row r="2083" spans="1:10" ht="12.75">
      <c r="A2083" s="1" t="s">
        <v>24</v>
      </c>
      <c r="B2083" s="1" t="s">
        <v>54</v>
      </c>
      <c r="C2083" s="1" t="s">
        <v>55</v>
      </c>
      <c r="D2083" s="2">
        <v>44953</v>
      </c>
      <c r="E2083" s="1" t="s">
        <v>1880</v>
      </c>
      <c r="F2083" s="5">
        <f t="shared" si="129"/>
        <v>10791.46</v>
      </c>
      <c r="G2083" s="1">
        <v>88</v>
      </c>
      <c r="H2083" s="1" t="str">
        <f t="shared" si="130"/>
        <v>High</v>
      </c>
      <c r="I2083" s="1" t="str">
        <f t="shared" si="131"/>
        <v>Other</v>
      </c>
      <c r="J2083" s="1">
        <f t="shared" si="132"/>
        <v>244960.56</v>
      </c>
    </row>
    <row r="2084" spans="1:10" ht="12.75">
      <c r="A2084" s="1" t="s">
        <v>28</v>
      </c>
      <c r="B2084" s="1" t="s">
        <v>62</v>
      </c>
      <c r="C2084" s="1" t="s">
        <v>65</v>
      </c>
      <c r="D2084" s="2">
        <v>45112</v>
      </c>
      <c r="E2084" s="1" t="s">
        <v>1881</v>
      </c>
      <c r="F2084" s="5">
        <f t="shared" si="129"/>
        <v>1093.46</v>
      </c>
      <c r="G2084" s="1">
        <v>115</v>
      </c>
      <c r="H2084" s="1" t="str">
        <f t="shared" si="130"/>
        <v>High</v>
      </c>
      <c r="I2084" s="1" t="str">
        <f t="shared" si="131"/>
        <v>Other</v>
      </c>
      <c r="J2084" s="1">
        <f t="shared" si="132"/>
        <v>244960.56</v>
      </c>
    </row>
    <row r="2085" spans="1:10" ht="12.75">
      <c r="A2085" s="1" t="s">
        <v>16</v>
      </c>
      <c r="B2085" s="1" t="s">
        <v>59</v>
      </c>
      <c r="C2085" s="1" t="s">
        <v>126</v>
      </c>
      <c r="D2085" s="2">
        <v>45014</v>
      </c>
      <c r="E2085" s="1" t="s">
        <v>1882</v>
      </c>
      <c r="F2085" s="5">
        <f t="shared" si="129"/>
        <v>3407.61</v>
      </c>
      <c r="G2085" s="1">
        <v>316</v>
      </c>
      <c r="H2085" s="1" t="str">
        <f t="shared" si="130"/>
        <v>High</v>
      </c>
      <c r="I2085" s="1" t="str">
        <f t="shared" si="131"/>
        <v>Other</v>
      </c>
      <c r="J2085" s="1">
        <f t="shared" si="132"/>
        <v>244960.56</v>
      </c>
    </row>
    <row r="2086" spans="1:10" ht="12.75">
      <c r="A2086" s="1" t="s">
        <v>2</v>
      </c>
      <c r="B2086" s="1" t="s">
        <v>62</v>
      </c>
      <c r="C2086" s="1" t="s">
        <v>91</v>
      </c>
      <c r="D2086" s="2">
        <v>45058</v>
      </c>
      <c r="E2086" s="1" t="s">
        <v>1883</v>
      </c>
      <c r="F2086" s="5">
        <f t="shared" si="129"/>
        <v>4753.93</v>
      </c>
      <c r="G2086" s="1">
        <v>37</v>
      </c>
      <c r="H2086" s="1" t="str">
        <f t="shared" si="130"/>
        <v>High</v>
      </c>
      <c r="I2086" s="1" t="str">
        <f t="shared" si="131"/>
        <v>Other</v>
      </c>
      <c r="J2086" s="1">
        <f t="shared" si="132"/>
        <v>244960.56</v>
      </c>
    </row>
    <row r="2087" spans="1:10" ht="12.75">
      <c r="A2087" s="1" t="s">
        <v>22</v>
      </c>
      <c r="B2087" s="1" t="s">
        <v>59</v>
      </c>
      <c r="C2087" s="1" t="s">
        <v>65</v>
      </c>
      <c r="D2087" s="2">
        <v>44996</v>
      </c>
      <c r="E2087" s="1" t="s">
        <v>1884</v>
      </c>
      <c r="F2087" s="5">
        <f t="shared" si="129"/>
        <v>8280.6200000000008</v>
      </c>
      <c r="G2087" s="1">
        <v>47</v>
      </c>
      <c r="H2087" s="1" t="str">
        <f t="shared" si="130"/>
        <v>High</v>
      </c>
      <c r="I2087" s="1" t="str">
        <f t="shared" si="131"/>
        <v>Other</v>
      </c>
      <c r="J2087" s="1">
        <f t="shared" si="132"/>
        <v>240206.63</v>
      </c>
    </row>
    <row r="2088" spans="1:10" ht="12.75">
      <c r="A2088" s="1" t="s">
        <v>7</v>
      </c>
      <c r="B2088" s="1" t="s">
        <v>54</v>
      </c>
      <c r="C2088" s="1" t="s">
        <v>63</v>
      </c>
      <c r="D2088" s="2">
        <v>45118</v>
      </c>
      <c r="E2088" s="1" t="s">
        <v>1885</v>
      </c>
      <c r="F2088" s="5">
        <f t="shared" si="129"/>
        <v>4981.78</v>
      </c>
      <c r="G2088" s="1">
        <v>299</v>
      </c>
      <c r="H2088" s="1" t="str">
        <f t="shared" si="130"/>
        <v>High</v>
      </c>
      <c r="I2088" s="1" t="str">
        <f t="shared" si="131"/>
        <v>Other</v>
      </c>
      <c r="J2088" s="1">
        <f t="shared" si="132"/>
        <v>240206.63</v>
      </c>
    </row>
    <row r="2089" spans="1:10" ht="12.75">
      <c r="A2089" s="1" t="s">
        <v>23</v>
      </c>
      <c r="B2089" s="1" t="s">
        <v>54</v>
      </c>
      <c r="C2089" s="1" t="s">
        <v>102</v>
      </c>
      <c r="D2089" s="2">
        <v>45139</v>
      </c>
      <c r="E2089" s="1" t="s">
        <v>1886</v>
      </c>
      <c r="F2089" s="5">
        <f t="shared" si="129"/>
        <v>13998.33</v>
      </c>
      <c r="G2089" s="1">
        <v>60</v>
      </c>
      <c r="H2089" s="1" t="str">
        <f t="shared" si="130"/>
        <v>High</v>
      </c>
      <c r="I2089" s="1" t="str">
        <f t="shared" si="131"/>
        <v>Other</v>
      </c>
      <c r="J2089" s="1">
        <f t="shared" si="132"/>
        <v>240206.63</v>
      </c>
    </row>
    <row r="2090" spans="1:10" ht="12.75">
      <c r="A2090" s="1" t="s">
        <v>23</v>
      </c>
      <c r="B2090" s="1" t="s">
        <v>39</v>
      </c>
      <c r="C2090" s="1" t="s">
        <v>76</v>
      </c>
      <c r="D2090" s="2">
        <v>44973</v>
      </c>
      <c r="E2090" s="1" t="s">
        <v>1887</v>
      </c>
      <c r="F2090" s="5">
        <f t="shared" si="129"/>
        <v>13105.65</v>
      </c>
      <c r="G2090" s="1">
        <v>199</v>
      </c>
      <c r="H2090" s="1" t="str">
        <f t="shared" si="130"/>
        <v>High</v>
      </c>
      <c r="I2090" s="1" t="str">
        <f t="shared" si="131"/>
        <v>Other</v>
      </c>
      <c r="J2090" s="1">
        <f t="shared" si="132"/>
        <v>240206.63</v>
      </c>
    </row>
    <row r="2091" spans="1:10" ht="12.75">
      <c r="A2091" s="1" t="s">
        <v>24</v>
      </c>
      <c r="B2091" s="1" t="s">
        <v>59</v>
      </c>
      <c r="C2091" s="1" t="s">
        <v>52</v>
      </c>
      <c r="D2091" s="2">
        <v>45029</v>
      </c>
      <c r="E2091" s="1" t="s">
        <v>1888</v>
      </c>
      <c r="F2091" s="5">
        <f t="shared" si="129"/>
        <v>15728.81</v>
      </c>
      <c r="G2091" s="1">
        <v>256</v>
      </c>
      <c r="H2091" s="1" t="str">
        <f t="shared" si="130"/>
        <v>High</v>
      </c>
      <c r="I2091" s="1" t="str">
        <f t="shared" si="131"/>
        <v>Other</v>
      </c>
      <c r="J2091" s="1">
        <f t="shared" si="132"/>
        <v>240206.63</v>
      </c>
    </row>
    <row r="2092" spans="1:10" ht="12.75">
      <c r="A2092" s="1" t="s">
        <v>22</v>
      </c>
      <c r="B2092" s="1" t="s">
        <v>42</v>
      </c>
      <c r="C2092" s="1" t="s">
        <v>102</v>
      </c>
      <c r="D2092" s="2">
        <v>44971</v>
      </c>
      <c r="E2092" s="1" t="s">
        <v>1889</v>
      </c>
      <c r="F2092" s="5">
        <f t="shared" si="129"/>
        <v>53.85</v>
      </c>
      <c r="G2092" s="1">
        <v>399</v>
      </c>
      <c r="H2092" s="1" t="str">
        <f t="shared" si="130"/>
        <v>Low</v>
      </c>
      <c r="I2092" s="1" t="str">
        <f t="shared" si="131"/>
        <v>Other</v>
      </c>
      <c r="J2092" s="1">
        <f t="shared" si="132"/>
        <v>240206.63</v>
      </c>
    </row>
    <row r="2093" spans="1:10" ht="12.75">
      <c r="A2093" s="1" t="s">
        <v>17</v>
      </c>
      <c r="B2093" s="1" t="s">
        <v>5</v>
      </c>
      <c r="C2093" s="1" t="s">
        <v>45</v>
      </c>
      <c r="D2093" s="2">
        <v>44999</v>
      </c>
      <c r="E2093" s="1" t="s">
        <v>1890</v>
      </c>
      <c r="F2093" s="5">
        <f t="shared" si="129"/>
        <v>10857.23</v>
      </c>
      <c r="G2093" s="1">
        <v>73</v>
      </c>
      <c r="H2093" s="1" t="str">
        <f t="shared" si="130"/>
        <v>High</v>
      </c>
      <c r="I2093" s="1" t="str">
        <f t="shared" si="131"/>
        <v>Other</v>
      </c>
      <c r="J2093" s="1">
        <f t="shared" si="132"/>
        <v>240206.63</v>
      </c>
    </row>
    <row r="2094" spans="1:10" ht="12.75">
      <c r="A2094" s="1" t="s">
        <v>22</v>
      </c>
      <c r="B2094" s="1" t="s">
        <v>5</v>
      </c>
      <c r="C2094" s="1" t="s">
        <v>76</v>
      </c>
      <c r="D2094" s="2">
        <v>45042</v>
      </c>
      <c r="E2094" s="1" t="s">
        <v>1891</v>
      </c>
      <c r="F2094" s="5">
        <f t="shared" si="129"/>
        <v>12412.53</v>
      </c>
      <c r="G2094" s="1">
        <v>25</v>
      </c>
      <c r="H2094" s="1" t="str">
        <f t="shared" si="130"/>
        <v>High</v>
      </c>
      <c r="I2094" s="1" t="str">
        <f t="shared" si="131"/>
        <v>Other</v>
      </c>
      <c r="J2094" s="1">
        <f t="shared" si="132"/>
        <v>240206.63</v>
      </c>
    </row>
    <row r="2095" spans="1:10" ht="12.75">
      <c r="A2095" s="1" t="s">
        <v>11</v>
      </c>
      <c r="B2095" s="1" t="s">
        <v>62</v>
      </c>
      <c r="C2095" s="1" t="s">
        <v>86</v>
      </c>
      <c r="D2095" s="2">
        <v>45021</v>
      </c>
      <c r="E2095" s="1" t="s">
        <v>1892</v>
      </c>
      <c r="F2095" s="5">
        <f t="shared" si="129"/>
        <v>3669.15</v>
      </c>
      <c r="G2095" s="1">
        <v>209</v>
      </c>
      <c r="H2095" s="1" t="str">
        <f t="shared" si="130"/>
        <v>High</v>
      </c>
      <c r="I2095" s="1" t="str">
        <f t="shared" si="131"/>
        <v>Other</v>
      </c>
      <c r="J2095" s="1">
        <f t="shared" si="132"/>
        <v>240206.63</v>
      </c>
    </row>
    <row r="2096" spans="1:10" ht="12.75">
      <c r="A2096" s="1" t="s">
        <v>25</v>
      </c>
      <c r="B2096" s="1" t="s">
        <v>62</v>
      </c>
      <c r="C2096" s="1" t="s">
        <v>65</v>
      </c>
      <c r="D2096" s="2">
        <v>44988</v>
      </c>
      <c r="E2096" s="1" t="s">
        <v>1893</v>
      </c>
      <c r="F2096" s="5">
        <f t="shared" si="129"/>
        <v>13555.26</v>
      </c>
      <c r="G2096" s="1">
        <v>279</v>
      </c>
      <c r="H2096" s="1" t="str">
        <f t="shared" si="130"/>
        <v>High</v>
      </c>
      <c r="I2096" s="1" t="str">
        <f t="shared" si="131"/>
        <v>Other</v>
      </c>
      <c r="J2096" s="1">
        <f t="shared" si="132"/>
        <v>240206.63</v>
      </c>
    </row>
    <row r="2097" spans="1:10" ht="12.75">
      <c r="A2097" s="1" t="s">
        <v>8</v>
      </c>
      <c r="B2097" s="1" t="s">
        <v>59</v>
      </c>
      <c r="C2097" s="1" t="s">
        <v>76</v>
      </c>
      <c r="D2097" s="2">
        <v>45090</v>
      </c>
      <c r="E2097" s="1" t="s">
        <v>1894</v>
      </c>
      <c r="F2097" s="5">
        <f t="shared" si="129"/>
        <v>2333.84</v>
      </c>
      <c r="G2097" s="1">
        <v>171</v>
      </c>
      <c r="H2097" s="1" t="str">
        <f t="shared" si="130"/>
        <v>High</v>
      </c>
      <c r="I2097" s="1" t="str">
        <f t="shared" si="131"/>
        <v>Other</v>
      </c>
      <c r="J2097" s="1">
        <f t="shared" si="132"/>
        <v>240206.63</v>
      </c>
    </row>
    <row r="2098" spans="1:10" ht="12.75">
      <c r="A2098" s="1" t="s">
        <v>14</v>
      </c>
      <c r="B2098" s="1" t="s">
        <v>54</v>
      </c>
      <c r="C2098" s="1" t="s">
        <v>147</v>
      </c>
      <c r="D2098" s="2">
        <v>44971</v>
      </c>
      <c r="E2098" s="1" t="s">
        <v>1895</v>
      </c>
      <c r="F2098" s="5">
        <f t="shared" si="129"/>
        <v>8973.0499999999993</v>
      </c>
      <c r="G2098" s="1">
        <v>360</v>
      </c>
      <c r="H2098" s="1" t="str">
        <f t="shared" si="130"/>
        <v>High</v>
      </c>
      <c r="I2098" s="1" t="str">
        <f t="shared" si="131"/>
        <v>Other</v>
      </c>
      <c r="J2098" s="1">
        <f t="shared" si="132"/>
        <v>240206.63</v>
      </c>
    </row>
    <row r="2099" spans="1:10" ht="12.75">
      <c r="A2099" s="1" t="s">
        <v>26</v>
      </c>
      <c r="B2099" s="1" t="s">
        <v>54</v>
      </c>
      <c r="C2099" s="1" t="s">
        <v>51</v>
      </c>
      <c r="D2099" s="2">
        <v>45034</v>
      </c>
      <c r="E2099" s="1" t="s">
        <v>1896</v>
      </c>
      <c r="F2099" s="5">
        <f t="shared" si="129"/>
        <v>8610.3799999999992</v>
      </c>
      <c r="G2099" s="1">
        <v>188</v>
      </c>
      <c r="H2099" s="1" t="str">
        <f t="shared" si="130"/>
        <v>High</v>
      </c>
      <c r="I2099" s="1" t="str">
        <f t="shared" si="131"/>
        <v>Other</v>
      </c>
      <c r="J2099" s="1">
        <f t="shared" si="132"/>
        <v>240206.63</v>
      </c>
    </row>
    <row r="2100" spans="1:10" ht="12.75">
      <c r="A2100" s="1" t="s">
        <v>22</v>
      </c>
      <c r="B2100" s="1" t="s">
        <v>54</v>
      </c>
      <c r="C2100" s="1" t="s">
        <v>43</v>
      </c>
      <c r="D2100" s="2">
        <v>44958</v>
      </c>
      <c r="E2100" s="1" t="s">
        <v>1897</v>
      </c>
      <c r="F2100" s="5">
        <f t="shared" si="129"/>
        <v>3432.3</v>
      </c>
      <c r="G2100" s="1">
        <v>452</v>
      </c>
      <c r="H2100" s="1" t="str">
        <f t="shared" si="130"/>
        <v>High</v>
      </c>
      <c r="I2100" s="1" t="str">
        <f t="shared" si="131"/>
        <v>Other</v>
      </c>
      <c r="J2100" s="1">
        <f t="shared" si="132"/>
        <v>240206.63</v>
      </c>
    </row>
    <row r="2101" spans="1:10" ht="12.75">
      <c r="A2101" s="1" t="s">
        <v>21</v>
      </c>
      <c r="B2101" s="1" t="s">
        <v>54</v>
      </c>
      <c r="C2101" s="1" t="s">
        <v>60</v>
      </c>
      <c r="D2101" s="2">
        <v>45142</v>
      </c>
      <c r="E2101" s="1" t="s">
        <v>1898</v>
      </c>
      <c r="F2101" s="5">
        <f t="shared" si="129"/>
        <v>2283.39</v>
      </c>
      <c r="G2101" s="1">
        <v>155</v>
      </c>
      <c r="H2101" s="1" t="str">
        <f t="shared" si="130"/>
        <v>High</v>
      </c>
      <c r="I2101" s="1" t="str">
        <f t="shared" si="131"/>
        <v>Other</v>
      </c>
      <c r="J2101" s="1">
        <f t="shared" si="132"/>
        <v>240206.63</v>
      </c>
    </row>
    <row r="2102" spans="1:10" ht="12.75">
      <c r="A2102" s="1" t="s">
        <v>27</v>
      </c>
      <c r="B2102" s="1" t="s">
        <v>54</v>
      </c>
      <c r="C2102" s="1" t="s">
        <v>91</v>
      </c>
      <c r="D2102" s="2">
        <v>45021</v>
      </c>
      <c r="E2102" s="1" t="s">
        <v>1899</v>
      </c>
      <c r="F2102" s="5">
        <f t="shared" si="129"/>
        <v>7190.49</v>
      </c>
      <c r="G2102" s="1">
        <v>165</v>
      </c>
      <c r="H2102" s="1" t="str">
        <f t="shared" si="130"/>
        <v>High</v>
      </c>
      <c r="I2102" s="1" t="str">
        <f t="shared" si="131"/>
        <v>Other</v>
      </c>
      <c r="J2102" s="1">
        <f t="shared" si="132"/>
        <v>240206.63</v>
      </c>
    </row>
    <row r="2103" spans="1:10" ht="12.75">
      <c r="A2103" s="1" t="s">
        <v>18</v>
      </c>
      <c r="B2103" s="1" t="s">
        <v>5</v>
      </c>
      <c r="C2103" s="1" t="s">
        <v>51</v>
      </c>
      <c r="D2103" s="2">
        <v>44952</v>
      </c>
      <c r="E2103" s="1" t="s">
        <v>1900</v>
      </c>
      <c r="F2103" s="5">
        <f t="shared" si="129"/>
        <v>11303.07</v>
      </c>
      <c r="G2103" s="1">
        <v>166</v>
      </c>
      <c r="H2103" s="1" t="str">
        <f t="shared" si="130"/>
        <v>High</v>
      </c>
      <c r="I2103" s="1" t="str">
        <f t="shared" si="131"/>
        <v>Other</v>
      </c>
      <c r="J2103" s="1">
        <f t="shared" si="132"/>
        <v>240206.63</v>
      </c>
    </row>
    <row r="2104" spans="1:10" ht="12.75">
      <c r="A2104" s="1" t="s">
        <v>8</v>
      </c>
      <c r="B2104" s="1" t="s">
        <v>39</v>
      </c>
      <c r="C2104" s="1" t="s">
        <v>52</v>
      </c>
      <c r="D2104" s="2">
        <v>44947</v>
      </c>
      <c r="E2104" s="1" t="s">
        <v>1901</v>
      </c>
      <c r="F2104" s="5">
        <f t="shared" si="129"/>
        <v>18911.490000000002</v>
      </c>
      <c r="G2104" s="1">
        <v>171</v>
      </c>
      <c r="H2104" s="1" t="str">
        <f t="shared" si="130"/>
        <v>High</v>
      </c>
      <c r="I2104" s="1" t="str">
        <f t="shared" si="131"/>
        <v>Other</v>
      </c>
      <c r="J2104" s="1">
        <f t="shared" si="132"/>
        <v>240206.63</v>
      </c>
    </row>
    <row r="2105" spans="1:10" ht="12.75">
      <c r="A2105" s="1" t="s">
        <v>8</v>
      </c>
      <c r="B2105" s="1" t="s">
        <v>62</v>
      </c>
      <c r="C2105" s="1" t="s">
        <v>52</v>
      </c>
      <c r="D2105" s="2">
        <v>45160</v>
      </c>
      <c r="E2105" s="1" t="s">
        <v>1902</v>
      </c>
      <c r="F2105" s="5">
        <f t="shared" si="129"/>
        <v>6233.02</v>
      </c>
      <c r="G2105" s="1">
        <v>178</v>
      </c>
      <c r="H2105" s="1" t="str">
        <f t="shared" si="130"/>
        <v>High</v>
      </c>
      <c r="I2105" s="1" t="str">
        <f t="shared" si="131"/>
        <v>Other</v>
      </c>
      <c r="J2105" s="1">
        <f t="shared" si="132"/>
        <v>240206.63</v>
      </c>
    </row>
    <row r="2106" spans="1:10" ht="12.75">
      <c r="A2106" s="1" t="s">
        <v>8</v>
      </c>
      <c r="B2106" s="1" t="s">
        <v>39</v>
      </c>
      <c r="C2106" s="1" t="s">
        <v>65</v>
      </c>
      <c r="D2106" s="2">
        <v>44953</v>
      </c>
      <c r="E2106" s="1" t="s">
        <v>1903</v>
      </c>
      <c r="F2106" s="5">
        <f t="shared" si="129"/>
        <v>2334.5</v>
      </c>
      <c r="G2106" s="1">
        <v>233</v>
      </c>
      <c r="H2106" s="1" t="str">
        <f t="shared" si="130"/>
        <v>High</v>
      </c>
      <c r="I2106" s="1" t="str">
        <f t="shared" si="131"/>
        <v>Other</v>
      </c>
      <c r="J2106" s="1">
        <f t="shared" si="132"/>
        <v>240206.63</v>
      </c>
    </row>
    <row r="2107" spans="1:10" ht="12.75">
      <c r="A2107" s="1" t="s">
        <v>19</v>
      </c>
      <c r="B2107" s="1" t="s">
        <v>39</v>
      </c>
      <c r="C2107" s="1" t="s">
        <v>55</v>
      </c>
      <c r="D2107" s="2">
        <v>44973</v>
      </c>
      <c r="E2107" s="1" t="s">
        <v>1904</v>
      </c>
      <c r="F2107" s="5">
        <f t="shared" si="129"/>
        <v>11099.73</v>
      </c>
      <c r="G2107" s="1">
        <v>73</v>
      </c>
      <c r="H2107" s="1" t="str">
        <f t="shared" si="130"/>
        <v>High</v>
      </c>
      <c r="I2107" s="1" t="str">
        <f t="shared" si="131"/>
        <v>Other</v>
      </c>
      <c r="J2107" s="1">
        <f t="shared" si="132"/>
        <v>240206.63</v>
      </c>
    </row>
    <row r="2108" spans="1:10" ht="12.75">
      <c r="A2108" s="1" t="s">
        <v>21</v>
      </c>
      <c r="B2108" s="1" t="s">
        <v>59</v>
      </c>
      <c r="C2108" s="1" t="s">
        <v>100</v>
      </c>
      <c r="D2108" s="2">
        <v>44929</v>
      </c>
      <c r="E2108" s="1" t="s">
        <v>1905</v>
      </c>
      <c r="F2108" s="5">
        <f t="shared" si="129"/>
        <v>3590.55</v>
      </c>
      <c r="G2108" s="1">
        <v>47</v>
      </c>
      <c r="H2108" s="1" t="str">
        <f t="shared" si="130"/>
        <v>High</v>
      </c>
      <c r="I2108" s="1" t="str">
        <f t="shared" si="131"/>
        <v>Other</v>
      </c>
      <c r="J2108" s="1">
        <f t="shared" si="132"/>
        <v>240206.63</v>
      </c>
    </row>
    <row r="2109" spans="1:10" ht="12.75">
      <c r="A2109" s="1" t="s">
        <v>18</v>
      </c>
      <c r="B2109" s="1" t="s">
        <v>59</v>
      </c>
      <c r="C2109" s="1" t="s">
        <v>84</v>
      </c>
      <c r="D2109" s="2">
        <v>45162</v>
      </c>
      <c r="E2109" s="1" t="s">
        <v>1906</v>
      </c>
      <c r="F2109" s="5">
        <f t="shared" si="129"/>
        <v>5209.3999999999996</v>
      </c>
      <c r="G2109" s="1">
        <v>2</v>
      </c>
      <c r="H2109" s="1" t="str">
        <f t="shared" si="130"/>
        <v>High</v>
      </c>
      <c r="I2109" s="1" t="str">
        <f t="shared" si="131"/>
        <v>Other</v>
      </c>
      <c r="J2109" s="1">
        <f t="shared" si="132"/>
        <v>240206.63</v>
      </c>
    </row>
    <row r="2110" spans="1:10" ht="12.75">
      <c r="A2110" s="1" t="s">
        <v>22</v>
      </c>
      <c r="B2110" s="1" t="s">
        <v>59</v>
      </c>
      <c r="C2110" s="1" t="s">
        <v>76</v>
      </c>
      <c r="D2110" s="2">
        <v>44964</v>
      </c>
      <c r="E2110" s="1" t="s">
        <v>1907</v>
      </c>
      <c r="F2110" s="5">
        <f t="shared" si="129"/>
        <v>6315.14</v>
      </c>
      <c r="G2110" s="1">
        <v>398</v>
      </c>
      <c r="H2110" s="1" t="str">
        <f t="shared" si="130"/>
        <v>High</v>
      </c>
      <c r="I2110" s="1" t="str">
        <f t="shared" si="131"/>
        <v>Other</v>
      </c>
      <c r="J2110" s="1">
        <f t="shared" si="132"/>
        <v>240206.63</v>
      </c>
    </row>
    <row r="2111" spans="1:10" ht="12.75">
      <c r="A2111" s="1" t="s">
        <v>2</v>
      </c>
      <c r="B2111" s="1" t="s">
        <v>5</v>
      </c>
      <c r="C2111" s="1" t="s">
        <v>49</v>
      </c>
      <c r="D2111" s="2">
        <v>44968</v>
      </c>
      <c r="E2111" s="1" t="s">
        <v>1908</v>
      </c>
      <c r="F2111" s="5">
        <f t="shared" si="129"/>
        <v>4454.71</v>
      </c>
      <c r="G2111" s="1">
        <v>117</v>
      </c>
      <c r="H2111" s="1" t="str">
        <f t="shared" si="130"/>
        <v>High</v>
      </c>
      <c r="I2111" s="1" t="str">
        <f t="shared" si="131"/>
        <v>Top Local</v>
      </c>
      <c r="J2111" s="1">
        <f t="shared" si="132"/>
        <v>240206.63</v>
      </c>
    </row>
    <row r="2112" spans="1:10" ht="12.75">
      <c r="A2112" s="1" t="s">
        <v>8</v>
      </c>
      <c r="B2112" s="1" t="s">
        <v>62</v>
      </c>
      <c r="C2112" s="1" t="s">
        <v>68</v>
      </c>
      <c r="D2112" s="2">
        <v>45014</v>
      </c>
      <c r="E2112" s="1" t="s">
        <v>1909</v>
      </c>
      <c r="F2112" s="5">
        <f t="shared" si="129"/>
        <v>6078.71</v>
      </c>
      <c r="G2112" s="1">
        <v>78</v>
      </c>
      <c r="H2112" s="1" t="str">
        <f t="shared" si="130"/>
        <v>High</v>
      </c>
      <c r="I2112" s="1" t="str">
        <f t="shared" si="131"/>
        <v>Other</v>
      </c>
      <c r="J2112" s="1">
        <f t="shared" si="132"/>
        <v>235751.92000000004</v>
      </c>
    </row>
    <row r="2113" spans="1:10" ht="12.75">
      <c r="A2113" s="1" t="s">
        <v>14</v>
      </c>
      <c r="B2113" s="1" t="s">
        <v>59</v>
      </c>
      <c r="C2113" s="1" t="s">
        <v>45</v>
      </c>
      <c r="D2113" s="2">
        <v>45092</v>
      </c>
      <c r="E2113" s="1" t="s">
        <v>1910</v>
      </c>
      <c r="F2113" s="5">
        <f t="shared" si="129"/>
        <v>695.96</v>
      </c>
      <c r="G2113" s="1">
        <v>363</v>
      </c>
      <c r="H2113" s="1" t="str">
        <f t="shared" si="130"/>
        <v>Medium</v>
      </c>
      <c r="I2113" s="1" t="str">
        <f t="shared" si="131"/>
        <v>Other</v>
      </c>
      <c r="J2113" s="1">
        <f t="shared" si="132"/>
        <v>235751.92000000004</v>
      </c>
    </row>
    <row r="2114" spans="1:10" ht="12.75">
      <c r="A2114" s="1" t="s">
        <v>6</v>
      </c>
      <c r="B2114" s="1" t="s">
        <v>39</v>
      </c>
      <c r="C2114" s="1" t="s">
        <v>49</v>
      </c>
      <c r="D2114" s="2">
        <v>45042</v>
      </c>
      <c r="E2114" s="1" t="s">
        <v>1911</v>
      </c>
      <c r="F2114" s="5">
        <f t="shared" ref="F2114:F2177" si="133">VALUE(SUBSTITUTE(E2114,"$",""))</f>
        <v>563.76</v>
      </c>
      <c r="G2114" s="1">
        <v>151</v>
      </c>
      <c r="H2114" s="1" t="str">
        <f t="shared" ref="H2114:H2177" si="134">IF(F2114&gt;800,"High",IF(F2114&gt;500,"Medium","Low"))</f>
        <v>Medium</v>
      </c>
      <c r="I2114" s="1" t="str">
        <f t="shared" ref="I2114:I2177" si="135">IF(AND(B2114="Australia",A2114="Mallorie Waber"),"Top Local","Other")</f>
        <v>Other</v>
      </c>
      <c r="J2114" s="1">
        <f t="shared" ref="J2114:J2177" si="136">SUMIF(A2114:A5394,"Mallorie Waber",F2114:F5394)</f>
        <v>235751.92000000004</v>
      </c>
    </row>
    <row r="2115" spans="1:10" ht="12.75">
      <c r="A2115" s="1" t="s">
        <v>7</v>
      </c>
      <c r="B2115" s="1" t="s">
        <v>5</v>
      </c>
      <c r="C2115" s="1" t="s">
        <v>68</v>
      </c>
      <c r="D2115" s="2">
        <v>45122</v>
      </c>
      <c r="E2115" s="1" t="s">
        <v>1912</v>
      </c>
      <c r="F2115" s="5">
        <f t="shared" si="133"/>
        <v>4479.6899999999996</v>
      </c>
      <c r="G2115" s="1">
        <v>261</v>
      </c>
      <c r="H2115" s="1" t="str">
        <f t="shared" si="134"/>
        <v>High</v>
      </c>
      <c r="I2115" s="1" t="str">
        <f t="shared" si="135"/>
        <v>Other</v>
      </c>
      <c r="J2115" s="1">
        <f t="shared" si="136"/>
        <v>235751.92000000004</v>
      </c>
    </row>
    <row r="2116" spans="1:10" ht="12.75">
      <c r="A2116" s="1" t="s">
        <v>28</v>
      </c>
      <c r="B2116" s="1" t="s">
        <v>42</v>
      </c>
      <c r="C2116" s="1" t="s">
        <v>68</v>
      </c>
      <c r="D2116" s="2">
        <v>45100</v>
      </c>
      <c r="E2116" s="1" t="s">
        <v>1913</v>
      </c>
      <c r="F2116" s="5">
        <f t="shared" si="133"/>
        <v>1093.72</v>
      </c>
      <c r="G2116" s="1">
        <v>22</v>
      </c>
      <c r="H2116" s="1" t="str">
        <f t="shared" si="134"/>
        <v>High</v>
      </c>
      <c r="I2116" s="1" t="str">
        <f t="shared" si="135"/>
        <v>Other</v>
      </c>
      <c r="J2116" s="1">
        <f t="shared" si="136"/>
        <v>235751.92000000004</v>
      </c>
    </row>
    <row r="2117" spans="1:10" ht="12.75">
      <c r="A2117" s="1" t="s">
        <v>6</v>
      </c>
      <c r="B2117" s="1" t="s">
        <v>5</v>
      </c>
      <c r="C2117" s="1" t="s">
        <v>122</v>
      </c>
      <c r="D2117" s="2">
        <v>44937</v>
      </c>
      <c r="E2117" s="1" t="s">
        <v>1914</v>
      </c>
      <c r="F2117" s="5">
        <f t="shared" si="133"/>
        <v>15870.43</v>
      </c>
      <c r="G2117" s="1">
        <v>449</v>
      </c>
      <c r="H2117" s="1" t="str">
        <f t="shared" si="134"/>
        <v>High</v>
      </c>
      <c r="I2117" s="1" t="str">
        <f t="shared" si="135"/>
        <v>Other</v>
      </c>
      <c r="J2117" s="1">
        <f t="shared" si="136"/>
        <v>235751.92000000004</v>
      </c>
    </row>
    <row r="2118" spans="1:10" ht="12.75">
      <c r="A2118" s="1" t="s">
        <v>28</v>
      </c>
      <c r="B2118" s="1" t="s">
        <v>39</v>
      </c>
      <c r="C2118" s="1" t="s">
        <v>55</v>
      </c>
      <c r="D2118" s="2">
        <v>44966</v>
      </c>
      <c r="E2118" s="1" t="s">
        <v>1915</v>
      </c>
      <c r="F2118" s="5">
        <f t="shared" si="133"/>
        <v>2529.8200000000002</v>
      </c>
      <c r="G2118" s="1">
        <v>297</v>
      </c>
      <c r="H2118" s="1" t="str">
        <f t="shared" si="134"/>
        <v>High</v>
      </c>
      <c r="I2118" s="1" t="str">
        <f t="shared" si="135"/>
        <v>Other</v>
      </c>
      <c r="J2118" s="1">
        <f t="shared" si="136"/>
        <v>235751.92000000004</v>
      </c>
    </row>
    <row r="2119" spans="1:10" ht="12.75">
      <c r="A2119" s="1" t="s">
        <v>10</v>
      </c>
      <c r="B2119" s="1" t="s">
        <v>39</v>
      </c>
      <c r="C2119" s="1" t="s">
        <v>91</v>
      </c>
      <c r="D2119" s="2">
        <v>45083</v>
      </c>
      <c r="E2119" s="1" t="s">
        <v>1916</v>
      </c>
      <c r="F2119" s="5">
        <f t="shared" si="133"/>
        <v>11258.39</v>
      </c>
      <c r="G2119" s="1">
        <v>217</v>
      </c>
      <c r="H2119" s="1" t="str">
        <f t="shared" si="134"/>
        <v>High</v>
      </c>
      <c r="I2119" s="1" t="str">
        <f t="shared" si="135"/>
        <v>Other</v>
      </c>
      <c r="J2119" s="1">
        <f t="shared" si="136"/>
        <v>235751.92000000004</v>
      </c>
    </row>
    <row r="2120" spans="1:10" ht="12.75">
      <c r="A2120" s="1" t="s">
        <v>21</v>
      </c>
      <c r="B2120" s="1" t="s">
        <v>39</v>
      </c>
      <c r="C2120" s="1" t="s">
        <v>126</v>
      </c>
      <c r="D2120" s="2">
        <v>45148</v>
      </c>
      <c r="E2120" s="1" t="s">
        <v>1917</v>
      </c>
      <c r="F2120" s="5">
        <f t="shared" si="133"/>
        <v>6180.45</v>
      </c>
      <c r="G2120" s="1">
        <v>230</v>
      </c>
      <c r="H2120" s="1" t="str">
        <f t="shared" si="134"/>
        <v>High</v>
      </c>
      <c r="I2120" s="1" t="str">
        <f t="shared" si="135"/>
        <v>Other</v>
      </c>
      <c r="J2120" s="1">
        <f t="shared" si="136"/>
        <v>235751.92000000004</v>
      </c>
    </row>
    <row r="2121" spans="1:10" ht="12.75">
      <c r="A2121" s="1" t="s">
        <v>29</v>
      </c>
      <c r="B2121" s="1" t="s">
        <v>5</v>
      </c>
      <c r="C2121" s="1" t="s">
        <v>49</v>
      </c>
      <c r="D2121" s="2">
        <v>44930</v>
      </c>
      <c r="E2121" s="1" t="s">
        <v>1918</v>
      </c>
      <c r="F2121" s="5">
        <f t="shared" si="133"/>
        <v>2496.06</v>
      </c>
      <c r="G2121" s="1">
        <v>45</v>
      </c>
      <c r="H2121" s="1" t="str">
        <f t="shared" si="134"/>
        <v>High</v>
      </c>
      <c r="I2121" s="1" t="str">
        <f t="shared" si="135"/>
        <v>Other</v>
      </c>
      <c r="J2121" s="1">
        <f t="shared" si="136"/>
        <v>235751.92000000004</v>
      </c>
    </row>
    <row r="2122" spans="1:10" ht="12.75">
      <c r="A2122" s="1" t="s">
        <v>27</v>
      </c>
      <c r="B2122" s="1" t="s">
        <v>62</v>
      </c>
      <c r="C2122" s="1" t="s">
        <v>147</v>
      </c>
      <c r="D2122" s="2">
        <v>45024</v>
      </c>
      <c r="E2122" s="1" t="s">
        <v>1919</v>
      </c>
      <c r="F2122" s="5">
        <f t="shared" si="133"/>
        <v>10964.29</v>
      </c>
      <c r="G2122" s="1">
        <v>16</v>
      </c>
      <c r="H2122" s="1" t="str">
        <f t="shared" si="134"/>
        <v>High</v>
      </c>
      <c r="I2122" s="1" t="str">
        <f t="shared" si="135"/>
        <v>Other</v>
      </c>
      <c r="J2122" s="1">
        <f t="shared" si="136"/>
        <v>235751.92000000004</v>
      </c>
    </row>
    <row r="2123" spans="1:10" ht="12.75">
      <c r="A2123" s="1" t="s">
        <v>16</v>
      </c>
      <c r="B2123" s="1" t="s">
        <v>39</v>
      </c>
      <c r="C2123" s="1" t="s">
        <v>72</v>
      </c>
      <c r="D2123" s="2">
        <v>44987</v>
      </c>
      <c r="E2123" s="1" t="s">
        <v>1920</v>
      </c>
      <c r="F2123" s="5">
        <f t="shared" si="133"/>
        <v>4012.51</v>
      </c>
      <c r="G2123" s="1">
        <v>409</v>
      </c>
      <c r="H2123" s="1" t="str">
        <f t="shared" si="134"/>
        <v>High</v>
      </c>
      <c r="I2123" s="1" t="str">
        <f t="shared" si="135"/>
        <v>Other</v>
      </c>
      <c r="J2123" s="1">
        <f t="shared" si="136"/>
        <v>235751.92000000004</v>
      </c>
    </row>
    <row r="2124" spans="1:10" ht="12.75">
      <c r="A2124" s="1" t="s">
        <v>10</v>
      </c>
      <c r="B2124" s="1" t="s">
        <v>62</v>
      </c>
      <c r="C2124" s="1" t="s">
        <v>65</v>
      </c>
      <c r="D2124" s="2">
        <v>45092</v>
      </c>
      <c r="E2124" s="1" t="s">
        <v>1921</v>
      </c>
      <c r="F2124" s="5">
        <f t="shared" si="133"/>
        <v>4919.25</v>
      </c>
      <c r="G2124" s="1">
        <v>746</v>
      </c>
      <c r="H2124" s="1" t="str">
        <f t="shared" si="134"/>
        <v>High</v>
      </c>
      <c r="I2124" s="1" t="str">
        <f t="shared" si="135"/>
        <v>Other</v>
      </c>
      <c r="J2124" s="1">
        <f t="shared" si="136"/>
        <v>235751.92000000004</v>
      </c>
    </row>
    <row r="2125" spans="1:10" ht="12.75">
      <c r="A2125" s="1" t="s">
        <v>11</v>
      </c>
      <c r="B2125" s="1" t="s">
        <v>5</v>
      </c>
      <c r="C2125" s="1" t="s">
        <v>52</v>
      </c>
      <c r="D2125" s="2">
        <v>44971</v>
      </c>
      <c r="E2125" s="1" t="s">
        <v>1922</v>
      </c>
      <c r="F2125" s="5">
        <f t="shared" si="133"/>
        <v>5602.02</v>
      </c>
      <c r="G2125" s="1">
        <v>51</v>
      </c>
      <c r="H2125" s="1" t="str">
        <f t="shared" si="134"/>
        <v>High</v>
      </c>
      <c r="I2125" s="1" t="str">
        <f t="shared" si="135"/>
        <v>Other</v>
      </c>
      <c r="J2125" s="1">
        <f t="shared" si="136"/>
        <v>235751.92000000004</v>
      </c>
    </row>
    <row r="2126" spans="1:10" ht="12.75">
      <c r="A2126" s="1" t="s">
        <v>13</v>
      </c>
      <c r="B2126" s="1" t="s">
        <v>39</v>
      </c>
      <c r="C2126" s="1" t="s">
        <v>52</v>
      </c>
      <c r="D2126" s="2">
        <v>45112</v>
      </c>
      <c r="E2126" s="1" t="s">
        <v>1923</v>
      </c>
      <c r="F2126" s="5">
        <f t="shared" si="133"/>
        <v>3563.87</v>
      </c>
      <c r="G2126" s="1">
        <v>372</v>
      </c>
      <c r="H2126" s="1" t="str">
        <f t="shared" si="134"/>
        <v>High</v>
      </c>
      <c r="I2126" s="1" t="str">
        <f t="shared" si="135"/>
        <v>Other</v>
      </c>
      <c r="J2126" s="1">
        <f t="shared" si="136"/>
        <v>235751.92000000004</v>
      </c>
    </row>
    <row r="2127" spans="1:10" ht="12.75">
      <c r="A2127" s="1" t="s">
        <v>16</v>
      </c>
      <c r="B2127" s="1" t="s">
        <v>42</v>
      </c>
      <c r="C2127" s="1" t="s">
        <v>40</v>
      </c>
      <c r="D2127" s="2">
        <v>44938</v>
      </c>
      <c r="E2127" s="1" t="s">
        <v>1924</v>
      </c>
      <c r="F2127" s="5">
        <f t="shared" si="133"/>
        <v>8313.09</v>
      </c>
      <c r="G2127" s="1">
        <v>493</v>
      </c>
      <c r="H2127" s="1" t="str">
        <f t="shared" si="134"/>
        <v>High</v>
      </c>
      <c r="I2127" s="1" t="str">
        <f t="shared" si="135"/>
        <v>Other</v>
      </c>
      <c r="J2127" s="1">
        <f t="shared" si="136"/>
        <v>235751.92000000004</v>
      </c>
    </row>
    <row r="2128" spans="1:10" ht="12.75">
      <c r="A2128" s="1" t="s">
        <v>24</v>
      </c>
      <c r="B2128" s="1" t="s">
        <v>42</v>
      </c>
      <c r="C2128" s="1" t="s">
        <v>40</v>
      </c>
      <c r="D2128" s="2">
        <v>44988</v>
      </c>
      <c r="E2128" s="1" t="s">
        <v>1925</v>
      </c>
      <c r="F2128" s="5">
        <f t="shared" si="133"/>
        <v>8447.48</v>
      </c>
      <c r="G2128" s="1">
        <v>96</v>
      </c>
      <c r="H2128" s="1" t="str">
        <f t="shared" si="134"/>
        <v>High</v>
      </c>
      <c r="I2128" s="1" t="str">
        <f t="shared" si="135"/>
        <v>Other</v>
      </c>
      <c r="J2128" s="1">
        <f t="shared" si="136"/>
        <v>235751.92000000004</v>
      </c>
    </row>
    <row r="2129" spans="1:10" ht="12.75">
      <c r="A2129" s="1" t="s">
        <v>11</v>
      </c>
      <c r="B2129" s="1" t="s">
        <v>54</v>
      </c>
      <c r="C2129" s="1" t="s">
        <v>72</v>
      </c>
      <c r="D2129" s="2">
        <v>45064</v>
      </c>
      <c r="E2129" s="1" t="s">
        <v>1926</v>
      </c>
      <c r="F2129" s="5">
        <f t="shared" si="133"/>
        <v>2646.23</v>
      </c>
      <c r="G2129" s="1">
        <v>198</v>
      </c>
      <c r="H2129" s="1" t="str">
        <f t="shared" si="134"/>
        <v>High</v>
      </c>
      <c r="I2129" s="1" t="str">
        <f t="shared" si="135"/>
        <v>Other</v>
      </c>
      <c r="J2129" s="1">
        <f t="shared" si="136"/>
        <v>235751.92000000004</v>
      </c>
    </row>
    <row r="2130" spans="1:10" ht="12.75">
      <c r="A2130" s="1" t="s">
        <v>23</v>
      </c>
      <c r="B2130" s="1" t="s">
        <v>42</v>
      </c>
      <c r="C2130" s="1" t="s">
        <v>126</v>
      </c>
      <c r="D2130" s="2">
        <v>45135</v>
      </c>
      <c r="E2130" s="1" t="s">
        <v>1927</v>
      </c>
      <c r="F2130" s="5">
        <f t="shared" si="133"/>
        <v>2706.83</v>
      </c>
      <c r="G2130" s="1">
        <v>198</v>
      </c>
      <c r="H2130" s="1" t="str">
        <f t="shared" si="134"/>
        <v>High</v>
      </c>
      <c r="I2130" s="1" t="str">
        <f t="shared" si="135"/>
        <v>Other</v>
      </c>
      <c r="J2130" s="1">
        <f t="shared" si="136"/>
        <v>235751.92000000004</v>
      </c>
    </row>
    <row r="2131" spans="1:10" ht="12.75">
      <c r="A2131" s="1" t="s">
        <v>24</v>
      </c>
      <c r="B2131" s="1" t="s">
        <v>39</v>
      </c>
      <c r="C2131" s="1" t="s">
        <v>86</v>
      </c>
      <c r="D2131" s="2">
        <v>44964</v>
      </c>
      <c r="E2131" s="1" t="s">
        <v>1928</v>
      </c>
      <c r="F2131" s="5">
        <f t="shared" si="133"/>
        <v>1710.48</v>
      </c>
      <c r="G2131" s="1">
        <v>108</v>
      </c>
      <c r="H2131" s="1" t="str">
        <f t="shared" si="134"/>
        <v>High</v>
      </c>
      <c r="I2131" s="1" t="str">
        <f t="shared" si="135"/>
        <v>Other</v>
      </c>
      <c r="J2131" s="1">
        <f t="shared" si="136"/>
        <v>235751.92000000004</v>
      </c>
    </row>
    <row r="2132" spans="1:10" ht="12.75">
      <c r="A2132" s="1" t="s">
        <v>27</v>
      </c>
      <c r="B2132" s="1" t="s">
        <v>42</v>
      </c>
      <c r="C2132" s="1" t="s">
        <v>60</v>
      </c>
      <c r="D2132" s="2">
        <v>45076</v>
      </c>
      <c r="E2132" s="1" t="s">
        <v>1929</v>
      </c>
      <c r="F2132" s="5">
        <f t="shared" si="133"/>
        <v>318.19</v>
      </c>
      <c r="G2132" s="1">
        <v>417</v>
      </c>
      <c r="H2132" s="1" t="str">
        <f t="shared" si="134"/>
        <v>Low</v>
      </c>
      <c r="I2132" s="1" t="str">
        <f t="shared" si="135"/>
        <v>Other</v>
      </c>
      <c r="J2132" s="1">
        <f t="shared" si="136"/>
        <v>235751.92000000004</v>
      </c>
    </row>
    <row r="2133" spans="1:10" ht="12.75">
      <c r="A2133" s="1" t="s">
        <v>2</v>
      </c>
      <c r="B2133" s="1" t="s">
        <v>5</v>
      </c>
      <c r="C2133" s="1" t="s">
        <v>100</v>
      </c>
      <c r="D2133" s="2">
        <v>45041</v>
      </c>
      <c r="E2133" s="1" t="s">
        <v>1930</v>
      </c>
      <c r="F2133" s="5">
        <f t="shared" si="133"/>
        <v>9479.65</v>
      </c>
      <c r="G2133" s="1">
        <v>26</v>
      </c>
      <c r="H2133" s="1" t="str">
        <f t="shared" si="134"/>
        <v>High</v>
      </c>
      <c r="I2133" s="1" t="str">
        <f t="shared" si="135"/>
        <v>Top Local</v>
      </c>
      <c r="J2133" s="1">
        <f t="shared" si="136"/>
        <v>235751.92000000004</v>
      </c>
    </row>
    <row r="2134" spans="1:10" ht="12.75">
      <c r="A2134" s="1" t="s">
        <v>28</v>
      </c>
      <c r="B2134" s="1" t="s">
        <v>62</v>
      </c>
      <c r="C2134" s="1" t="s">
        <v>43</v>
      </c>
      <c r="D2134" s="2">
        <v>44973</v>
      </c>
      <c r="E2134" s="1" t="s">
        <v>1931</v>
      </c>
      <c r="F2134" s="5">
        <f t="shared" si="133"/>
        <v>6393.2</v>
      </c>
      <c r="G2134" s="1">
        <v>44</v>
      </c>
      <c r="H2134" s="1" t="str">
        <f t="shared" si="134"/>
        <v>High</v>
      </c>
      <c r="I2134" s="1" t="str">
        <f t="shared" si="135"/>
        <v>Other</v>
      </c>
      <c r="J2134" s="1">
        <f t="shared" si="136"/>
        <v>226272.27000000002</v>
      </c>
    </row>
    <row r="2135" spans="1:10" ht="12.75">
      <c r="A2135" s="1" t="s">
        <v>12</v>
      </c>
      <c r="B2135" s="1" t="s">
        <v>5</v>
      </c>
      <c r="C2135" s="1" t="s">
        <v>65</v>
      </c>
      <c r="D2135" s="2">
        <v>45050</v>
      </c>
      <c r="E2135" s="1" t="s">
        <v>1932</v>
      </c>
      <c r="F2135" s="5">
        <f t="shared" si="133"/>
        <v>1355.65</v>
      </c>
      <c r="G2135" s="1">
        <v>60</v>
      </c>
      <c r="H2135" s="1" t="str">
        <f t="shared" si="134"/>
        <v>High</v>
      </c>
      <c r="I2135" s="1" t="str">
        <f t="shared" si="135"/>
        <v>Other</v>
      </c>
      <c r="J2135" s="1">
        <f t="shared" si="136"/>
        <v>226272.27000000002</v>
      </c>
    </row>
    <row r="2136" spans="1:10" ht="12.75">
      <c r="A2136" s="1" t="s">
        <v>10</v>
      </c>
      <c r="B2136" s="1" t="s">
        <v>62</v>
      </c>
      <c r="C2136" s="1" t="s">
        <v>147</v>
      </c>
      <c r="D2136" s="2">
        <v>45079</v>
      </c>
      <c r="E2136" s="1" t="s">
        <v>1933</v>
      </c>
      <c r="F2136" s="5">
        <f t="shared" si="133"/>
        <v>7911.23</v>
      </c>
      <c r="G2136" s="1">
        <v>74</v>
      </c>
      <c r="H2136" s="1" t="str">
        <f t="shared" si="134"/>
        <v>High</v>
      </c>
      <c r="I2136" s="1" t="str">
        <f t="shared" si="135"/>
        <v>Other</v>
      </c>
      <c r="J2136" s="1">
        <f t="shared" si="136"/>
        <v>226272.27000000002</v>
      </c>
    </row>
    <row r="2137" spans="1:10" ht="12.75">
      <c r="A2137" s="1" t="s">
        <v>6</v>
      </c>
      <c r="B2137" s="1" t="s">
        <v>59</v>
      </c>
      <c r="C2137" s="1" t="s">
        <v>126</v>
      </c>
      <c r="D2137" s="2">
        <v>45118</v>
      </c>
      <c r="E2137" s="1" t="s">
        <v>1934</v>
      </c>
      <c r="F2137" s="5">
        <f t="shared" si="133"/>
        <v>2583.0300000000002</v>
      </c>
      <c r="G2137" s="1">
        <v>501</v>
      </c>
      <c r="H2137" s="1" t="str">
        <f t="shared" si="134"/>
        <v>High</v>
      </c>
      <c r="I2137" s="1" t="str">
        <f t="shared" si="135"/>
        <v>Other</v>
      </c>
      <c r="J2137" s="1">
        <f t="shared" si="136"/>
        <v>226272.27000000002</v>
      </c>
    </row>
    <row r="2138" spans="1:10" ht="12.75">
      <c r="A2138" s="1" t="s">
        <v>28</v>
      </c>
      <c r="B2138" s="1" t="s">
        <v>54</v>
      </c>
      <c r="C2138" s="1" t="s">
        <v>76</v>
      </c>
      <c r="D2138" s="2">
        <v>45084</v>
      </c>
      <c r="E2138" s="1" t="s">
        <v>1935</v>
      </c>
      <c r="F2138" s="5">
        <f t="shared" si="133"/>
        <v>66.13</v>
      </c>
      <c r="G2138" s="1">
        <v>65</v>
      </c>
      <c r="H2138" s="1" t="str">
        <f t="shared" si="134"/>
        <v>Low</v>
      </c>
      <c r="I2138" s="1" t="str">
        <f t="shared" si="135"/>
        <v>Other</v>
      </c>
      <c r="J2138" s="1">
        <f t="shared" si="136"/>
        <v>226272.27000000002</v>
      </c>
    </row>
    <row r="2139" spans="1:10" ht="12.75">
      <c r="A2139" s="1" t="s">
        <v>15</v>
      </c>
      <c r="B2139" s="1" t="s">
        <v>39</v>
      </c>
      <c r="C2139" s="1" t="s">
        <v>91</v>
      </c>
      <c r="D2139" s="2">
        <v>45113</v>
      </c>
      <c r="E2139" s="1" t="s">
        <v>1936</v>
      </c>
      <c r="F2139" s="5">
        <f t="shared" si="133"/>
        <v>10668.69</v>
      </c>
      <c r="G2139" s="1">
        <v>150</v>
      </c>
      <c r="H2139" s="1" t="str">
        <f t="shared" si="134"/>
        <v>High</v>
      </c>
      <c r="I2139" s="1" t="str">
        <f t="shared" si="135"/>
        <v>Other</v>
      </c>
      <c r="J2139" s="1">
        <f t="shared" si="136"/>
        <v>226272.27000000002</v>
      </c>
    </row>
    <row r="2140" spans="1:10" ht="12.75">
      <c r="A2140" s="1" t="s">
        <v>13</v>
      </c>
      <c r="B2140" s="1" t="s">
        <v>42</v>
      </c>
      <c r="C2140" s="1" t="s">
        <v>100</v>
      </c>
      <c r="D2140" s="2">
        <v>45092</v>
      </c>
      <c r="E2140" s="1" t="s">
        <v>1937</v>
      </c>
      <c r="F2140" s="5">
        <f t="shared" si="133"/>
        <v>10994.3</v>
      </c>
      <c r="G2140" s="1">
        <v>152</v>
      </c>
      <c r="H2140" s="1" t="str">
        <f t="shared" si="134"/>
        <v>High</v>
      </c>
      <c r="I2140" s="1" t="str">
        <f t="shared" si="135"/>
        <v>Other</v>
      </c>
      <c r="J2140" s="1">
        <f t="shared" si="136"/>
        <v>226272.27000000002</v>
      </c>
    </row>
    <row r="2141" spans="1:10" ht="12.75">
      <c r="A2141" s="1" t="s">
        <v>21</v>
      </c>
      <c r="B2141" s="1" t="s">
        <v>42</v>
      </c>
      <c r="C2141" s="1" t="s">
        <v>40</v>
      </c>
      <c r="D2141" s="2">
        <v>45030</v>
      </c>
      <c r="E2141" s="1" t="s">
        <v>1938</v>
      </c>
      <c r="F2141" s="5">
        <f t="shared" si="133"/>
        <v>1259.6099999999999</v>
      </c>
      <c r="G2141" s="1">
        <v>227</v>
      </c>
      <c r="H2141" s="1" t="str">
        <f t="shared" si="134"/>
        <v>High</v>
      </c>
      <c r="I2141" s="1" t="str">
        <f t="shared" si="135"/>
        <v>Other</v>
      </c>
      <c r="J2141" s="1">
        <f t="shared" si="136"/>
        <v>226272.27000000002</v>
      </c>
    </row>
    <row r="2142" spans="1:10" ht="12.75">
      <c r="A2142" s="1" t="s">
        <v>25</v>
      </c>
      <c r="B2142" s="1" t="s">
        <v>42</v>
      </c>
      <c r="C2142" s="1" t="s">
        <v>65</v>
      </c>
      <c r="D2142" s="2">
        <v>45146</v>
      </c>
      <c r="E2142" s="1" t="s">
        <v>1939</v>
      </c>
      <c r="F2142" s="5">
        <f t="shared" si="133"/>
        <v>492.13</v>
      </c>
      <c r="G2142" s="1">
        <v>164</v>
      </c>
      <c r="H2142" s="1" t="str">
        <f t="shared" si="134"/>
        <v>Low</v>
      </c>
      <c r="I2142" s="1" t="str">
        <f t="shared" si="135"/>
        <v>Other</v>
      </c>
      <c r="J2142" s="1">
        <f t="shared" si="136"/>
        <v>226272.27000000002</v>
      </c>
    </row>
    <row r="2143" spans="1:10" ht="12.75">
      <c r="A2143" s="1" t="s">
        <v>14</v>
      </c>
      <c r="B2143" s="1" t="s">
        <v>39</v>
      </c>
      <c r="C2143" s="1" t="s">
        <v>65</v>
      </c>
      <c r="D2143" s="2">
        <v>45014</v>
      </c>
      <c r="E2143" s="1" t="s">
        <v>1940</v>
      </c>
      <c r="F2143" s="5">
        <f t="shared" si="133"/>
        <v>1016.77</v>
      </c>
      <c r="G2143" s="1">
        <v>28</v>
      </c>
      <c r="H2143" s="1" t="str">
        <f t="shared" si="134"/>
        <v>High</v>
      </c>
      <c r="I2143" s="1" t="str">
        <f t="shared" si="135"/>
        <v>Other</v>
      </c>
      <c r="J2143" s="1">
        <f t="shared" si="136"/>
        <v>226272.27000000002</v>
      </c>
    </row>
    <row r="2144" spans="1:10" ht="12.75">
      <c r="A2144" s="1" t="s">
        <v>26</v>
      </c>
      <c r="B2144" s="1" t="s">
        <v>5</v>
      </c>
      <c r="C2144" s="1" t="s">
        <v>68</v>
      </c>
      <c r="D2144" s="2">
        <v>45111</v>
      </c>
      <c r="E2144" s="1" t="s">
        <v>1941</v>
      </c>
      <c r="F2144" s="5">
        <f t="shared" si="133"/>
        <v>4111.42</v>
      </c>
      <c r="G2144" s="1">
        <v>81</v>
      </c>
      <c r="H2144" s="1" t="str">
        <f t="shared" si="134"/>
        <v>High</v>
      </c>
      <c r="I2144" s="1" t="str">
        <f t="shared" si="135"/>
        <v>Other</v>
      </c>
      <c r="J2144" s="1">
        <f t="shared" si="136"/>
        <v>226272.27000000002</v>
      </c>
    </row>
    <row r="2145" spans="1:10" ht="12.75">
      <c r="A2145" s="1" t="s">
        <v>17</v>
      </c>
      <c r="B2145" s="1" t="s">
        <v>42</v>
      </c>
      <c r="C2145" s="1" t="s">
        <v>51</v>
      </c>
      <c r="D2145" s="2">
        <v>44973</v>
      </c>
      <c r="E2145" s="1" t="s">
        <v>1942</v>
      </c>
      <c r="F2145" s="5">
        <f t="shared" si="133"/>
        <v>503.97</v>
      </c>
      <c r="G2145" s="1">
        <v>105</v>
      </c>
      <c r="H2145" s="1" t="str">
        <f t="shared" si="134"/>
        <v>Medium</v>
      </c>
      <c r="I2145" s="1" t="str">
        <f t="shared" si="135"/>
        <v>Other</v>
      </c>
      <c r="J2145" s="1">
        <f t="shared" si="136"/>
        <v>226272.27000000002</v>
      </c>
    </row>
    <row r="2146" spans="1:10" ht="12.75">
      <c r="A2146" s="1" t="s">
        <v>19</v>
      </c>
      <c r="B2146" s="1" t="s">
        <v>62</v>
      </c>
      <c r="C2146" s="1" t="s">
        <v>76</v>
      </c>
      <c r="D2146" s="2">
        <v>45048</v>
      </c>
      <c r="E2146" s="1" t="s">
        <v>1943</v>
      </c>
      <c r="F2146" s="5">
        <f t="shared" si="133"/>
        <v>2883.71</v>
      </c>
      <c r="G2146" s="1">
        <v>163</v>
      </c>
      <c r="H2146" s="1" t="str">
        <f t="shared" si="134"/>
        <v>High</v>
      </c>
      <c r="I2146" s="1" t="str">
        <f t="shared" si="135"/>
        <v>Other</v>
      </c>
      <c r="J2146" s="1">
        <f t="shared" si="136"/>
        <v>226272.27000000002</v>
      </c>
    </row>
    <row r="2147" spans="1:10" ht="12.75">
      <c r="A2147" s="1" t="s">
        <v>10</v>
      </c>
      <c r="B2147" s="1" t="s">
        <v>42</v>
      </c>
      <c r="C2147" s="1" t="s">
        <v>63</v>
      </c>
      <c r="D2147" s="2">
        <v>45128</v>
      </c>
      <c r="E2147" s="1" t="s">
        <v>1944</v>
      </c>
      <c r="F2147" s="5">
        <f t="shared" si="133"/>
        <v>11861.89</v>
      </c>
      <c r="G2147" s="1">
        <v>105</v>
      </c>
      <c r="H2147" s="1" t="str">
        <f t="shared" si="134"/>
        <v>High</v>
      </c>
      <c r="I2147" s="1" t="str">
        <f t="shared" si="135"/>
        <v>Other</v>
      </c>
      <c r="J2147" s="1">
        <f t="shared" si="136"/>
        <v>226272.27000000002</v>
      </c>
    </row>
    <row r="2148" spans="1:10" ht="12.75">
      <c r="A2148" s="1" t="s">
        <v>23</v>
      </c>
      <c r="B2148" s="1" t="s">
        <v>5</v>
      </c>
      <c r="C2148" s="1" t="s">
        <v>51</v>
      </c>
      <c r="D2148" s="2">
        <v>45156</v>
      </c>
      <c r="E2148" s="1" t="s">
        <v>1945</v>
      </c>
      <c r="F2148" s="5">
        <f t="shared" si="133"/>
        <v>8564.73</v>
      </c>
      <c r="G2148" s="1">
        <v>237</v>
      </c>
      <c r="H2148" s="1" t="str">
        <f t="shared" si="134"/>
        <v>High</v>
      </c>
      <c r="I2148" s="1" t="str">
        <f t="shared" si="135"/>
        <v>Other</v>
      </c>
      <c r="J2148" s="1">
        <f t="shared" si="136"/>
        <v>226272.27000000002</v>
      </c>
    </row>
    <row r="2149" spans="1:10" ht="12.75">
      <c r="A2149" s="1" t="s">
        <v>8</v>
      </c>
      <c r="B2149" s="1" t="s">
        <v>59</v>
      </c>
      <c r="C2149" s="1" t="s">
        <v>43</v>
      </c>
      <c r="D2149" s="2">
        <v>45099</v>
      </c>
      <c r="E2149" s="1" t="s">
        <v>1946</v>
      </c>
      <c r="F2149" s="5">
        <f t="shared" si="133"/>
        <v>538.03</v>
      </c>
      <c r="G2149" s="1">
        <v>271</v>
      </c>
      <c r="H2149" s="1" t="str">
        <f t="shared" si="134"/>
        <v>Medium</v>
      </c>
      <c r="I2149" s="1" t="str">
        <f t="shared" si="135"/>
        <v>Other</v>
      </c>
      <c r="J2149" s="1">
        <f t="shared" si="136"/>
        <v>226272.27000000002</v>
      </c>
    </row>
    <row r="2150" spans="1:10" ht="12.75">
      <c r="A2150" s="1" t="s">
        <v>25</v>
      </c>
      <c r="B2150" s="1" t="s">
        <v>39</v>
      </c>
      <c r="C2150" s="1" t="s">
        <v>45</v>
      </c>
      <c r="D2150" s="2">
        <v>45126</v>
      </c>
      <c r="E2150" s="1" t="s">
        <v>1947</v>
      </c>
      <c r="F2150" s="5">
        <f t="shared" si="133"/>
        <v>5231.88</v>
      </c>
      <c r="G2150" s="1">
        <v>125</v>
      </c>
      <c r="H2150" s="1" t="str">
        <f t="shared" si="134"/>
        <v>High</v>
      </c>
      <c r="I2150" s="1" t="str">
        <f t="shared" si="135"/>
        <v>Other</v>
      </c>
      <c r="J2150" s="1">
        <f t="shared" si="136"/>
        <v>226272.27000000002</v>
      </c>
    </row>
    <row r="2151" spans="1:10" ht="12.75">
      <c r="A2151" s="1" t="s">
        <v>9</v>
      </c>
      <c r="B2151" s="1" t="s">
        <v>39</v>
      </c>
      <c r="C2151" s="1" t="s">
        <v>45</v>
      </c>
      <c r="D2151" s="2">
        <v>45150</v>
      </c>
      <c r="E2151" s="1" t="s">
        <v>1948</v>
      </c>
      <c r="F2151" s="5">
        <f t="shared" si="133"/>
        <v>7916.13</v>
      </c>
      <c r="G2151" s="1">
        <v>84</v>
      </c>
      <c r="H2151" s="1" t="str">
        <f t="shared" si="134"/>
        <v>High</v>
      </c>
      <c r="I2151" s="1" t="str">
        <f t="shared" si="135"/>
        <v>Other</v>
      </c>
      <c r="J2151" s="1">
        <f t="shared" si="136"/>
        <v>226272.27000000002</v>
      </c>
    </row>
    <row r="2152" spans="1:10" ht="12.75">
      <c r="A2152" s="1" t="s">
        <v>9</v>
      </c>
      <c r="B2152" s="1" t="s">
        <v>59</v>
      </c>
      <c r="C2152" s="1" t="s">
        <v>102</v>
      </c>
      <c r="D2152" s="2">
        <v>45084</v>
      </c>
      <c r="E2152" s="1" t="s">
        <v>1949</v>
      </c>
      <c r="F2152" s="5">
        <f t="shared" si="133"/>
        <v>6016.32</v>
      </c>
      <c r="G2152" s="1">
        <v>143</v>
      </c>
      <c r="H2152" s="1" t="str">
        <f t="shared" si="134"/>
        <v>High</v>
      </c>
      <c r="I2152" s="1" t="str">
        <f t="shared" si="135"/>
        <v>Other</v>
      </c>
      <c r="J2152" s="1">
        <f t="shared" si="136"/>
        <v>226272.27000000002</v>
      </c>
    </row>
    <row r="2153" spans="1:10" ht="12.75">
      <c r="A2153" s="1" t="s">
        <v>14</v>
      </c>
      <c r="B2153" s="1" t="s">
        <v>62</v>
      </c>
      <c r="C2153" s="1" t="s">
        <v>45</v>
      </c>
      <c r="D2153" s="2">
        <v>44993</v>
      </c>
      <c r="E2153" s="1" t="s">
        <v>1950</v>
      </c>
      <c r="F2153" s="5">
        <f t="shared" si="133"/>
        <v>7504.86</v>
      </c>
      <c r="G2153" s="1">
        <v>97</v>
      </c>
      <c r="H2153" s="1" t="str">
        <f t="shared" si="134"/>
        <v>High</v>
      </c>
      <c r="I2153" s="1" t="str">
        <f t="shared" si="135"/>
        <v>Other</v>
      </c>
      <c r="J2153" s="1">
        <f t="shared" si="136"/>
        <v>226272.27000000002</v>
      </c>
    </row>
    <row r="2154" spans="1:10" ht="12.75">
      <c r="A2154" s="1" t="s">
        <v>17</v>
      </c>
      <c r="B2154" s="1" t="s">
        <v>5</v>
      </c>
      <c r="C2154" s="1" t="s">
        <v>102</v>
      </c>
      <c r="D2154" s="2">
        <v>45024</v>
      </c>
      <c r="E2154" s="1" t="s">
        <v>1951</v>
      </c>
      <c r="F2154" s="5">
        <f t="shared" si="133"/>
        <v>1590.98</v>
      </c>
      <c r="G2154" s="1">
        <v>182</v>
      </c>
      <c r="H2154" s="1" t="str">
        <f t="shared" si="134"/>
        <v>High</v>
      </c>
      <c r="I2154" s="1" t="str">
        <f t="shared" si="135"/>
        <v>Other</v>
      </c>
      <c r="J2154" s="1">
        <f t="shared" si="136"/>
        <v>226272.27000000002</v>
      </c>
    </row>
    <row r="2155" spans="1:10" ht="12.75">
      <c r="A2155" s="1" t="s">
        <v>24</v>
      </c>
      <c r="B2155" s="1" t="s">
        <v>62</v>
      </c>
      <c r="C2155" s="1" t="s">
        <v>63</v>
      </c>
      <c r="D2155" s="2">
        <v>45052</v>
      </c>
      <c r="E2155" s="1" t="s">
        <v>1952</v>
      </c>
      <c r="F2155" s="5">
        <f t="shared" si="133"/>
        <v>740.07</v>
      </c>
      <c r="G2155" s="1">
        <v>205</v>
      </c>
      <c r="H2155" s="1" t="str">
        <f t="shared" si="134"/>
        <v>Medium</v>
      </c>
      <c r="I2155" s="1" t="str">
        <f t="shared" si="135"/>
        <v>Other</v>
      </c>
      <c r="J2155" s="1">
        <f t="shared" si="136"/>
        <v>226272.27000000002</v>
      </c>
    </row>
    <row r="2156" spans="1:10" ht="12.75">
      <c r="A2156" s="1" t="s">
        <v>26</v>
      </c>
      <c r="B2156" s="1" t="s">
        <v>42</v>
      </c>
      <c r="C2156" s="1" t="s">
        <v>65</v>
      </c>
      <c r="D2156" s="2">
        <v>45077</v>
      </c>
      <c r="E2156" s="1" t="s">
        <v>1953</v>
      </c>
      <c r="F2156" s="5">
        <f t="shared" si="133"/>
        <v>4591.1099999999997</v>
      </c>
      <c r="G2156" s="1">
        <v>11</v>
      </c>
      <c r="H2156" s="1" t="str">
        <f t="shared" si="134"/>
        <v>High</v>
      </c>
      <c r="I2156" s="1" t="str">
        <f t="shared" si="135"/>
        <v>Other</v>
      </c>
      <c r="J2156" s="1">
        <f t="shared" si="136"/>
        <v>226272.27000000002</v>
      </c>
    </row>
    <row r="2157" spans="1:10" ht="12.75">
      <c r="A2157" s="1" t="s">
        <v>10</v>
      </c>
      <c r="B2157" s="1" t="s">
        <v>5</v>
      </c>
      <c r="C2157" s="1" t="s">
        <v>40</v>
      </c>
      <c r="D2157" s="2">
        <v>44939</v>
      </c>
      <c r="E2157" s="1" t="s">
        <v>1954</v>
      </c>
      <c r="F2157" s="5">
        <f t="shared" si="133"/>
        <v>2686.51</v>
      </c>
      <c r="G2157" s="1">
        <v>324</v>
      </c>
      <c r="H2157" s="1" t="str">
        <f t="shared" si="134"/>
        <v>High</v>
      </c>
      <c r="I2157" s="1" t="str">
        <f t="shared" si="135"/>
        <v>Other</v>
      </c>
      <c r="J2157" s="1">
        <f t="shared" si="136"/>
        <v>226272.27000000002</v>
      </c>
    </row>
    <row r="2158" spans="1:10" ht="12.75">
      <c r="A2158" s="1" t="s">
        <v>6</v>
      </c>
      <c r="B2158" s="1" t="s">
        <v>59</v>
      </c>
      <c r="C2158" s="1" t="s">
        <v>147</v>
      </c>
      <c r="D2158" s="2">
        <v>45000</v>
      </c>
      <c r="E2158" s="1" t="s">
        <v>1955</v>
      </c>
      <c r="F2158" s="5">
        <f t="shared" si="133"/>
        <v>735.48</v>
      </c>
      <c r="G2158" s="1">
        <v>77</v>
      </c>
      <c r="H2158" s="1" t="str">
        <f t="shared" si="134"/>
        <v>Medium</v>
      </c>
      <c r="I2158" s="1" t="str">
        <f t="shared" si="135"/>
        <v>Other</v>
      </c>
      <c r="J2158" s="1">
        <f t="shared" si="136"/>
        <v>226272.27000000002</v>
      </c>
    </row>
    <row r="2159" spans="1:10" ht="12.75">
      <c r="A2159" s="1" t="s">
        <v>27</v>
      </c>
      <c r="B2159" s="1" t="s">
        <v>62</v>
      </c>
      <c r="C2159" s="1" t="s">
        <v>45</v>
      </c>
      <c r="D2159" s="2">
        <v>44973</v>
      </c>
      <c r="E2159" s="1" t="s">
        <v>1956</v>
      </c>
      <c r="F2159" s="5">
        <f t="shared" si="133"/>
        <v>1160.54</v>
      </c>
      <c r="G2159" s="1">
        <v>311</v>
      </c>
      <c r="H2159" s="1" t="str">
        <f t="shared" si="134"/>
        <v>High</v>
      </c>
      <c r="I2159" s="1" t="str">
        <f t="shared" si="135"/>
        <v>Other</v>
      </c>
      <c r="J2159" s="1">
        <f t="shared" si="136"/>
        <v>226272.27000000002</v>
      </c>
    </row>
    <row r="2160" spans="1:10" ht="12.75">
      <c r="A2160" s="1" t="s">
        <v>20</v>
      </c>
      <c r="B2160" s="1" t="s">
        <v>59</v>
      </c>
      <c r="C2160" s="1" t="s">
        <v>147</v>
      </c>
      <c r="D2160" s="2">
        <v>44940</v>
      </c>
      <c r="E2160" s="1" t="s">
        <v>1957</v>
      </c>
      <c r="F2160" s="5">
        <f t="shared" si="133"/>
        <v>8078.15</v>
      </c>
      <c r="G2160" s="1">
        <v>189</v>
      </c>
      <c r="H2160" s="1" t="str">
        <f t="shared" si="134"/>
        <v>High</v>
      </c>
      <c r="I2160" s="1" t="str">
        <f t="shared" si="135"/>
        <v>Other</v>
      </c>
      <c r="J2160" s="1">
        <f t="shared" si="136"/>
        <v>226272.27000000002</v>
      </c>
    </row>
    <row r="2161" spans="1:10" ht="12.75">
      <c r="A2161" s="1" t="s">
        <v>19</v>
      </c>
      <c r="B2161" s="1" t="s">
        <v>5</v>
      </c>
      <c r="C2161" s="1" t="s">
        <v>84</v>
      </c>
      <c r="D2161" s="2">
        <v>45006</v>
      </c>
      <c r="E2161" s="1" t="s">
        <v>1958</v>
      </c>
      <c r="F2161" s="5">
        <f t="shared" si="133"/>
        <v>7467.74</v>
      </c>
      <c r="G2161" s="1">
        <v>111</v>
      </c>
      <c r="H2161" s="1" t="str">
        <f t="shared" si="134"/>
        <v>High</v>
      </c>
      <c r="I2161" s="1" t="str">
        <f t="shared" si="135"/>
        <v>Other</v>
      </c>
      <c r="J2161" s="1">
        <f t="shared" si="136"/>
        <v>226272.27000000002</v>
      </c>
    </row>
    <row r="2162" spans="1:10" ht="12.75">
      <c r="A2162" s="1" t="s">
        <v>26</v>
      </c>
      <c r="B2162" s="1" t="s">
        <v>62</v>
      </c>
      <c r="C2162" s="1" t="s">
        <v>65</v>
      </c>
      <c r="D2162" s="2">
        <v>45063</v>
      </c>
      <c r="E2162" s="1" t="s">
        <v>1959</v>
      </c>
      <c r="F2162" s="5">
        <f t="shared" si="133"/>
        <v>7588.41</v>
      </c>
      <c r="G2162" s="1">
        <v>342</v>
      </c>
      <c r="H2162" s="1" t="str">
        <f t="shared" si="134"/>
        <v>High</v>
      </c>
      <c r="I2162" s="1" t="str">
        <f t="shared" si="135"/>
        <v>Other</v>
      </c>
      <c r="J2162" s="1">
        <f t="shared" si="136"/>
        <v>226272.27000000002</v>
      </c>
    </row>
    <row r="2163" spans="1:10" ht="12.75">
      <c r="A2163" s="1" t="s">
        <v>25</v>
      </c>
      <c r="B2163" s="1" t="s">
        <v>54</v>
      </c>
      <c r="C2163" s="1" t="s">
        <v>43</v>
      </c>
      <c r="D2163" s="2">
        <v>45146</v>
      </c>
      <c r="E2163" s="1" t="s">
        <v>1960</v>
      </c>
      <c r="F2163" s="5">
        <f t="shared" si="133"/>
        <v>15372.54</v>
      </c>
      <c r="G2163" s="1">
        <v>57</v>
      </c>
      <c r="H2163" s="1" t="str">
        <f t="shared" si="134"/>
        <v>High</v>
      </c>
      <c r="I2163" s="1" t="str">
        <f t="shared" si="135"/>
        <v>Other</v>
      </c>
      <c r="J2163" s="1">
        <f t="shared" si="136"/>
        <v>226272.27000000002</v>
      </c>
    </row>
    <row r="2164" spans="1:10" ht="12.75">
      <c r="A2164" s="1" t="s">
        <v>9</v>
      </c>
      <c r="B2164" s="1" t="s">
        <v>62</v>
      </c>
      <c r="C2164" s="1" t="s">
        <v>72</v>
      </c>
      <c r="D2164" s="2">
        <v>45042</v>
      </c>
      <c r="E2164" s="1" t="s">
        <v>1961</v>
      </c>
      <c r="F2164" s="5">
        <f t="shared" si="133"/>
        <v>3907.5</v>
      </c>
      <c r="G2164" s="1">
        <v>86</v>
      </c>
      <c r="H2164" s="1" t="str">
        <f t="shared" si="134"/>
        <v>High</v>
      </c>
      <c r="I2164" s="1" t="str">
        <f t="shared" si="135"/>
        <v>Other</v>
      </c>
      <c r="J2164" s="1">
        <f t="shared" si="136"/>
        <v>226272.27000000002</v>
      </c>
    </row>
    <row r="2165" spans="1:10" ht="12.75">
      <c r="A2165" s="1" t="s">
        <v>9</v>
      </c>
      <c r="B2165" s="1" t="s">
        <v>5</v>
      </c>
      <c r="C2165" s="1" t="s">
        <v>147</v>
      </c>
      <c r="D2165" s="2">
        <v>45031</v>
      </c>
      <c r="E2165" s="1" t="s">
        <v>1962</v>
      </c>
      <c r="F2165" s="5">
        <f t="shared" si="133"/>
        <v>3740.76</v>
      </c>
      <c r="G2165" s="1">
        <v>255</v>
      </c>
      <c r="H2165" s="1" t="str">
        <f t="shared" si="134"/>
        <v>High</v>
      </c>
      <c r="I2165" s="1" t="str">
        <f t="shared" si="135"/>
        <v>Other</v>
      </c>
      <c r="J2165" s="1">
        <f t="shared" si="136"/>
        <v>226272.27000000002</v>
      </c>
    </row>
    <row r="2166" spans="1:10" ht="12.75">
      <c r="A2166" s="1" t="s">
        <v>22</v>
      </c>
      <c r="B2166" s="1" t="s">
        <v>62</v>
      </c>
      <c r="C2166" s="1" t="s">
        <v>63</v>
      </c>
      <c r="D2166" s="2">
        <v>45065</v>
      </c>
      <c r="E2166" s="1" t="s">
        <v>1963</v>
      </c>
      <c r="F2166" s="5">
        <f t="shared" si="133"/>
        <v>6211.75</v>
      </c>
      <c r="G2166" s="1">
        <v>561</v>
      </c>
      <c r="H2166" s="1" t="str">
        <f t="shared" si="134"/>
        <v>High</v>
      </c>
      <c r="I2166" s="1" t="str">
        <f t="shared" si="135"/>
        <v>Other</v>
      </c>
      <c r="J2166" s="1">
        <f t="shared" si="136"/>
        <v>226272.27000000002</v>
      </c>
    </row>
    <row r="2167" spans="1:10" ht="12.75">
      <c r="A2167" s="1" t="s">
        <v>6</v>
      </c>
      <c r="B2167" s="1" t="s">
        <v>62</v>
      </c>
      <c r="C2167" s="1" t="s">
        <v>65</v>
      </c>
      <c r="D2167" s="2">
        <v>44936</v>
      </c>
      <c r="E2167" s="1" t="s">
        <v>1964</v>
      </c>
      <c r="F2167" s="5">
        <f t="shared" si="133"/>
        <v>2924.46</v>
      </c>
      <c r="G2167" s="1">
        <v>25</v>
      </c>
      <c r="H2167" s="1" t="str">
        <f t="shared" si="134"/>
        <v>High</v>
      </c>
      <c r="I2167" s="1" t="str">
        <f t="shared" si="135"/>
        <v>Other</v>
      </c>
      <c r="J2167" s="1">
        <f t="shared" si="136"/>
        <v>226272.27000000002</v>
      </c>
    </row>
    <row r="2168" spans="1:10" ht="12.75">
      <c r="A2168" s="1" t="s">
        <v>2</v>
      </c>
      <c r="B2168" s="1" t="s">
        <v>54</v>
      </c>
      <c r="C2168" s="1" t="s">
        <v>52</v>
      </c>
      <c r="D2168" s="2">
        <v>45050</v>
      </c>
      <c r="E2168" s="1" t="s">
        <v>1965</v>
      </c>
      <c r="F2168" s="5">
        <f t="shared" si="133"/>
        <v>501.79</v>
      </c>
      <c r="G2168" s="1">
        <v>241</v>
      </c>
      <c r="H2168" s="1" t="str">
        <f t="shared" si="134"/>
        <v>Medium</v>
      </c>
      <c r="I2168" s="1" t="str">
        <f t="shared" si="135"/>
        <v>Other</v>
      </c>
      <c r="J2168" s="1">
        <f t="shared" si="136"/>
        <v>226272.27000000002</v>
      </c>
    </row>
    <row r="2169" spans="1:10" ht="12.75">
      <c r="A2169" s="1" t="s">
        <v>26</v>
      </c>
      <c r="B2169" s="1" t="s">
        <v>62</v>
      </c>
      <c r="C2169" s="1" t="s">
        <v>84</v>
      </c>
      <c r="D2169" s="2">
        <v>45021</v>
      </c>
      <c r="E2169" s="1" t="s">
        <v>1966</v>
      </c>
      <c r="F2169" s="5">
        <f t="shared" si="133"/>
        <v>6594.09</v>
      </c>
      <c r="G2169" s="1">
        <v>270</v>
      </c>
      <c r="H2169" s="1" t="str">
        <f t="shared" si="134"/>
        <v>High</v>
      </c>
      <c r="I2169" s="1" t="str">
        <f t="shared" si="135"/>
        <v>Other</v>
      </c>
      <c r="J2169" s="1">
        <f t="shared" si="136"/>
        <v>225770.48000000004</v>
      </c>
    </row>
    <row r="2170" spans="1:10" ht="12.75">
      <c r="A2170" s="1" t="s">
        <v>27</v>
      </c>
      <c r="B2170" s="1" t="s">
        <v>42</v>
      </c>
      <c r="C2170" s="1" t="s">
        <v>52</v>
      </c>
      <c r="D2170" s="2">
        <v>44943</v>
      </c>
      <c r="E2170" s="1" t="s">
        <v>1967</v>
      </c>
      <c r="F2170" s="5">
        <f t="shared" si="133"/>
        <v>960.68</v>
      </c>
      <c r="G2170" s="1">
        <v>71</v>
      </c>
      <c r="H2170" s="1" t="str">
        <f t="shared" si="134"/>
        <v>High</v>
      </c>
      <c r="I2170" s="1" t="str">
        <f t="shared" si="135"/>
        <v>Other</v>
      </c>
      <c r="J2170" s="1">
        <f t="shared" si="136"/>
        <v>225770.48000000004</v>
      </c>
    </row>
    <row r="2171" spans="1:10" ht="12.75">
      <c r="A2171" s="1" t="s">
        <v>26</v>
      </c>
      <c r="B2171" s="1" t="s">
        <v>42</v>
      </c>
      <c r="C2171" s="1" t="s">
        <v>76</v>
      </c>
      <c r="D2171" s="2">
        <v>45007</v>
      </c>
      <c r="E2171" s="1" t="s">
        <v>1968</v>
      </c>
      <c r="F2171" s="5">
        <f t="shared" si="133"/>
        <v>11370.32</v>
      </c>
      <c r="G2171" s="1">
        <v>170</v>
      </c>
      <c r="H2171" s="1" t="str">
        <f t="shared" si="134"/>
        <v>High</v>
      </c>
      <c r="I2171" s="1" t="str">
        <f t="shared" si="135"/>
        <v>Other</v>
      </c>
      <c r="J2171" s="1">
        <f t="shared" si="136"/>
        <v>225770.48000000004</v>
      </c>
    </row>
    <row r="2172" spans="1:10" ht="12.75">
      <c r="A2172" s="1" t="s">
        <v>21</v>
      </c>
      <c r="B2172" s="1" t="s">
        <v>5</v>
      </c>
      <c r="C2172" s="1" t="s">
        <v>84</v>
      </c>
      <c r="D2172" s="2">
        <v>45112</v>
      </c>
      <c r="E2172" s="1" t="s">
        <v>1969</v>
      </c>
      <c r="F2172" s="5">
        <f t="shared" si="133"/>
        <v>6067.94</v>
      </c>
      <c r="G2172" s="1">
        <v>94</v>
      </c>
      <c r="H2172" s="1" t="str">
        <f t="shared" si="134"/>
        <v>High</v>
      </c>
      <c r="I2172" s="1" t="str">
        <f t="shared" si="135"/>
        <v>Other</v>
      </c>
      <c r="J2172" s="1">
        <f t="shared" si="136"/>
        <v>225770.48000000004</v>
      </c>
    </row>
    <row r="2173" spans="1:10" ht="12.75">
      <c r="A2173" s="1" t="s">
        <v>22</v>
      </c>
      <c r="B2173" s="1" t="s">
        <v>62</v>
      </c>
      <c r="C2173" s="1" t="s">
        <v>60</v>
      </c>
      <c r="D2173" s="2">
        <v>45043</v>
      </c>
      <c r="E2173" s="1" t="s">
        <v>1970</v>
      </c>
      <c r="F2173" s="5">
        <f t="shared" si="133"/>
        <v>8909.75</v>
      </c>
      <c r="G2173" s="1">
        <v>355</v>
      </c>
      <c r="H2173" s="1" t="str">
        <f t="shared" si="134"/>
        <v>High</v>
      </c>
      <c r="I2173" s="1" t="str">
        <f t="shared" si="135"/>
        <v>Other</v>
      </c>
      <c r="J2173" s="1">
        <f t="shared" si="136"/>
        <v>225770.48000000004</v>
      </c>
    </row>
    <row r="2174" spans="1:10" ht="12.75">
      <c r="A2174" s="1" t="s">
        <v>8</v>
      </c>
      <c r="B2174" s="1" t="s">
        <v>62</v>
      </c>
      <c r="C2174" s="1" t="s">
        <v>91</v>
      </c>
      <c r="D2174" s="2">
        <v>45150</v>
      </c>
      <c r="E2174" s="1" t="s">
        <v>1971</v>
      </c>
      <c r="F2174" s="5">
        <f t="shared" si="133"/>
        <v>6865.35</v>
      </c>
      <c r="G2174" s="1">
        <v>75</v>
      </c>
      <c r="H2174" s="1" t="str">
        <f t="shared" si="134"/>
        <v>High</v>
      </c>
      <c r="I2174" s="1" t="str">
        <f t="shared" si="135"/>
        <v>Other</v>
      </c>
      <c r="J2174" s="1">
        <f t="shared" si="136"/>
        <v>225770.48000000004</v>
      </c>
    </row>
    <row r="2175" spans="1:10" ht="12.75">
      <c r="A2175" s="1" t="s">
        <v>15</v>
      </c>
      <c r="B2175" s="1" t="s">
        <v>39</v>
      </c>
      <c r="C2175" s="1" t="s">
        <v>122</v>
      </c>
      <c r="D2175" s="2">
        <v>44996</v>
      </c>
      <c r="E2175" s="1" t="s">
        <v>1972</v>
      </c>
      <c r="F2175" s="5">
        <f t="shared" si="133"/>
        <v>805.23</v>
      </c>
      <c r="G2175" s="1">
        <v>259</v>
      </c>
      <c r="H2175" s="1" t="str">
        <f t="shared" si="134"/>
        <v>High</v>
      </c>
      <c r="I2175" s="1" t="str">
        <f t="shared" si="135"/>
        <v>Other</v>
      </c>
      <c r="J2175" s="1">
        <f t="shared" si="136"/>
        <v>225770.48000000004</v>
      </c>
    </row>
    <row r="2176" spans="1:10" ht="12.75">
      <c r="A2176" s="1" t="s">
        <v>11</v>
      </c>
      <c r="B2176" s="1" t="s">
        <v>39</v>
      </c>
      <c r="C2176" s="1" t="s">
        <v>81</v>
      </c>
      <c r="D2176" s="2">
        <v>45059</v>
      </c>
      <c r="E2176" s="1" t="s">
        <v>1973</v>
      </c>
      <c r="F2176" s="5">
        <f t="shared" si="133"/>
        <v>9851.6200000000008</v>
      </c>
      <c r="G2176" s="1">
        <v>221</v>
      </c>
      <c r="H2176" s="1" t="str">
        <f t="shared" si="134"/>
        <v>High</v>
      </c>
      <c r="I2176" s="1" t="str">
        <f t="shared" si="135"/>
        <v>Other</v>
      </c>
      <c r="J2176" s="1">
        <f t="shared" si="136"/>
        <v>225770.48000000004</v>
      </c>
    </row>
    <row r="2177" spans="1:10" ht="12.75">
      <c r="A2177" s="1" t="s">
        <v>6</v>
      </c>
      <c r="B2177" s="1" t="s">
        <v>59</v>
      </c>
      <c r="C2177" s="1" t="s">
        <v>49</v>
      </c>
      <c r="D2177" s="2">
        <v>45058</v>
      </c>
      <c r="E2177" s="1" t="s">
        <v>1974</v>
      </c>
      <c r="F2177" s="5">
        <f t="shared" si="133"/>
        <v>11823.35</v>
      </c>
      <c r="G2177" s="1">
        <v>90</v>
      </c>
      <c r="H2177" s="1" t="str">
        <f t="shared" si="134"/>
        <v>High</v>
      </c>
      <c r="I2177" s="1" t="str">
        <f t="shared" si="135"/>
        <v>Other</v>
      </c>
      <c r="J2177" s="1">
        <f t="shared" si="136"/>
        <v>225770.48000000004</v>
      </c>
    </row>
    <row r="2178" spans="1:10" ht="12.75">
      <c r="A2178" s="1" t="s">
        <v>7</v>
      </c>
      <c r="B2178" s="1" t="s">
        <v>59</v>
      </c>
      <c r="C2178" s="1" t="s">
        <v>100</v>
      </c>
      <c r="D2178" s="2">
        <v>44938</v>
      </c>
      <c r="E2178" s="1" t="s">
        <v>1975</v>
      </c>
      <c r="F2178" s="5">
        <f t="shared" ref="F2178:F2241" si="137">VALUE(SUBSTITUTE(E2178,"$",""))</f>
        <v>683.63</v>
      </c>
      <c r="G2178" s="1">
        <v>202</v>
      </c>
      <c r="H2178" s="1" t="str">
        <f t="shared" ref="H2178:H2241" si="138">IF(F2178&gt;800,"High",IF(F2178&gt;500,"Medium","Low"))</f>
        <v>Medium</v>
      </c>
      <c r="I2178" s="1" t="str">
        <f t="shared" ref="I2178:I2241" si="139">IF(AND(B2178="Australia",A2178="Mallorie Waber"),"Top Local","Other")</f>
        <v>Other</v>
      </c>
      <c r="J2178" s="1">
        <f t="shared" ref="J2178:J2241" si="140">SUMIF(A2178:A5458,"Mallorie Waber",F2178:F5458)</f>
        <v>225770.48000000004</v>
      </c>
    </row>
    <row r="2179" spans="1:10" ht="12.75">
      <c r="A2179" s="1" t="s">
        <v>9</v>
      </c>
      <c r="B2179" s="1" t="s">
        <v>54</v>
      </c>
      <c r="C2179" s="1" t="s">
        <v>72</v>
      </c>
      <c r="D2179" s="2">
        <v>45014</v>
      </c>
      <c r="E2179" s="1" t="s">
        <v>1976</v>
      </c>
      <c r="F2179" s="5">
        <f t="shared" si="137"/>
        <v>14002.42</v>
      </c>
      <c r="G2179" s="1">
        <v>388</v>
      </c>
      <c r="H2179" s="1" t="str">
        <f t="shared" si="138"/>
        <v>High</v>
      </c>
      <c r="I2179" s="1" t="str">
        <f t="shared" si="139"/>
        <v>Other</v>
      </c>
      <c r="J2179" s="1">
        <f t="shared" si="140"/>
        <v>225770.48000000004</v>
      </c>
    </row>
    <row r="2180" spans="1:10" ht="12.75">
      <c r="A2180" s="1" t="s">
        <v>26</v>
      </c>
      <c r="B2180" s="1" t="s">
        <v>42</v>
      </c>
      <c r="C2180" s="1" t="s">
        <v>55</v>
      </c>
      <c r="D2180" s="2">
        <v>44999</v>
      </c>
      <c r="E2180" s="1" t="s">
        <v>1977</v>
      </c>
      <c r="F2180" s="5">
        <f t="shared" si="137"/>
        <v>8744.9500000000007</v>
      </c>
      <c r="G2180" s="1">
        <v>12</v>
      </c>
      <c r="H2180" s="1" t="str">
        <f t="shared" si="138"/>
        <v>High</v>
      </c>
      <c r="I2180" s="1" t="str">
        <f t="shared" si="139"/>
        <v>Other</v>
      </c>
      <c r="J2180" s="1">
        <f t="shared" si="140"/>
        <v>225770.48000000004</v>
      </c>
    </row>
    <row r="2181" spans="1:10" ht="12.75">
      <c r="A2181" s="1" t="s">
        <v>16</v>
      </c>
      <c r="B2181" s="1" t="s">
        <v>54</v>
      </c>
      <c r="C2181" s="1" t="s">
        <v>51</v>
      </c>
      <c r="D2181" s="2">
        <v>45070</v>
      </c>
      <c r="E2181" s="1" t="s">
        <v>1978</v>
      </c>
      <c r="F2181" s="5">
        <f t="shared" si="137"/>
        <v>9294.14</v>
      </c>
      <c r="G2181" s="1">
        <v>201</v>
      </c>
      <c r="H2181" s="1" t="str">
        <f t="shared" si="138"/>
        <v>High</v>
      </c>
      <c r="I2181" s="1" t="str">
        <f t="shared" si="139"/>
        <v>Other</v>
      </c>
      <c r="J2181" s="1">
        <f t="shared" si="140"/>
        <v>225770.48000000004</v>
      </c>
    </row>
    <row r="2182" spans="1:10" ht="12.75">
      <c r="A2182" s="1" t="s">
        <v>6</v>
      </c>
      <c r="B2182" s="1" t="s">
        <v>62</v>
      </c>
      <c r="C2182" s="1" t="s">
        <v>68</v>
      </c>
      <c r="D2182" s="2">
        <v>44954</v>
      </c>
      <c r="E2182" s="1" t="s">
        <v>1979</v>
      </c>
      <c r="F2182" s="5">
        <f t="shared" si="137"/>
        <v>8831.89</v>
      </c>
      <c r="G2182" s="1">
        <v>79</v>
      </c>
      <c r="H2182" s="1" t="str">
        <f t="shared" si="138"/>
        <v>High</v>
      </c>
      <c r="I2182" s="1" t="str">
        <f t="shared" si="139"/>
        <v>Other</v>
      </c>
      <c r="J2182" s="1">
        <f t="shared" si="140"/>
        <v>225770.48000000004</v>
      </c>
    </row>
    <row r="2183" spans="1:10" ht="12.75">
      <c r="A2183" s="1" t="s">
        <v>28</v>
      </c>
      <c r="B2183" s="1" t="s">
        <v>42</v>
      </c>
      <c r="C2183" s="1" t="s">
        <v>91</v>
      </c>
      <c r="D2183" s="2">
        <v>45070</v>
      </c>
      <c r="E2183" s="1" t="s">
        <v>1980</v>
      </c>
      <c r="F2183" s="5">
        <f t="shared" si="137"/>
        <v>3474.98</v>
      </c>
      <c r="G2183" s="1">
        <v>104</v>
      </c>
      <c r="H2183" s="1" t="str">
        <f t="shared" si="138"/>
        <v>High</v>
      </c>
      <c r="I2183" s="1" t="str">
        <f t="shared" si="139"/>
        <v>Other</v>
      </c>
      <c r="J2183" s="1">
        <f t="shared" si="140"/>
        <v>225770.48000000004</v>
      </c>
    </row>
    <row r="2184" spans="1:10" ht="12.75">
      <c r="A2184" s="1" t="s">
        <v>7</v>
      </c>
      <c r="B2184" s="1" t="s">
        <v>5</v>
      </c>
      <c r="C2184" s="1" t="s">
        <v>45</v>
      </c>
      <c r="D2184" s="2">
        <v>45157</v>
      </c>
      <c r="E2184" s="1" t="s">
        <v>1981</v>
      </c>
      <c r="F2184" s="5">
        <f t="shared" si="137"/>
        <v>311.61</v>
      </c>
      <c r="G2184" s="1">
        <v>204</v>
      </c>
      <c r="H2184" s="1" t="str">
        <f t="shared" si="138"/>
        <v>Low</v>
      </c>
      <c r="I2184" s="1" t="str">
        <f t="shared" si="139"/>
        <v>Other</v>
      </c>
      <c r="J2184" s="1">
        <f t="shared" si="140"/>
        <v>225770.48000000004</v>
      </c>
    </row>
    <row r="2185" spans="1:10" ht="12.75">
      <c r="A2185" s="1" t="s">
        <v>18</v>
      </c>
      <c r="B2185" s="1" t="s">
        <v>5</v>
      </c>
      <c r="C2185" s="1" t="s">
        <v>76</v>
      </c>
      <c r="D2185" s="2">
        <v>45063</v>
      </c>
      <c r="E2185" s="1" t="s">
        <v>1982</v>
      </c>
      <c r="F2185" s="5">
        <f t="shared" si="137"/>
        <v>4791.2</v>
      </c>
      <c r="G2185" s="1">
        <v>335</v>
      </c>
      <c r="H2185" s="1" t="str">
        <f t="shared" si="138"/>
        <v>High</v>
      </c>
      <c r="I2185" s="1" t="str">
        <f t="shared" si="139"/>
        <v>Other</v>
      </c>
      <c r="J2185" s="1">
        <f t="shared" si="140"/>
        <v>225770.48000000004</v>
      </c>
    </row>
    <row r="2186" spans="1:10" ht="12.75">
      <c r="A2186" s="1" t="s">
        <v>11</v>
      </c>
      <c r="B2186" s="1" t="s">
        <v>59</v>
      </c>
      <c r="C2186" s="1" t="s">
        <v>84</v>
      </c>
      <c r="D2186" s="2">
        <v>45084</v>
      </c>
      <c r="E2186" s="1" t="s">
        <v>1983</v>
      </c>
      <c r="F2186" s="5">
        <f t="shared" si="137"/>
        <v>6646.33</v>
      </c>
      <c r="G2186" s="1">
        <v>117</v>
      </c>
      <c r="H2186" s="1" t="str">
        <f t="shared" si="138"/>
        <v>High</v>
      </c>
      <c r="I2186" s="1" t="str">
        <f t="shared" si="139"/>
        <v>Other</v>
      </c>
      <c r="J2186" s="1">
        <f t="shared" si="140"/>
        <v>225770.48000000004</v>
      </c>
    </row>
    <row r="2187" spans="1:10" ht="12.75">
      <c r="A2187" s="1" t="s">
        <v>17</v>
      </c>
      <c r="B2187" s="1" t="s">
        <v>62</v>
      </c>
      <c r="C2187" s="1" t="s">
        <v>68</v>
      </c>
      <c r="D2187" s="2">
        <v>45133</v>
      </c>
      <c r="E2187" s="1" t="s">
        <v>1984</v>
      </c>
      <c r="F2187" s="5">
        <f t="shared" si="137"/>
        <v>593.63</v>
      </c>
      <c r="G2187" s="1">
        <v>229</v>
      </c>
      <c r="H2187" s="1" t="str">
        <f t="shared" si="138"/>
        <v>Medium</v>
      </c>
      <c r="I2187" s="1" t="str">
        <f t="shared" si="139"/>
        <v>Other</v>
      </c>
      <c r="J2187" s="1">
        <f t="shared" si="140"/>
        <v>225770.48000000004</v>
      </c>
    </row>
    <row r="2188" spans="1:10" ht="12.75">
      <c r="A2188" s="1" t="s">
        <v>21</v>
      </c>
      <c r="B2188" s="1" t="s">
        <v>42</v>
      </c>
      <c r="C2188" s="1" t="s">
        <v>63</v>
      </c>
      <c r="D2188" s="2">
        <v>45135</v>
      </c>
      <c r="E2188" s="1" t="s">
        <v>1985</v>
      </c>
      <c r="F2188" s="5">
        <f t="shared" si="137"/>
        <v>2345.9499999999998</v>
      </c>
      <c r="G2188" s="1">
        <v>406</v>
      </c>
      <c r="H2188" s="1" t="str">
        <f t="shared" si="138"/>
        <v>High</v>
      </c>
      <c r="I2188" s="1" t="str">
        <f t="shared" si="139"/>
        <v>Other</v>
      </c>
      <c r="J2188" s="1">
        <f t="shared" si="140"/>
        <v>225770.48000000004</v>
      </c>
    </row>
    <row r="2189" spans="1:10" ht="12.75">
      <c r="A2189" s="1" t="s">
        <v>18</v>
      </c>
      <c r="B2189" s="1" t="s">
        <v>42</v>
      </c>
      <c r="C2189" s="1" t="s">
        <v>147</v>
      </c>
      <c r="D2189" s="2">
        <v>45069</v>
      </c>
      <c r="E2189" s="1" t="s">
        <v>1986</v>
      </c>
      <c r="F2189" s="5">
        <f t="shared" si="137"/>
        <v>5083.07</v>
      </c>
      <c r="G2189" s="1">
        <v>368</v>
      </c>
      <c r="H2189" s="1" t="str">
        <f t="shared" si="138"/>
        <v>High</v>
      </c>
      <c r="I2189" s="1" t="str">
        <f t="shared" si="139"/>
        <v>Other</v>
      </c>
      <c r="J2189" s="1">
        <f t="shared" si="140"/>
        <v>225770.48000000004</v>
      </c>
    </row>
    <row r="2190" spans="1:10" ht="12.75">
      <c r="A2190" s="1" t="s">
        <v>11</v>
      </c>
      <c r="B2190" s="1" t="s">
        <v>39</v>
      </c>
      <c r="C2190" s="1" t="s">
        <v>40</v>
      </c>
      <c r="D2190" s="2">
        <v>45295</v>
      </c>
      <c r="E2190" s="1" t="s">
        <v>1987</v>
      </c>
      <c r="F2190" s="5">
        <f t="shared" si="137"/>
        <v>6339.57</v>
      </c>
      <c r="G2190" s="1">
        <v>187</v>
      </c>
      <c r="H2190" s="1" t="str">
        <f t="shared" si="138"/>
        <v>High</v>
      </c>
      <c r="I2190" s="1" t="str">
        <f t="shared" si="139"/>
        <v>Other</v>
      </c>
      <c r="J2190" s="1">
        <f t="shared" si="140"/>
        <v>225770.48000000004</v>
      </c>
    </row>
    <row r="2191" spans="1:10" ht="12.75">
      <c r="A2191" s="1" t="s">
        <v>10</v>
      </c>
      <c r="B2191" s="1" t="s">
        <v>42</v>
      </c>
      <c r="C2191" s="1" t="s">
        <v>43</v>
      </c>
      <c r="D2191" s="2">
        <v>45505</v>
      </c>
      <c r="E2191" s="1" t="s">
        <v>1988</v>
      </c>
      <c r="F2191" s="5">
        <f t="shared" si="137"/>
        <v>9005.8700000000008</v>
      </c>
      <c r="G2191" s="1">
        <v>90</v>
      </c>
      <c r="H2191" s="1" t="str">
        <f t="shared" si="138"/>
        <v>High</v>
      </c>
      <c r="I2191" s="1" t="str">
        <f t="shared" si="139"/>
        <v>Other</v>
      </c>
      <c r="J2191" s="1">
        <f t="shared" si="140"/>
        <v>225770.48000000004</v>
      </c>
    </row>
    <row r="2192" spans="1:10" ht="12.75">
      <c r="A2192" s="1" t="s">
        <v>20</v>
      </c>
      <c r="B2192" s="1" t="s">
        <v>42</v>
      </c>
      <c r="C2192" s="1" t="s">
        <v>45</v>
      </c>
      <c r="D2192" s="2">
        <v>45480</v>
      </c>
      <c r="E2192" s="1" t="s">
        <v>1989</v>
      </c>
      <c r="F2192" s="5">
        <f t="shared" si="137"/>
        <v>5159.07</v>
      </c>
      <c r="G2192" s="1">
        <v>87</v>
      </c>
      <c r="H2192" s="1" t="str">
        <f t="shared" si="138"/>
        <v>High</v>
      </c>
      <c r="I2192" s="1" t="str">
        <f t="shared" si="139"/>
        <v>Other</v>
      </c>
      <c r="J2192" s="1">
        <f t="shared" si="140"/>
        <v>225770.48000000004</v>
      </c>
    </row>
    <row r="2193" spans="1:10" ht="12.75">
      <c r="A2193" s="1" t="s">
        <v>15</v>
      </c>
      <c r="B2193" s="1" t="s">
        <v>5</v>
      </c>
      <c r="C2193" s="1" t="s">
        <v>45</v>
      </c>
      <c r="D2193" s="2">
        <v>45409</v>
      </c>
      <c r="E2193" s="1" t="s">
        <v>1990</v>
      </c>
      <c r="F2193" s="5">
        <f t="shared" si="137"/>
        <v>13370.97</v>
      </c>
      <c r="G2193" s="1">
        <v>349</v>
      </c>
      <c r="H2193" s="1" t="str">
        <f t="shared" si="138"/>
        <v>High</v>
      </c>
      <c r="I2193" s="1" t="str">
        <f t="shared" si="139"/>
        <v>Other</v>
      </c>
      <c r="J2193" s="1">
        <f t="shared" si="140"/>
        <v>225770.48000000004</v>
      </c>
    </row>
    <row r="2194" spans="1:10" ht="12.75">
      <c r="A2194" s="1" t="s">
        <v>11</v>
      </c>
      <c r="B2194" s="1" t="s">
        <v>39</v>
      </c>
      <c r="C2194" s="1" t="s">
        <v>45</v>
      </c>
      <c r="D2194" s="2">
        <v>45346</v>
      </c>
      <c r="E2194" s="1" t="s">
        <v>1991</v>
      </c>
      <c r="F2194" s="5">
        <f t="shared" si="137"/>
        <v>14791.64</v>
      </c>
      <c r="G2194" s="1">
        <v>182</v>
      </c>
      <c r="H2194" s="1" t="str">
        <f t="shared" si="138"/>
        <v>High</v>
      </c>
      <c r="I2194" s="1" t="str">
        <f t="shared" si="139"/>
        <v>Other</v>
      </c>
      <c r="J2194" s="1">
        <f t="shared" si="140"/>
        <v>225770.48000000004</v>
      </c>
    </row>
    <row r="2195" spans="1:10" ht="12.75">
      <c r="A2195" s="1" t="s">
        <v>10</v>
      </c>
      <c r="B2195" s="1" t="s">
        <v>42</v>
      </c>
      <c r="C2195" s="1" t="s">
        <v>49</v>
      </c>
      <c r="D2195" s="2">
        <v>45449</v>
      </c>
      <c r="E2195" s="1" t="s">
        <v>1992</v>
      </c>
      <c r="F2195" s="5">
        <f t="shared" si="137"/>
        <v>6429.35</v>
      </c>
      <c r="G2195" s="1">
        <v>40</v>
      </c>
      <c r="H2195" s="1" t="str">
        <f t="shared" si="138"/>
        <v>High</v>
      </c>
      <c r="I2195" s="1" t="str">
        <f t="shared" si="139"/>
        <v>Other</v>
      </c>
      <c r="J2195" s="1">
        <f t="shared" si="140"/>
        <v>225770.48000000004</v>
      </c>
    </row>
    <row r="2196" spans="1:10" ht="12.75">
      <c r="A2196" s="1" t="s">
        <v>22</v>
      </c>
      <c r="B2196" s="1" t="s">
        <v>39</v>
      </c>
      <c r="C2196" s="1" t="s">
        <v>51</v>
      </c>
      <c r="D2196" s="2">
        <v>45316</v>
      </c>
      <c r="E2196" s="1" t="s">
        <v>1993</v>
      </c>
      <c r="F2196" s="5">
        <f t="shared" si="137"/>
        <v>15900.6</v>
      </c>
      <c r="G2196" s="1">
        <v>188</v>
      </c>
      <c r="H2196" s="1" t="str">
        <f t="shared" si="138"/>
        <v>High</v>
      </c>
      <c r="I2196" s="1" t="str">
        <f t="shared" si="139"/>
        <v>Other</v>
      </c>
      <c r="J2196" s="1">
        <f t="shared" si="140"/>
        <v>225770.48000000004</v>
      </c>
    </row>
    <row r="2197" spans="1:10" ht="12.75">
      <c r="A2197" s="1" t="s">
        <v>23</v>
      </c>
      <c r="B2197" s="1" t="s">
        <v>5</v>
      </c>
      <c r="C2197" s="1" t="s">
        <v>52</v>
      </c>
      <c r="D2197" s="2">
        <v>45375</v>
      </c>
      <c r="E2197" s="1" t="s">
        <v>1994</v>
      </c>
      <c r="F2197" s="5">
        <f t="shared" si="137"/>
        <v>3400.26</v>
      </c>
      <c r="G2197" s="1">
        <v>77</v>
      </c>
      <c r="H2197" s="1" t="str">
        <f t="shared" si="138"/>
        <v>High</v>
      </c>
      <c r="I2197" s="1" t="str">
        <f t="shared" si="139"/>
        <v>Other</v>
      </c>
      <c r="J2197" s="1">
        <f t="shared" si="140"/>
        <v>225770.48000000004</v>
      </c>
    </row>
    <row r="2198" spans="1:10" ht="12.75">
      <c r="A2198" s="1" t="s">
        <v>11</v>
      </c>
      <c r="B2198" s="1" t="s">
        <v>54</v>
      </c>
      <c r="C2198" s="1" t="s">
        <v>55</v>
      </c>
      <c r="D2198" s="2">
        <v>45402</v>
      </c>
      <c r="E2198" s="1" t="s">
        <v>1995</v>
      </c>
      <c r="F2198" s="5">
        <f t="shared" si="137"/>
        <v>4357.76</v>
      </c>
      <c r="G2198" s="1">
        <v>63</v>
      </c>
      <c r="H2198" s="1" t="str">
        <f t="shared" si="138"/>
        <v>High</v>
      </c>
      <c r="I2198" s="1" t="str">
        <f t="shared" si="139"/>
        <v>Other</v>
      </c>
      <c r="J2198" s="1">
        <f t="shared" si="140"/>
        <v>225770.48000000004</v>
      </c>
    </row>
    <row r="2199" spans="1:10" ht="12.75">
      <c r="A2199" s="1" t="s">
        <v>7</v>
      </c>
      <c r="B2199" s="1" t="s">
        <v>5</v>
      </c>
      <c r="C2199" s="1" t="s">
        <v>51</v>
      </c>
      <c r="D2199" s="2">
        <v>45477</v>
      </c>
      <c r="E2199" s="1" t="s">
        <v>1996</v>
      </c>
      <c r="F2199" s="5">
        <f t="shared" si="137"/>
        <v>3356.17</v>
      </c>
      <c r="G2199" s="1">
        <v>111</v>
      </c>
      <c r="H2199" s="1" t="str">
        <f t="shared" si="138"/>
        <v>High</v>
      </c>
      <c r="I2199" s="1" t="str">
        <f t="shared" si="139"/>
        <v>Other</v>
      </c>
      <c r="J2199" s="1">
        <f t="shared" si="140"/>
        <v>225770.48000000004</v>
      </c>
    </row>
    <row r="2200" spans="1:10" ht="12.75">
      <c r="A2200" s="1" t="s">
        <v>19</v>
      </c>
      <c r="B2200" s="1" t="s">
        <v>39</v>
      </c>
      <c r="C2200" s="1" t="s">
        <v>49</v>
      </c>
      <c r="D2200" s="2">
        <v>45304</v>
      </c>
      <c r="E2200" s="1" t="s">
        <v>1997</v>
      </c>
      <c r="F2200" s="5">
        <f t="shared" si="137"/>
        <v>5287.86</v>
      </c>
      <c r="G2200" s="1">
        <v>67</v>
      </c>
      <c r="H2200" s="1" t="str">
        <f t="shared" si="138"/>
        <v>High</v>
      </c>
      <c r="I2200" s="1" t="str">
        <f t="shared" si="139"/>
        <v>Other</v>
      </c>
      <c r="J2200" s="1">
        <f t="shared" si="140"/>
        <v>225770.48000000004</v>
      </c>
    </row>
    <row r="2201" spans="1:10" ht="12.75">
      <c r="A2201" s="1" t="s">
        <v>16</v>
      </c>
      <c r="B2201" s="1" t="s">
        <v>59</v>
      </c>
      <c r="C2201" s="1" t="s">
        <v>60</v>
      </c>
      <c r="D2201" s="2">
        <v>45361</v>
      </c>
      <c r="E2201" s="1" t="s">
        <v>1998</v>
      </c>
      <c r="F2201" s="5">
        <f t="shared" si="137"/>
        <v>4244.3599999999997</v>
      </c>
      <c r="G2201" s="1">
        <v>11</v>
      </c>
      <c r="H2201" s="1" t="str">
        <f t="shared" si="138"/>
        <v>High</v>
      </c>
      <c r="I2201" s="1" t="str">
        <f t="shared" si="139"/>
        <v>Other</v>
      </c>
      <c r="J2201" s="1">
        <f t="shared" si="140"/>
        <v>225770.48000000004</v>
      </c>
    </row>
    <row r="2202" spans="1:10" ht="12.75">
      <c r="A2202" s="1" t="s">
        <v>2</v>
      </c>
      <c r="B2202" s="1" t="s">
        <v>62</v>
      </c>
      <c r="C2202" s="1" t="s">
        <v>63</v>
      </c>
      <c r="D2202" s="2">
        <v>45304</v>
      </c>
      <c r="E2202" s="1" t="s">
        <v>1999</v>
      </c>
      <c r="F2202" s="5">
        <f t="shared" si="137"/>
        <v>1671.64</v>
      </c>
      <c r="G2202" s="1">
        <v>277</v>
      </c>
      <c r="H2202" s="1" t="str">
        <f t="shared" si="138"/>
        <v>High</v>
      </c>
      <c r="I2202" s="1" t="str">
        <f t="shared" si="139"/>
        <v>Other</v>
      </c>
      <c r="J2202" s="1">
        <f t="shared" si="140"/>
        <v>225770.48000000004</v>
      </c>
    </row>
    <row r="2203" spans="1:10" ht="12.75">
      <c r="A2203" s="1" t="s">
        <v>18</v>
      </c>
      <c r="B2203" s="1" t="s">
        <v>54</v>
      </c>
      <c r="C2203" s="1" t="s">
        <v>65</v>
      </c>
      <c r="D2203" s="2">
        <v>45501</v>
      </c>
      <c r="E2203" s="1" t="s">
        <v>2000</v>
      </c>
      <c r="F2203" s="5">
        <f t="shared" si="137"/>
        <v>181.84</v>
      </c>
      <c r="G2203" s="1">
        <v>167</v>
      </c>
      <c r="H2203" s="1" t="str">
        <f t="shared" si="138"/>
        <v>Low</v>
      </c>
      <c r="I2203" s="1" t="str">
        <f t="shared" si="139"/>
        <v>Other</v>
      </c>
      <c r="J2203" s="1">
        <f t="shared" si="140"/>
        <v>224098.84000000003</v>
      </c>
    </row>
    <row r="2204" spans="1:10" ht="12.75">
      <c r="A2204" s="1" t="s">
        <v>14</v>
      </c>
      <c r="B2204" s="1" t="s">
        <v>54</v>
      </c>
      <c r="C2204" s="1" t="s">
        <v>45</v>
      </c>
      <c r="D2204" s="2">
        <v>45507</v>
      </c>
      <c r="E2204" s="1" t="s">
        <v>2001</v>
      </c>
      <c r="F2204" s="5">
        <f t="shared" si="137"/>
        <v>8950.59</v>
      </c>
      <c r="G2204" s="1">
        <v>189</v>
      </c>
      <c r="H2204" s="1" t="str">
        <f t="shared" si="138"/>
        <v>High</v>
      </c>
      <c r="I2204" s="1" t="str">
        <f t="shared" si="139"/>
        <v>Other</v>
      </c>
      <c r="J2204" s="1">
        <f t="shared" si="140"/>
        <v>224098.84000000003</v>
      </c>
    </row>
    <row r="2205" spans="1:10" ht="12.75">
      <c r="A2205" s="1" t="s">
        <v>28</v>
      </c>
      <c r="B2205" s="1" t="s">
        <v>5</v>
      </c>
      <c r="C2205" s="1" t="s">
        <v>68</v>
      </c>
      <c r="D2205" s="2">
        <v>45317</v>
      </c>
      <c r="E2205" s="1" t="s">
        <v>2002</v>
      </c>
      <c r="F2205" s="5">
        <f t="shared" si="137"/>
        <v>7271.76</v>
      </c>
      <c r="G2205" s="1">
        <v>385</v>
      </c>
      <c r="H2205" s="1" t="str">
        <f t="shared" si="138"/>
        <v>High</v>
      </c>
      <c r="I2205" s="1" t="str">
        <f t="shared" si="139"/>
        <v>Other</v>
      </c>
      <c r="J2205" s="1">
        <f t="shared" si="140"/>
        <v>224098.84000000003</v>
      </c>
    </row>
    <row r="2206" spans="1:10" ht="12.75">
      <c r="A2206" s="1" t="s">
        <v>10</v>
      </c>
      <c r="B2206" s="1" t="s">
        <v>62</v>
      </c>
      <c r="C2206" s="1" t="s">
        <v>68</v>
      </c>
      <c r="D2206" s="2">
        <v>45336</v>
      </c>
      <c r="E2206" s="1" t="s">
        <v>2003</v>
      </c>
      <c r="F2206" s="5">
        <f t="shared" si="137"/>
        <v>4864.83</v>
      </c>
      <c r="G2206" s="1">
        <v>42</v>
      </c>
      <c r="H2206" s="1" t="str">
        <f t="shared" si="138"/>
        <v>High</v>
      </c>
      <c r="I2206" s="1" t="str">
        <f t="shared" si="139"/>
        <v>Other</v>
      </c>
      <c r="J2206" s="1">
        <f t="shared" si="140"/>
        <v>224098.84000000003</v>
      </c>
    </row>
    <row r="2207" spans="1:10" ht="12.75">
      <c r="A2207" s="1" t="s">
        <v>26</v>
      </c>
      <c r="B2207" s="1" t="s">
        <v>59</v>
      </c>
      <c r="C2207" s="1" t="s">
        <v>49</v>
      </c>
      <c r="D2207" s="2">
        <v>45387</v>
      </c>
      <c r="E2207" s="1" t="s">
        <v>2004</v>
      </c>
      <c r="F2207" s="5">
        <f t="shared" si="137"/>
        <v>3175.11</v>
      </c>
      <c r="G2207" s="1">
        <v>149</v>
      </c>
      <c r="H2207" s="1" t="str">
        <f t="shared" si="138"/>
        <v>High</v>
      </c>
      <c r="I2207" s="1" t="str">
        <f t="shared" si="139"/>
        <v>Other</v>
      </c>
      <c r="J2207" s="1">
        <f t="shared" si="140"/>
        <v>224098.84000000003</v>
      </c>
    </row>
    <row r="2208" spans="1:10" ht="12.75">
      <c r="A2208" s="1" t="s">
        <v>28</v>
      </c>
      <c r="B2208" s="1" t="s">
        <v>62</v>
      </c>
      <c r="C2208" s="1" t="s">
        <v>72</v>
      </c>
      <c r="D2208" s="2">
        <v>45338</v>
      </c>
      <c r="E2208" s="1" t="s">
        <v>2005</v>
      </c>
      <c r="F2208" s="5">
        <f t="shared" si="137"/>
        <v>10137.790000000001</v>
      </c>
      <c r="G2208" s="1">
        <v>250</v>
      </c>
      <c r="H2208" s="1" t="str">
        <f t="shared" si="138"/>
        <v>High</v>
      </c>
      <c r="I2208" s="1" t="str">
        <f t="shared" si="139"/>
        <v>Other</v>
      </c>
      <c r="J2208" s="1">
        <f t="shared" si="140"/>
        <v>224098.84000000003</v>
      </c>
    </row>
    <row r="2209" spans="1:10" ht="12.75">
      <c r="A2209" s="1" t="s">
        <v>24</v>
      </c>
      <c r="B2209" s="1" t="s">
        <v>39</v>
      </c>
      <c r="C2209" s="1" t="s">
        <v>43</v>
      </c>
      <c r="D2209" s="2">
        <v>45451</v>
      </c>
      <c r="E2209" s="1" t="s">
        <v>2006</v>
      </c>
      <c r="F2209" s="5">
        <f t="shared" si="137"/>
        <v>1206.95</v>
      </c>
      <c r="G2209" s="1">
        <v>174</v>
      </c>
      <c r="H2209" s="1" t="str">
        <f t="shared" si="138"/>
        <v>High</v>
      </c>
      <c r="I2209" s="1" t="str">
        <f t="shared" si="139"/>
        <v>Other</v>
      </c>
      <c r="J2209" s="1">
        <f t="shared" si="140"/>
        <v>224098.84000000003</v>
      </c>
    </row>
    <row r="2210" spans="1:10" ht="12.75">
      <c r="A2210" s="1" t="s">
        <v>7</v>
      </c>
      <c r="B2210" s="1" t="s">
        <v>5</v>
      </c>
      <c r="C2210" s="1" t="s">
        <v>63</v>
      </c>
      <c r="D2210" s="2">
        <v>45470</v>
      </c>
      <c r="E2210" s="1" t="s">
        <v>2007</v>
      </c>
      <c r="F2210" s="5">
        <f t="shared" si="137"/>
        <v>8222.65</v>
      </c>
      <c r="G2210" s="1">
        <v>92</v>
      </c>
      <c r="H2210" s="1" t="str">
        <f t="shared" si="138"/>
        <v>High</v>
      </c>
      <c r="I2210" s="1" t="str">
        <f t="shared" si="139"/>
        <v>Other</v>
      </c>
      <c r="J2210" s="1">
        <f t="shared" si="140"/>
        <v>224098.84000000003</v>
      </c>
    </row>
    <row r="2211" spans="1:10" ht="12.75">
      <c r="A2211" s="1" t="s">
        <v>23</v>
      </c>
      <c r="B2211" s="1" t="s">
        <v>59</v>
      </c>
      <c r="C2211" s="1" t="s">
        <v>76</v>
      </c>
      <c r="D2211" s="2">
        <v>45339</v>
      </c>
      <c r="E2211" s="1" t="s">
        <v>2008</v>
      </c>
      <c r="F2211" s="5">
        <f t="shared" si="137"/>
        <v>1440.85</v>
      </c>
      <c r="G2211" s="1">
        <v>152</v>
      </c>
      <c r="H2211" s="1" t="str">
        <f t="shared" si="138"/>
        <v>High</v>
      </c>
      <c r="I2211" s="1" t="str">
        <f t="shared" si="139"/>
        <v>Other</v>
      </c>
      <c r="J2211" s="1">
        <f t="shared" si="140"/>
        <v>224098.84000000003</v>
      </c>
    </row>
    <row r="2212" spans="1:10" ht="12.75">
      <c r="A2212" s="1" t="s">
        <v>14</v>
      </c>
      <c r="B2212" s="1" t="s">
        <v>59</v>
      </c>
      <c r="C2212" s="1" t="s">
        <v>52</v>
      </c>
      <c r="D2212" s="2">
        <v>45442</v>
      </c>
      <c r="E2212" s="1" t="s">
        <v>2009</v>
      </c>
      <c r="F2212" s="5">
        <f t="shared" si="137"/>
        <v>5611.65</v>
      </c>
      <c r="G2212" s="1">
        <v>159</v>
      </c>
      <c r="H2212" s="1" t="str">
        <f t="shared" si="138"/>
        <v>High</v>
      </c>
      <c r="I2212" s="1" t="str">
        <f t="shared" si="139"/>
        <v>Other</v>
      </c>
      <c r="J2212" s="1">
        <f t="shared" si="140"/>
        <v>224098.84000000003</v>
      </c>
    </row>
    <row r="2213" spans="1:10" ht="12.75">
      <c r="A2213" s="1" t="s">
        <v>13</v>
      </c>
      <c r="B2213" s="1" t="s">
        <v>39</v>
      </c>
      <c r="C2213" s="1" t="s">
        <v>65</v>
      </c>
      <c r="D2213" s="2">
        <v>45365</v>
      </c>
      <c r="E2213" s="1" t="s">
        <v>2010</v>
      </c>
      <c r="F2213" s="5">
        <f t="shared" si="137"/>
        <v>3562.44</v>
      </c>
      <c r="G2213" s="1">
        <v>111</v>
      </c>
      <c r="H2213" s="1" t="str">
        <f t="shared" si="138"/>
        <v>High</v>
      </c>
      <c r="I2213" s="1" t="str">
        <f t="shared" si="139"/>
        <v>Other</v>
      </c>
      <c r="J2213" s="1">
        <f t="shared" si="140"/>
        <v>224098.84000000003</v>
      </c>
    </row>
    <row r="2214" spans="1:10" ht="12.75">
      <c r="A2214" s="1" t="s">
        <v>8</v>
      </c>
      <c r="B2214" s="1" t="s">
        <v>5</v>
      </c>
      <c r="C2214" s="1" t="s">
        <v>63</v>
      </c>
      <c r="D2214" s="2">
        <v>45350</v>
      </c>
      <c r="E2214" s="1" t="s">
        <v>2011</v>
      </c>
      <c r="F2214" s="5">
        <f t="shared" si="137"/>
        <v>8385.26</v>
      </c>
      <c r="G2214" s="1">
        <v>122</v>
      </c>
      <c r="H2214" s="1" t="str">
        <f t="shared" si="138"/>
        <v>High</v>
      </c>
      <c r="I2214" s="1" t="str">
        <f t="shared" si="139"/>
        <v>Other</v>
      </c>
      <c r="J2214" s="1">
        <f t="shared" si="140"/>
        <v>224098.84000000003</v>
      </c>
    </row>
    <row r="2215" spans="1:10" ht="12.75">
      <c r="A2215" s="1" t="s">
        <v>18</v>
      </c>
      <c r="B2215" s="1" t="s">
        <v>42</v>
      </c>
      <c r="C2215" s="1" t="s">
        <v>81</v>
      </c>
      <c r="D2215" s="2">
        <v>45317</v>
      </c>
      <c r="E2215" s="1" t="s">
        <v>2012</v>
      </c>
      <c r="F2215" s="5">
        <f t="shared" si="137"/>
        <v>181.31</v>
      </c>
      <c r="G2215" s="1">
        <v>330</v>
      </c>
      <c r="H2215" s="1" t="str">
        <f t="shared" si="138"/>
        <v>Low</v>
      </c>
      <c r="I2215" s="1" t="str">
        <f t="shared" si="139"/>
        <v>Other</v>
      </c>
      <c r="J2215" s="1">
        <f t="shared" si="140"/>
        <v>224098.84000000003</v>
      </c>
    </row>
    <row r="2216" spans="1:10" ht="12.75">
      <c r="A2216" s="1" t="s">
        <v>26</v>
      </c>
      <c r="B2216" s="1" t="s">
        <v>62</v>
      </c>
      <c r="C2216" s="1" t="s">
        <v>76</v>
      </c>
      <c r="D2216" s="2">
        <v>45331</v>
      </c>
      <c r="E2216" s="1" t="s">
        <v>2013</v>
      </c>
      <c r="F2216" s="5">
        <f t="shared" si="137"/>
        <v>1800.27</v>
      </c>
      <c r="G2216" s="1">
        <v>191</v>
      </c>
      <c r="H2216" s="1" t="str">
        <f t="shared" si="138"/>
        <v>High</v>
      </c>
      <c r="I2216" s="1" t="str">
        <f t="shared" si="139"/>
        <v>Other</v>
      </c>
      <c r="J2216" s="1">
        <f t="shared" si="140"/>
        <v>224098.84000000003</v>
      </c>
    </row>
    <row r="2217" spans="1:10" ht="12.75">
      <c r="A2217" s="1" t="s">
        <v>13</v>
      </c>
      <c r="B2217" s="1" t="s">
        <v>59</v>
      </c>
      <c r="C2217" s="1" t="s">
        <v>63</v>
      </c>
      <c r="D2217" s="2">
        <v>45480</v>
      </c>
      <c r="E2217" s="1" t="s">
        <v>2014</v>
      </c>
      <c r="F2217" s="5">
        <f t="shared" si="137"/>
        <v>4449.37</v>
      </c>
      <c r="G2217" s="1">
        <v>113</v>
      </c>
      <c r="H2217" s="1" t="str">
        <f t="shared" si="138"/>
        <v>High</v>
      </c>
      <c r="I2217" s="1" t="str">
        <f t="shared" si="139"/>
        <v>Other</v>
      </c>
      <c r="J2217" s="1">
        <f t="shared" si="140"/>
        <v>224098.84000000003</v>
      </c>
    </row>
    <row r="2218" spans="1:10" ht="12.75">
      <c r="A2218" s="1" t="s">
        <v>6</v>
      </c>
      <c r="B2218" s="1" t="s">
        <v>54</v>
      </c>
      <c r="C2218" s="1" t="s">
        <v>84</v>
      </c>
      <c r="D2218" s="2">
        <v>45478</v>
      </c>
      <c r="E2218" s="1" t="s">
        <v>2015</v>
      </c>
      <c r="F2218" s="5">
        <f t="shared" si="137"/>
        <v>10113.4</v>
      </c>
      <c r="G2218" s="1">
        <v>155</v>
      </c>
      <c r="H2218" s="1" t="str">
        <f t="shared" si="138"/>
        <v>High</v>
      </c>
      <c r="I2218" s="1" t="str">
        <f t="shared" si="139"/>
        <v>Other</v>
      </c>
      <c r="J2218" s="1">
        <f t="shared" si="140"/>
        <v>224098.84000000003</v>
      </c>
    </row>
    <row r="2219" spans="1:10" ht="12.75">
      <c r="A2219" s="1" t="s">
        <v>6</v>
      </c>
      <c r="B2219" s="1" t="s">
        <v>54</v>
      </c>
      <c r="C2219" s="1" t="s">
        <v>86</v>
      </c>
      <c r="D2219" s="2">
        <v>45458</v>
      </c>
      <c r="E2219" s="1" t="s">
        <v>2016</v>
      </c>
      <c r="F2219" s="5">
        <f t="shared" si="137"/>
        <v>5932.84</v>
      </c>
      <c r="G2219" s="1">
        <v>303</v>
      </c>
      <c r="H2219" s="1" t="str">
        <f t="shared" si="138"/>
        <v>High</v>
      </c>
      <c r="I2219" s="1" t="str">
        <f t="shared" si="139"/>
        <v>Other</v>
      </c>
      <c r="J2219" s="1">
        <f t="shared" si="140"/>
        <v>224098.84000000003</v>
      </c>
    </row>
    <row r="2220" spans="1:10" ht="12.75">
      <c r="A2220" s="1" t="s">
        <v>10</v>
      </c>
      <c r="B2220" s="1" t="s">
        <v>54</v>
      </c>
      <c r="C2220" s="1" t="s">
        <v>43</v>
      </c>
      <c r="D2220" s="2">
        <v>45436</v>
      </c>
      <c r="E2220" s="1" t="s">
        <v>2017</v>
      </c>
      <c r="F2220" s="5">
        <f t="shared" si="137"/>
        <v>2006.71</v>
      </c>
      <c r="G2220" s="1">
        <v>124</v>
      </c>
      <c r="H2220" s="1" t="str">
        <f t="shared" si="138"/>
        <v>High</v>
      </c>
      <c r="I2220" s="1" t="str">
        <f t="shared" si="139"/>
        <v>Other</v>
      </c>
      <c r="J2220" s="1">
        <f t="shared" si="140"/>
        <v>224098.84000000003</v>
      </c>
    </row>
    <row r="2221" spans="1:10" ht="12.75">
      <c r="A2221" s="1" t="s">
        <v>19</v>
      </c>
      <c r="B2221" s="1" t="s">
        <v>39</v>
      </c>
      <c r="C2221" s="1" t="s">
        <v>51</v>
      </c>
      <c r="D2221" s="2">
        <v>45472</v>
      </c>
      <c r="E2221" s="1" t="s">
        <v>2018</v>
      </c>
      <c r="F2221" s="5">
        <f t="shared" si="137"/>
        <v>14086.69</v>
      </c>
      <c r="G2221" s="1">
        <v>157</v>
      </c>
      <c r="H2221" s="1" t="str">
        <f t="shared" si="138"/>
        <v>High</v>
      </c>
      <c r="I2221" s="1" t="str">
        <f t="shared" si="139"/>
        <v>Other</v>
      </c>
      <c r="J2221" s="1">
        <f t="shared" si="140"/>
        <v>224098.84000000003</v>
      </c>
    </row>
    <row r="2222" spans="1:10" ht="12.75">
      <c r="A2222" s="1" t="s">
        <v>29</v>
      </c>
      <c r="B2222" s="1" t="s">
        <v>5</v>
      </c>
      <c r="C2222" s="1" t="s">
        <v>86</v>
      </c>
      <c r="D2222" s="2">
        <v>45423</v>
      </c>
      <c r="E2222" s="1" t="s">
        <v>2019</v>
      </c>
      <c r="F2222" s="5">
        <f t="shared" si="137"/>
        <v>4799.54</v>
      </c>
      <c r="G2222" s="1">
        <v>90</v>
      </c>
      <c r="H2222" s="1" t="str">
        <f t="shared" si="138"/>
        <v>High</v>
      </c>
      <c r="I2222" s="1" t="str">
        <f t="shared" si="139"/>
        <v>Other</v>
      </c>
      <c r="J2222" s="1">
        <f t="shared" si="140"/>
        <v>224098.84000000003</v>
      </c>
    </row>
    <row r="2223" spans="1:10" ht="12.75">
      <c r="A2223" s="1" t="s">
        <v>18</v>
      </c>
      <c r="B2223" s="1" t="s">
        <v>39</v>
      </c>
      <c r="C2223" s="1" t="s">
        <v>91</v>
      </c>
      <c r="D2223" s="2">
        <v>45473</v>
      </c>
      <c r="E2223" s="1" t="s">
        <v>2020</v>
      </c>
      <c r="F2223" s="5">
        <f t="shared" si="137"/>
        <v>8101.98</v>
      </c>
      <c r="G2223" s="1">
        <v>138</v>
      </c>
      <c r="H2223" s="1" t="str">
        <f t="shared" si="138"/>
        <v>High</v>
      </c>
      <c r="I2223" s="1" t="str">
        <f t="shared" si="139"/>
        <v>Other</v>
      </c>
      <c r="J2223" s="1">
        <f t="shared" si="140"/>
        <v>224098.84000000003</v>
      </c>
    </row>
    <row r="2224" spans="1:10" ht="12.75">
      <c r="A2224" s="1" t="s">
        <v>27</v>
      </c>
      <c r="B2224" s="1" t="s">
        <v>62</v>
      </c>
      <c r="C2224" s="1" t="s">
        <v>52</v>
      </c>
      <c r="D2224" s="2">
        <v>45423</v>
      </c>
      <c r="E2224" s="1" t="s">
        <v>2021</v>
      </c>
      <c r="F2224" s="5">
        <f t="shared" si="137"/>
        <v>2321.9699999999998</v>
      </c>
      <c r="G2224" s="1">
        <v>71</v>
      </c>
      <c r="H2224" s="1" t="str">
        <f t="shared" si="138"/>
        <v>High</v>
      </c>
      <c r="I2224" s="1" t="str">
        <f t="shared" si="139"/>
        <v>Other</v>
      </c>
      <c r="J2224" s="1">
        <f t="shared" si="140"/>
        <v>224098.84000000003</v>
      </c>
    </row>
    <row r="2225" spans="1:10" ht="12.75">
      <c r="A2225" s="1" t="s">
        <v>26</v>
      </c>
      <c r="B2225" s="1" t="s">
        <v>59</v>
      </c>
      <c r="C2225" s="1" t="s">
        <v>86</v>
      </c>
      <c r="D2225" s="2">
        <v>45495</v>
      </c>
      <c r="E2225" s="1" t="s">
        <v>2022</v>
      </c>
      <c r="F2225" s="5">
        <f t="shared" si="137"/>
        <v>10245</v>
      </c>
      <c r="G2225" s="1">
        <v>329</v>
      </c>
      <c r="H2225" s="1" t="str">
        <f t="shared" si="138"/>
        <v>High</v>
      </c>
      <c r="I2225" s="1" t="str">
        <f t="shared" si="139"/>
        <v>Other</v>
      </c>
      <c r="J2225" s="1">
        <f t="shared" si="140"/>
        <v>224098.84000000003</v>
      </c>
    </row>
    <row r="2226" spans="1:10" ht="12.75">
      <c r="A2226" s="1" t="s">
        <v>27</v>
      </c>
      <c r="B2226" s="1" t="s">
        <v>39</v>
      </c>
      <c r="C2226" s="1" t="s">
        <v>55</v>
      </c>
      <c r="D2226" s="2">
        <v>45528</v>
      </c>
      <c r="E2226" s="1" t="s">
        <v>2023</v>
      </c>
      <c r="F2226" s="5">
        <f t="shared" si="137"/>
        <v>2930.4</v>
      </c>
      <c r="G2226" s="1">
        <v>344</v>
      </c>
      <c r="H2226" s="1" t="str">
        <f t="shared" si="138"/>
        <v>High</v>
      </c>
      <c r="I2226" s="1" t="str">
        <f t="shared" si="139"/>
        <v>Other</v>
      </c>
      <c r="J2226" s="1">
        <f t="shared" si="140"/>
        <v>224098.84000000003</v>
      </c>
    </row>
    <row r="2227" spans="1:10" ht="12.75">
      <c r="A2227" s="1" t="s">
        <v>12</v>
      </c>
      <c r="B2227" s="1" t="s">
        <v>54</v>
      </c>
      <c r="C2227" s="1" t="s">
        <v>52</v>
      </c>
      <c r="D2227" s="2">
        <v>45480</v>
      </c>
      <c r="E2227" s="1" t="s">
        <v>2024</v>
      </c>
      <c r="F2227" s="5">
        <f t="shared" si="137"/>
        <v>170.24</v>
      </c>
      <c r="G2227" s="1">
        <v>75</v>
      </c>
      <c r="H2227" s="1" t="str">
        <f t="shared" si="138"/>
        <v>Low</v>
      </c>
      <c r="I2227" s="1" t="str">
        <f t="shared" si="139"/>
        <v>Other</v>
      </c>
      <c r="J2227" s="1">
        <f t="shared" si="140"/>
        <v>224098.84000000003</v>
      </c>
    </row>
    <row r="2228" spans="1:10" ht="12.75">
      <c r="A2228" s="1" t="s">
        <v>25</v>
      </c>
      <c r="B2228" s="1" t="s">
        <v>5</v>
      </c>
      <c r="C2228" s="1" t="s">
        <v>43</v>
      </c>
      <c r="D2228" s="2">
        <v>45431</v>
      </c>
      <c r="E2228" s="1" t="s">
        <v>2025</v>
      </c>
      <c r="F2228" s="5">
        <f t="shared" si="137"/>
        <v>4247.49</v>
      </c>
      <c r="G2228" s="1">
        <v>14</v>
      </c>
      <c r="H2228" s="1" t="str">
        <f t="shared" si="138"/>
        <v>High</v>
      </c>
      <c r="I2228" s="1" t="str">
        <f t="shared" si="139"/>
        <v>Other</v>
      </c>
      <c r="J2228" s="1">
        <f t="shared" si="140"/>
        <v>224098.84000000003</v>
      </c>
    </row>
    <row r="2229" spans="1:10" ht="12.75">
      <c r="A2229" s="1" t="s">
        <v>18</v>
      </c>
      <c r="B2229" s="1" t="s">
        <v>42</v>
      </c>
      <c r="C2229" s="1" t="s">
        <v>86</v>
      </c>
      <c r="D2229" s="2">
        <v>45477</v>
      </c>
      <c r="E2229" s="1" t="s">
        <v>2026</v>
      </c>
      <c r="F2229" s="5">
        <f t="shared" si="137"/>
        <v>2696.1</v>
      </c>
      <c r="G2229" s="1">
        <v>605</v>
      </c>
      <c r="H2229" s="1" t="str">
        <f t="shared" si="138"/>
        <v>High</v>
      </c>
      <c r="I2229" s="1" t="str">
        <f t="shared" si="139"/>
        <v>Other</v>
      </c>
      <c r="J2229" s="1">
        <f t="shared" si="140"/>
        <v>224098.84000000003</v>
      </c>
    </row>
    <row r="2230" spans="1:10" ht="12.75">
      <c r="A2230" s="1" t="s">
        <v>12</v>
      </c>
      <c r="B2230" s="1" t="s">
        <v>59</v>
      </c>
      <c r="C2230" s="1" t="s">
        <v>52</v>
      </c>
      <c r="D2230" s="2">
        <v>45445</v>
      </c>
      <c r="E2230" s="1" t="s">
        <v>2027</v>
      </c>
      <c r="F2230" s="5">
        <f t="shared" si="137"/>
        <v>1083.76</v>
      </c>
      <c r="G2230" s="1">
        <v>16</v>
      </c>
      <c r="H2230" s="1" t="str">
        <f t="shared" si="138"/>
        <v>High</v>
      </c>
      <c r="I2230" s="1" t="str">
        <f t="shared" si="139"/>
        <v>Other</v>
      </c>
      <c r="J2230" s="1">
        <f t="shared" si="140"/>
        <v>224098.84000000003</v>
      </c>
    </row>
    <row r="2231" spans="1:10" ht="12.75">
      <c r="A2231" s="1" t="s">
        <v>18</v>
      </c>
      <c r="B2231" s="1" t="s">
        <v>59</v>
      </c>
      <c r="C2231" s="1" t="s">
        <v>100</v>
      </c>
      <c r="D2231" s="2">
        <v>45397</v>
      </c>
      <c r="E2231" s="1" t="s">
        <v>2028</v>
      </c>
      <c r="F2231" s="5">
        <f t="shared" si="137"/>
        <v>17037.09</v>
      </c>
      <c r="G2231" s="1">
        <v>347</v>
      </c>
      <c r="H2231" s="1" t="str">
        <f t="shared" si="138"/>
        <v>High</v>
      </c>
      <c r="I2231" s="1" t="str">
        <f t="shared" si="139"/>
        <v>Other</v>
      </c>
      <c r="J2231" s="1">
        <f t="shared" si="140"/>
        <v>224098.84000000003</v>
      </c>
    </row>
    <row r="2232" spans="1:10" ht="12.75">
      <c r="A2232" s="1" t="s">
        <v>2</v>
      </c>
      <c r="B2232" s="1" t="s">
        <v>62</v>
      </c>
      <c r="C2232" s="1" t="s">
        <v>102</v>
      </c>
      <c r="D2232" s="2">
        <v>45484</v>
      </c>
      <c r="E2232" s="1" t="s">
        <v>2029</v>
      </c>
      <c r="F2232" s="5">
        <f t="shared" si="137"/>
        <v>5706.43</v>
      </c>
      <c r="G2232" s="1">
        <v>247</v>
      </c>
      <c r="H2232" s="1" t="str">
        <f t="shared" si="138"/>
        <v>High</v>
      </c>
      <c r="I2232" s="1" t="str">
        <f t="shared" si="139"/>
        <v>Other</v>
      </c>
      <c r="J2232" s="1">
        <f t="shared" si="140"/>
        <v>224098.84000000003</v>
      </c>
    </row>
    <row r="2233" spans="1:10" ht="12.75">
      <c r="A2233" s="1" t="s">
        <v>27</v>
      </c>
      <c r="B2233" s="1" t="s">
        <v>42</v>
      </c>
      <c r="C2233" s="1" t="s">
        <v>76</v>
      </c>
      <c r="D2233" s="2">
        <v>45345</v>
      </c>
      <c r="E2233" s="1" t="s">
        <v>2030</v>
      </c>
      <c r="F2233" s="5">
        <f t="shared" si="137"/>
        <v>6682.34</v>
      </c>
      <c r="G2233" s="1">
        <v>139</v>
      </c>
      <c r="H2233" s="1" t="str">
        <f t="shared" si="138"/>
        <v>High</v>
      </c>
      <c r="I2233" s="1" t="str">
        <f t="shared" si="139"/>
        <v>Other</v>
      </c>
      <c r="J2233" s="1">
        <f t="shared" si="140"/>
        <v>218392.41000000003</v>
      </c>
    </row>
    <row r="2234" spans="1:10" ht="12.75">
      <c r="A2234" s="1" t="s">
        <v>9</v>
      </c>
      <c r="B2234" s="1" t="s">
        <v>62</v>
      </c>
      <c r="C2234" s="1" t="s">
        <v>91</v>
      </c>
      <c r="D2234" s="2">
        <v>45526</v>
      </c>
      <c r="E2234" s="1" t="s">
        <v>2031</v>
      </c>
      <c r="F2234" s="5">
        <f t="shared" si="137"/>
        <v>8192.6</v>
      </c>
      <c r="G2234" s="1">
        <v>100</v>
      </c>
      <c r="H2234" s="1" t="str">
        <f t="shared" si="138"/>
        <v>High</v>
      </c>
      <c r="I2234" s="1" t="str">
        <f t="shared" si="139"/>
        <v>Other</v>
      </c>
      <c r="J2234" s="1">
        <f t="shared" si="140"/>
        <v>218392.41000000003</v>
      </c>
    </row>
    <row r="2235" spans="1:10" ht="12.75">
      <c r="A2235" s="1" t="s">
        <v>8</v>
      </c>
      <c r="B2235" s="1" t="s">
        <v>59</v>
      </c>
      <c r="C2235" s="1" t="s">
        <v>45</v>
      </c>
      <c r="D2235" s="2">
        <v>45338</v>
      </c>
      <c r="E2235" s="1" t="s">
        <v>2032</v>
      </c>
      <c r="F2235" s="5">
        <f t="shared" si="137"/>
        <v>7568.16</v>
      </c>
      <c r="G2235" s="1">
        <v>206</v>
      </c>
      <c r="H2235" s="1" t="str">
        <f t="shared" si="138"/>
        <v>High</v>
      </c>
      <c r="I2235" s="1" t="str">
        <f t="shared" si="139"/>
        <v>Other</v>
      </c>
      <c r="J2235" s="1">
        <f t="shared" si="140"/>
        <v>218392.41000000003</v>
      </c>
    </row>
    <row r="2236" spans="1:10" ht="12.75">
      <c r="A2236" s="1" t="s">
        <v>10</v>
      </c>
      <c r="B2236" s="1" t="s">
        <v>59</v>
      </c>
      <c r="C2236" s="1" t="s">
        <v>55</v>
      </c>
      <c r="D2236" s="2">
        <v>45304</v>
      </c>
      <c r="E2236" s="1" t="s">
        <v>2033</v>
      </c>
      <c r="F2236" s="5">
        <f t="shared" si="137"/>
        <v>10772.33</v>
      </c>
      <c r="G2236" s="1">
        <v>156</v>
      </c>
      <c r="H2236" s="1" t="str">
        <f t="shared" si="138"/>
        <v>High</v>
      </c>
      <c r="I2236" s="1" t="str">
        <f t="shared" si="139"/>
        <v>Other</v>
      </c>
      <c r="J2236" s="1">
        <f t="shared" si="140"/>
        <v>218392.41000000003</v>
      </c>
    </row>
    <row r="2237" spans="1:10" ht="12.75">
      <c r="A2237" s="1" t="s">
        <v>24</v>
      </c>
      <c r="B2237" s="1" t="s">
        <v>5</v>
      </c>
      <c r="C2237" s="1" t="s">
        <v>72</v>
      </c>
      <c r="D2237" s="2">
        <v>45336</v>
      </c>
      <c r="E2237" s="1" t="s">
        <v>2034</v>
      </c>
      <c r="F2237" s="5">
        <f t="shared" si="137"/>
        <v>7467.12</v>
      </c>
      <c r="G2237" s="1">
        <v>18</v>
      </c>
      <c r="H2237" s="1" t="str">
        <f t="shared" si="138"/>
        <v>High</v>
      </c>
      <c r="I2237" s="1" t="str">
        <f t="shared" si="139"/>
        <v>Other</v>
      </c>
      <c r="J2237" s="1">
        <f t="shared" si="140"/>
        <v>218392.41000000003</v>
      </c>
    </row>
    <row r="2238" spans="1:10" ht="12.75">
      <c r="A2238" s="1" t="s">
        <v>26</v>
      </c>
      <c r="B2238" s="1" t="s">
        <v>42</v>
      </c>
      <c r="C2238" s="1" t="s">
        <v>63</v>
      </c>
      <c r="D2238" s="2">
        <v>45453</v>
      </c>
      <c r="E2238" s="1" t="s">
        <v>2035</v>
      </c>
      <c r="F2238" s="5">
        <f t="shared" si="137"/>
        <v>4985.8999999999996</v>
      </c>
      <c r="G2238" s="1">
        <v>311</v>
      </c>
      <c r="H2238" s="1" t="str">
        <f t="shared" si="138"/>
        <v>High</v>
      </c>
      <c r="I2238" s="1" t="str">
        <f t="shared" si="139"/>
        <v>Other</v>
      </c>
      <c r="J2238" s="1">
        <f t="shared" si="140"/>
        <v>218392.41000000003</v>
      </c>
    </row>
    <row r="2239" spans="1:10" ht="12.75">
      <c r="A2239" s="1" t="s">
        <v>24</v>
      </c>
      <c r="B2239" s="1" t="s">
        <v>42</v>
      </c>
      <c r="C2239" s="1" t="s">
        <v>81</v>
      </c>
      <c r="D2239" s="2">
        <v>45480</v>
      </c>
      <c r="E2239" s="1" t="s">
        <v>2036</v>
      </c>
      <c r="F2239" s="5">
        <f t="shared" si="137"/>
        <v>5693.6</v>
      </c>
      <c r="G2239" s="1">
        <v>177</v>
      </c>
      <c r="H2239" s="1" t="str">
        <f t="shared" si="138"/>
        <v>High</v>
      </c>
      <c r="I2239" s="1" t="str">
        <f t="shared" si="139"/>
        <v>Other</v>
      </c>
      <c r="J2239" s="1">
        <f t="shared" si="140"/>
        <v>218392.41000000003</v>
      </c>
    </row>
    <row r="2240" spans="1:10" ht="12.75">
      <c r="A2240" s="1" t="s">
        <v>24</v>
      </c>
      <c r="B2240" s="1" t="s">
        <v>62</v>
      </c>
      <c r="C2240" s="1" t="s">
        <v>91</v>
      </c>
      <c r="D2240" s="2">
        <v>45375</v>
      </c>
      <c r="E2240" s="1" t="s">
        <v>2037</v>
      </c>
      <c r="F2240" s="5">
        <f t="shared" si="137"/>
        <v>5879.1</v>
      </c>
      <c r="G2240" s="1">
        <v>75</v>
      </c>
      <c r="H2240" s="1" t="str">
        <f t="shared" si="138"/>
        <v>High</v>
      </c>
      <c r="I2240" s="1" t="str">
        <f t="shared" si="139"/>
        <v>Other</v>
      </c>
      <c r="J2240" s="1">
        <f t="shared" si="140"/>
        <v>218392.41000000003</v>
      </c>
    </row>
    <row r="2241" spans="1:10" ht="12.75">
      <c r="A2241" s="1" t="s">
        <v>7</v>
      </c>
      <c r="B2241" s="1" t="s">
        <v>5</v>
      </c>
      <c r="C2241" s="1" t="s">
        <v>81</v>
      </c>
      <c r="D2241" s="2">
        <v>45449</v>
      </c>
      <c r="E2241" s="1" t="s">
        <v>2038</v>
      </c>
      <c r="F2241" s="5">
        <f t="shared" si="137"/>
        <v>9771.93</v>
      </c>
      <c r="G2241" s="1">
        <v>22</v>
      </c>
      <c r="H2241" s="1" t="str">
        <f t="shared" si="138"/>
        <v>High</v>
      </c>
      <c r="I2241" s="1" t="str">
        <f t="shared" si="139"/>
        <v>Other</v>
      </c>
      <c r="J2241" s="1">
        <f t="shared" si="140"/>
        <v>218392.41000000003</v>
      </c>
    </row>
    <row r="2242" spans="1:10" ht="12.75">
      <c r="A2242" s="1" t="s">
        <v>21</v>
      </c>
      <c r="B2242" s="1" t="s">
        <v>5</v>
      </c>
      <c r="C2242" s="1" t="s">
        <v>65</v>
      </c>
      <c r="D2242" s="2">
        <v>45492</v>
      </c>
      <c r="E2242" s="1" t="s">
        <v>2039</v>
      </c>
      <c r="F2242" s="5">
        <f t="shared" ref="F2242:F2305" si="141">VALUE(SUBSTITUTE(E2242,"$",""))</f>
        <v>105.06</v>
      </c>
      <c r="G2242" s="1">
        <v>140</v>
      </c>
      <c r="H2242" s="1" t="str">
        <f t="shared" ref="H2242:H2305" si="142">IF(F2242&gt;800,"High",IF(F2242&gt;500,"Medium","Low"))</f>
        <v>Low</v>
      </c>
      <c r="I2242" s="1" t="str">
        <f t="shared" ref="I2242:I2305" si="143">IF(AND(B2242="Australia",A2242="Mallorie Waber"),"Top Local","Other")</f>
        <v>Other</v>
      </c>
      <c r="J2242" s="1">
        <f t="shared" ref="J2242:J2305" si="144">SUMIF(A2242:A5522,"Mallorie Waber",F2242:F5522)</f>
        <v>218392.41000000003</v>
      </c>
    </row>
    <row r="2243" spans="1:10" ht="12.75">
      <c r="A2243" s="1" t="s">
        <v>28</v>
      </c>
      <c r="B2243" s="1" t="s">
        <v>59</v>
      </c>
      <c r="C2243" s="1" t="s">
        <v>100</v>
      </c>
      <c r="D2243" s="2">
        <v>45401</v>
      </c>
      <c r="E2243" s="1" t="s">
        <v>2040</v>
      </c>
      <c r="F2243" s="5">
        <f t="shared" si="141"/>
        <v>16414.689999999999</v>
      </c>
      <c r="G2243" s="1">
        <v>80</v>
      </c>
      <c r="H2243" s="1" t="str">
        <f t="shared" si="142"/>
        <v>High</v>
      </c>
      <c r="I2243" s="1" t="str">
        <f t="shared" si="143"/>
        <v>Other</v>
      </c>
      <c r="J2243" s="1">
        <f t="shared" si="144"/>
        <v>218392.41000000003</v>
      </c>
    </row>
    <row r="2244" spans="1:10" ht="12.75">
      <c r="A2244" s="1" t="s">
        <v>14</v>
      </c>
      <c r="B2244" s="1" t="s">
        <v>42</v>
      </c>
      <c r="C2244" s="1" t="s">
        <v>43</v>
      </c>
      <c r="D2244" s="2">
        <v>45492</v>
      </c>
      <c r="E2244" s="1" t="s">
        <v>2041</v>
      </c>
      <c r="F2244" s="5">
        <f t="shared" si="141"/>
        <v>2553.41</v>
      </c>
      <c r="G2244" s="1">
        <v>183</v>
      </c>
      <c r="H2244" s="1" t="str">
        <f t="shared" si="142"/>
        <v>High</v>
      </c>
      <c r="I2244" s="1" t="str">
        <f t="shared" si="143"/>
        <v>Other</v>
      </c>
      <c r="J2244" s="1">
        <f t="shared" si="144"/>
        <v>218392.41000000003</v>
      </c>
    </row>
    <row r="2245" spans="1:10" ht="12.75">
      <c r="A2245" s="1" t="s">
        <v>11</v>
      </c>
      <c r="B2245" s="1" t="s">
        <v>62</v>
      </c>
      <c r="C2245" s="1" t="s">
        <v>65</v>
      </c>
      <c r="D2245" s="2">
        <v>45488</v>
      </c>
      <c r="E2245" s="1" t="s">
        <v>2042</v>
      </c>
      <c r="F2245" s="5">
        <f t="shared" si="141"/>
        <v>473.99</v>
      </c>
      <c r="G2245" s="1">
        <v>25</v>
      </c>
      <c r="H2245" s="1" t="str">
        <f t="shared" si="142"/>
        <v>Low</v>
      </c>
      <c r="I2245" s="1" t="str">
        <f t="shared" si="143"/>
        <v>Other</v>
      </c>
      <c r="J2245" s="1">
        <f t="shared" si="144"/>
        <v>218392.41000000003</v>
      </c>
    </row>
    <row r="2246" spans="1:10" ht="12.75">
      <c r="A2246" s="1" t="s">
        <v>17</v>
      </c>
      <c r="B2246" s="1" t="s">
        <v>54</v>
      </c>
      <c r="C2246" s="1" t="s">
        <v>76</v>
      </c>
      <c r="D2246" s="2">
        <v>45336</v>
      </c>
      <c r="E2246" s="1" t="s">
        <v>2043</v>
      </c>
      <c r="F2246" s="5">
        <f t="shared" si="141"/>
        <v>3873.98</v>
      </c>
      <c r="G2246" s="1">
        <v>19</v>
      </c>
      <c r="H2246" s="1" t="str">
        <f t="shared" si="142"/>
        <v>High</v>
      </c>
      <c r="I2246" s="1" t="str">
        <f t="shared" si="143"/>
        <v>Other</v>
      </c>
      <c r="J2246" s="1">
        <f t="shared" si="144"/>
        <v>218392.41000000003</v>
      </c>
    </row>
    <row r="2247" spans="1:10" ht="12.75">
      <c r="A2247" s="1" t="s">
        <v>7</v>
      </c>
      <c r="B2247" s="1" t="s">
        <v>62</v>
      </c>
      <c r="C2247" s="1" t="s">
        <v>51</v>
      </c>
      <c r="D2247" s="2">
        <v>45430</v>
      </c>
      <c r="E2247" s="1" t="s">
        <v>2044</v>
      </c>
      <c r="F2247" s="5">
        <f t="shared" si="141"/>
        <v>17718.25</v>
      </c>
      <c r="G2247" s="1">
        <v>430</v>
      </c>
      <c r="H2247" s="1" t="str">
        <f t="shared" si="142"/>
        <v>High</v>
      </c>
      <c r="I2247" s="1" t="str">
        <f t="shared" si="143"/>
        <v>Other</v>
      </c>
      <c r="J2247" s="1">
        <f t="shared" si="144"/>
        <v>218392.41000000003</v>
      </c>
    </row>
    <row r="2248" spans="1:10" ht="12.75">
      <c r="A2248" s="1" t="s">
        <v>16</v>
      </c>
      <c r="B2248" s="1" t="s">
        <v>5</v>
      </c>
      <c r="C2248" s="1" t="s">
        <v>81</v>
      </c>
      <c r="D2248" s="2">
        <v>45473</v>
      </c>
      <c r="E2248" s="1" t="s">
        <v>2045</v>
      </c>
      <c r="F2248" s="5">
        <f t="shared" si="141"/>
        <v>16572.07</v>
      </c>
      <c r="G2248" s="1">
        <v>57</v>
      </c>
      <c r="H2248" s="1" t="str">
        <f t="shared" si="142"/>
        <v>High</v>
      </c>
      <c r="I2248" s="1" t="str">
        <f t="shared" si="143"/>
        <v>Other</v>
      </c>
      <c r="J2248" s="1">
        <f t="shared" si="144"/>
        <v>218392.41000000003</v>
      </c>
    </row>
    <row r="2249" spans="1:10" ht="12.75">
      <c r="A2249" s="1" t="s">
        <v>27</v>
      </c>
      <c r="B2249" s="1" t="s">
        <v>5</v>
      </c>
      <c r="C2249" s="1" t="s">
        <v>55</v>
      </c>
      <c r="D2249" s="2">
        <v>45445</v>
      </c>
      <c r="E2249" s="1" t="s">
        <v>2046</v>
      </c>
      <c r="F2249" s="5">
        <f t="shared" si="141"/>
        <v>5220.1899999999996</v>
      </c>
      <c r="G2249" s="1">
        <v>216</v>
      </c>
      <c r="H2249" s="1" t="str">
        <f t="shared" si="142"/>
        <v>High</v>
      </c>
      <c r="I2249" s="1" t="str">
        <f t="shared" si="143"/>
        <v>Other</v>
      </c>
      <c r="J2249" s="1">
        <f t="shared" si="144"/>
        <v>218392.41000000003</v>
      </c>
    </row>
    <row r="2250" spans="1:10" ht="12.75">
      <c r="A2250" s="1" t="s">
        <v>27</v>
      </c>
      <c r="B2250" s="1" t="s">
        <v>5</v>
      </c>
      <c r="C2250" s="1" t="s">
        <v>65</v>
      </c>
      <c r="D2250" s="2">
        <v>45471</v>
      </c>
      <c r="E2250" s="1" t="s">
        <v>2047</v>
      </c>
      <c r="F2250" s="5">
        <f t="shared" si="141"/>
        <v>1797.26</v>
      </c>
      <c r="G2250" s="1">
        <v>49</v>
      </c>
      <c r="H2250" s="1" t="str">
        <f t="shared" si="142"/>
        <v>High</v>
      </c>
      <c r="I2250" s="1" t="str">
        <f t="shared" si="143"/>
        <v>Other</v>
      </c>
      <c r="J2250" s="1">
        <f t="shared" si="144"/>
        <v>218392.41000000003</v>
      </c>
    </row>
    <row r="2251" spans="1:10" ht="12.75">
      <c r="A2251" s="1" t="s">
        <v>14</v>
      </c>
      <c r="B2251" s="1" t="s">
        <v>5</v>
      </c>
      <c r="C2251" s="1" t="s">
        <v>68</v>
      </c>
      <c r="D2251" s="2">
        <v>45428</v>
      </c>
      <c r="E2251" s="1" t="s">
        <v>2048</v>
      </c>
      <c r="F2251" s="5">
        <f t="shared" si="141"/>
        <v>295.62</v>
      </c>
      <c r="G2251" s="1">
        <v>182</v>
      </c>
      <c r="H2251" s="1" t="str">
        <f t="shared" si="142"/>
        <v>Low</v>
      </c>
      <c r="I2251" s="1" t="str">
        <f t="shared" si="143"/>
        <v>Other</v>
      </c>
      <c r="J2251" s="1">
        <f t="shared" si="144"/>
        <v>218392.41000000003</v>
      </c>
    </row>
    <row r="2252" spans="1:10" ht="12.75">
      <c r="A2252" s="1" t="s">
        <v>12</v>
      </c>
      <c r="B2252" s="1" t="s">
        <v>62</v>
      </c>
      <c r="C2252" s="1" t="s">
        <v>122</v>
      </c>
      <c r="D2252" s="2">
        <v>45438</v>
      </c>
      <c r="E2252" s="1" t="s">
        <v>2049</v>
      </c>
      <c r="F2252" s="5">
        <f t="shared" si="141"/>
        <v>3597.37</v>
      </c>
      <c r="G2252" s="1">
        <v>288</v>
      </c>
      <c r="H2252" s="1" t="str">
        <f t="shared" si="142"/>
        <v>High</v>
      </c>
      <c r="I2252" s="1" t="str">
        <f t="shared" si="143"/>
        <v>Other</v>
      </c>
      <c r="J2252" s="1">
        <f t="shared" si="144"/>
        <v>218392.41000000003</v>
      </c>
    </row>
    <row r="2253" spans="1:10" ht="12.75">
      <c r="A2253" s="1" t="s">
        <v>18</v>
      </c>
      <c r="B2253" s="1" t="s">
        <v>42</v>
      </c>
      <c r="C2253" s="1" t="s">
        <v>91</v>
      </c>
      <c r="D2253" s="2">
        <v>45479</v>
      </c>
      <c r="E2253" s="1" t="s">
        <v>2050</v>
      </c>
      <c r="F2253" s="5">
        <f t="shared" si="141"/>
        <v>6580.43</v>
      </c>
      <c r="G2253" s="1">
        <v>147</v>
      </c>
      <c r="H2253" s="1" t="str">
        <f t="shared" si="142"/>
        <v>High</v>
      </c>
      <c r="I2253" s="1" t="str">
        <f t="shared" si="143"/>
        <v>Other</v>
      </c>
      <c r="J2253" s="1">
        <f t="shared" si="144"/>
        <v>218392.41000000003</v>
      </c>
    </row>
    <row r="2254" spans="1:10" ht="12.75">
      <c r="A2254" s="1" t="s">
        <v>22</v>
      </c>
      <c r="B2254" s="1" t="s">
        <v>42</v>
      </c>
      <c r="C2254" s="1" t="s">
        <v>51</v>
      </c>
      <c r="D2254" s="2">
        <v>45439</v>
      </c>
      <c r="E2254" s="1" t="s">
        <v>2051</v>
      </c>
      <c r="F2254" s="5">
        <f t="shared" si="141"/>
        <v>12232.97</v>
      </c>
      <c r="G2254" s="1">
        <v>11</v>
      </c>
      <c r="H2254" s="1" t="str">
        <f t="shared" si="142"/>
        <v>High</v>
      </c>
      <c r="I2254" s="1" t="str">
        <f t="shared" si="143"/>
        <v>Other</v>
      </c>
      <c r="J2254" s="1">
        <f t="shared" si="144"/>
        <v>218392.41000000003</v>
      </c>
    </row>
    <row r="2255" spans="1:10" ht="12.75">
      <c r="A2255" s="1" t="s">
        <v>29</v>
      </c>
      <c r="B2255" s="1" t="s">
        <v>5</v>
      </c>
      <c r="C2255" s="1" t="s">
        <v>126</v>
      </c>
      <c r="D2255" s="2">
        <v>45396</v>
      </c>
      <c r="E2255" s="1" t="s">
        <v>2052</v>
      </c>
      <c r="F2255" s="5">
        <f t="shared" si="141"/>
        <v>2243.44</v>
      </c>
      <c r="G2255" s="1">
        <v>11</v>
      </c>
      <c r="H2255" s="1" t="str">
        <f t="shared" si="142"/>
        <v>High</v>
      </c>
      <c r="I2255" s="1" t="str">
        <f t="shared" si="143"/>
        <v>Other</v>
      </c>
      <c r="J2255" s="1">
        <f t="shared" si="144"/>
        <v>218392.41000000003</v>
      </c>
    </row>
    <row r="2256" spans="1:10" ht="12.75">
      <c r="A2256" s="1" t="s">
        <v>10</v>
      </c>
      <c r="B2256" s="1" t="s">
        <v>5</v>
      </c>
      <c r="C2256" s="1" t="s">
        <v>68</v>
      </c>
      <c r="D2256" s="2">
        <v>45514</v>
      </c>
      <c r="E2256" s="1" t="s">
        <v>2053</v>
      </c>
      <c r="F2256" s="5">
        <f t="shared" si="141"/>
        <v>22943.37</v>
      </c>
      <c r="G2256" s="1">
        <v>14</v>
      </c>
      <c r="H2256" s="1" t="str">
        <f t="shared" si="142"/>
        <v>High</v>
      </c>
      <c r="I2256" s="1" t="str">
        <f t="shared" si="143"/>
        <v>Other</v>
      </c>
      <c r="J2256" s="1">
        <f t="shared" si="144"/>
        <v>218392.41000000003</v>
      </c>
    </row>
    <row r="2257" spans="1:10" ht="12.75">
      <c r="A2257" s="1" t="s">
        <v>25</v>
      </c>
      <c r="B2257" s="1" t="s">
        <v>42</v>
      </c>
      <c r="C2257" s="1" t="s">
        <v>55</v>
      </c>
      <c r="D2257" s="2">
        <v>45477</v>
      </c>
      <c r="E2257" s="1" t="s">
        <v>2054</v>
      </c>
      <c r="F2257" s="5">
        <f t="shared" si="141"/>
        <v>10590.61</v>
      </c>
      <c r="G2257" s="1">
        <v>430</v>
      </c>
      <c r="H2257" s="1" t="str">
        <f t="shared" si="142"/>
        <v>High</v>
      </c>
      <c r="I2257" s="1" t="str">
        <f t="shared" si="143"/>
        <v>Other</v>
      </c>
      <c r="J2257" s="1">
        <f t="shared" si="144"/>
        <v>218392.41000000003</v>
      </c>
    </row>
    <row r="2258" spans="1:10" ht="12.75">
      <c r="A2258" s="1" t="s">
        <v>22</v>
      </c>
      <c r="B2258" s="1" t="s">
        <v>42</v>
      </c>
      <c r="C2258" s="1" t="s">
        <v>68</v>
      </c>
      <c r="D2258" s="2">
        <v>45481</v>
      </c>
      <c r="E2258" s="1" t="s">
        <v>2055</v>
      </c>
      <c r="F2258" s="5">
        <f t="shared" si="141"/>
        <v>6468.82</v>
      </c>
      <c r="G2258" s="1">
        <v>59</v>
      </c>
      <c r="H2258" s="1" t="str">
        <f t="shared" si="142"/>
        <v>High</v>
      </c>
      <c r="I2258" s="1" t="str">
        <f t="shared" si="143"/>
        <v>Other</v>
      </c>
      <c r="J2258" s="1">
        <f t="shared" si="144"/>
        <v>218392.41000000003</v>
      </c>
    </row>
    <row r="2259" spans="1:10" ht="12.75">
      <c r="A2259" s="1" t="s">
        <v>15</v>
      </c>
      <c r="B2259" s="1" t="s">
        <v>59</v>
      </c>
      <c r="C2259" s="1" t="s">
        <v>45</v>
      </c>
      <c r="D2259" s="2">
        <v>45495</v>
      </c>
      <c r="E2259" s="1" t="s">
        <v>2056</v>
      </c>
      <c r="F2259" s="5">
        <f t="shared" si="141"/>
        <v>10463.57</v>
      </c>
      <c r="G2259" s="1">
        <v>109</v>
      </c>
      <c r="H2259" s="1" t="str">
        <f t="shared" si="142"/>
        <v>High</v>
      </c>
      <c r="I2259" s="1" t="str">
        <f t="shared" si="143"/>
        <v>Other</v>
      </c>
      <c r="J2259" s="1">
        <f t="shared" si="144"/>
        <v>218392.41000000003</v>
      </c>
    </row>
    <row r="2260" spans="1:10" ht="12.75">
      <c r="A2260" s="1" t="s">
        <v>20</v>
      </c>
      <c r="B2260" s="1" t="s">
        <v>59</v>
      </c>
      <c r="C2260" s="1" t="s">
        <v>102</v>
      </c>
      <c r="D2260" s="2">
        <v>45353</v>
      </c>
      <c r="E2260" s="1" t="s">
        <v>2057</v>
      </c>
      <c r="F2260" s="5">
        <f t="shared" si="141"/>
        <v>14154.35</v>
      </c>
      <c r="G2260" s="1">
        <v>105</v>
      </c>
      <c r="H2260" s="1" t="str">
        <f t="shared" si="142"/>
        <v>High</v>
      </c>
      <c r="I2260" s="1" t="str">
        <f t="shared" si="143"/>
        <v>Other</v>
      </c>
      <c r="J2260" s="1">
        <f t="shared" si="144"/>
        <v>218392.41000000003</v>
      </c>
    </row>
    <row r="2261" spans="1:10" ht="12.75">
      <c r="A2261" s="1" t="s">
        <v>20</v>
      </c>
      <c r="B2261" s="1" t="s">
        <v>39</v>
      </c>
      <c r="C2261" s="1" t="s">
        <v>91</v>
      </c>
      <c r="D2261" s="2">
        <v>45301</v>
      </c>
      <c r="E2261" s="1" t="s">
        <v>2058</v>
      </c>
      <c r="F2261" s="5">
        <f t="shared" si="141"/>
        <v>6031.14</v>
      </c>
      <c r="G2261" s="1">
        <v>9</v>
      </c>
      <c r="H2261" s="1" t="str">
        <f t="shared" si="142"/>
        <v>High</v>
      </c>
      <c r="I2261" s="1" t="str">
        <f t="shared" si="143"/>
        <v>Other</v>
      </c>
      <c r="J2261" s="1">
        <f t="shared" si="144"/>
        <v>218392.41000000003</v>
      </c>
    </row>
    <row r="2262" spans="1:10" ht="12.75">
      <c r="A2262" s="1" t="s">
        <v>11</v>
      </c>
      <c r="B2262" s="1" t="s">
        <v>54</v>
      </c>
      <c r="C2262" s="1" t="s">
        <v>84</v>
      </c>
      <c r="D2262" s="2">
        <v>45362</v>
      </c>
      <c r="E2262" s="1" t="s">
        <v>2059</v>
      </c>
      <c r="F2262" s="5">
        <f t="shared" si="141"/>
        <v>3308.4</v>
      </c>
      <c r="G2262" s="1">
        <v>258</v>
      </c>
      <c r="H2262" s="1" t="str">
        <f t="shared" si="142"/>
        <v>High</v>
      </c>
      <c r="I2262" s="1" t="str">
        <f t="shared" si="143"/>
        <v>Other</v>
      </c>
      <c r="J2262" s="1">
        <f t="shared" si="144"/>
        <v>218392.41000000003</v>
      </c>
    </row>
    <row r="2263" spans="1:10" ht="12.75">
      <c r="A2263" s="1" t="s">
        <v>27</v>
      </c>
      <c r="B2263" s="1" t="s">
        <v>54</v>
      </c>
      <c r="C2263" s="1" t="s">
        <v>45</v>
      </c>
      <c r="D2263" s="2">
        <v>45463</v>
      </c>
      <c r="E2263" s="1" t="s">
        <v>2060</v>
      </c>
      <c r="F2263" s="5">
        <f t="shared" si="141"/>
        <v>1119.94</v>
      </c>
      <c r="G2263" s="1">
        <v>283</v>
      </c>
      <c r="H2263" s="1" t="str">
        <f t="shared" si="142"/>
        <v>High</v>
      </c>
      <c r="I2263" s="1" t="str">
        <f t="shared" si="143"/>
        <v>Other</v>
      </c>
      <c r="J2263" s="1">
        <f t="shared" si="144"/>
        <v>218392.41000000003</v>
      </c>
    </row>
    <row r="2264" spans="1:10" ht="12.75">
      <c r="A2264" s="1" t="s">
        <v>10</v>
      </c>
      <c r="B2264" s="1" t="s">
        <v>39</v>
      </c>
      <c r="C2264" s="1" t="s">
        <v>68</v>
      </c>
      <c r="D2264" s="2">
        <v>45530</v>
      </c>
      <c r="E2264" s="1" t="s">
        <v>2061</v>
      </c>
      <c r="F2264" s="5">
        <f t="shared" si="141"/>
        <v>2303.39</v>
      </c>
      <c r="G2264" s="1">
        <v>222</v>
      </c>
      <c r="H2264" s="1" t="str">
        <f t="shared" si="142"/>
        <v>High</v>
      </c>
      <c r="I2264" s="1" t="str">
        <f t="shared" si="143"/>
        <v>Other</v>
      </c>
      <c r="J2264" s="1">
        <f t="shared" si="144"/>
        <v>218392.41000000003</v>
      </c>
    </row>
    <row r="2265" spans="1:10" ht="12.75">
      <c r="A2265" s="1" t="s">
        <v>26</v>
      </c>
      <c r="B2265" s="1" t="s">
        <v>62</v>
      </c>
      <c r="C2265" s="1" t="s">
        <v>72</v>
      </c>
      <c r="D2265" s="2">
        <v>45486</v>
      </c>
      <c r="E2265" s="1" t="s">
        <v>2062</v>
      </c>
      <c r="F2265" s="5">
        <f t="shared" si="141"/>
        <v>723.37</v>
      </c>
      <c r="G2265" s="1">
        <v>33</v>
      </c>
      <c r="H2265" s="1" t="str">
        <f t="shared" si="142"/>
        <v>Medium</v>
      </c>
      <c r="I2265" s="1" t="str">
        <f t="shared" si="143"/>
        <v>Other</v>
      </c>
      <c r="J2265" s="1">
        <f t="shared" si="144"/>
        <v>218392.41000000003</v>
      </c>
    </row>
    <row r="2266" spans="1:10" ht="12.75">
      <c r="A2266" s="1" t="s">
        <v>25</v>
      </c>
      <c r="B2266" s="1" t="s">
        <v>59</v>
      </c>
      <c r="C2266" s="1" t="s">
        <v>76</v>
      </c>
      <c r="D2266" s="2">
        <v>45333</v>
      </c>
      <c r="E2266" s="1" t="s">
        <v>2063</v>
      </c>
      <c r="F2266" s="5">
        <f t="shared" si="141"/>
        <v>1413.64</v>
      </c>
      <c r="G2266" s="1">
        <v>261</v>
      </c>
      <c r="H2266" s="1" t="str">
        <f t="shared" si="142"/>
        <v>High</v>
      </c>
      <c r="I2266" s="1" t="str">
        <f t="shared" si="143"/>
        <v>Other</v>
      </c>
      <c r="J2266" s="1">
        <f t="shared" si="144"/>
        <v>218392.41000000003</v>
      </c>
    </row>
    <row r="2267" spans="1:10" ht="12.75">
      <c r="A2267" s="1" t="s">
        <v>14</v>
      </c>
      <c r="B2267" s="1" t="s">
        <v>59</v>
      </c>
      <c r="C2267" s="1" t="s">
        <v>60</v>
      </c>
      <c r="D2267" s="2">
        <v>45318</v>
      </c>
      <c r="E2267" s="1" t="s">
        <v>2064</v>
      </c>
      <c r="F2267" s="5">
        <f t="shared" si="141"/>
        <v>9001.89</v>
      </c>
      <c r="G2267" s="1">
        <v>193</v>
      </c>
      <c r="H2267" s="1" t="str">
        <f t="shared" si="142"/>
        <v>High</v>
      </c>
      <c r="I2267" s="1" t="str">
        <f t="shared" si="143"/>
        <v>Other</v>
      </c>
      <c r="J2267" s="1">
        <f t="shared" si="144"/>
        <v>218392.41000000003</v>
      </c>
    </row>
    <row r="2268" spans="1:10" ht="12.75">
      <c r="A2268" s="1" t="s">
        <v>10</v>
      </c>
      <c r="B2268" s="1" t="s">
        <v>39</v>
      </c>
      <c r="C2268" s="1" t="s">
        <v>51</v>
      </c>
      <c r="D2268" s="2">
        <v>45322</v>
      </c>
      <c r="E2268" s="1" t="s">
        <v>2065</v>
      </c>
      <c r="F2268" s="5">
        <f t="shared" si="141"/>
        <v>5283.91</v>
      </c>
      <c r="G2268" s="1">
        <v>136</v>
      </c>
      <c r="H2268" s="1" t="str">
        <f t="shared" si="142"/>
        <v>High</v>
      </c>
      <c r="I2268" s="1" t="str">
        <f t="shared" si="143"/>
        <v>Other</v>
      </c>
      <c r="J2268" s="1">
        <f t="shared" si="144"/>
        <v>218392.41000000003</v>
      </c>
    </row>
    <row r="2269" spans="1:10" ht="12.75">
      <c r="A2269" s="1" t="s">
        <v>25</v>
      </c>
      <c r="B2269" s="1" t="s">
        <v>59</v>
      </c>
      <c r="C2269" s="1" t="s">
        <v>84</v>
      </c>
      <c r="D2269" s="2">
        <v>45522</v>
      </c>
      <c r="E2269" s="1" t="s">
        <v>2066</v>
      </c>
      <c r="F2269" s="5">
        <f t="shared" si="141"/>
        <v>10958.51</v>
      </c>
      <c r="G2269" s="1">
        <v>23</v>
      </c>
      <c r="H2269" s="1" t="str">
        <f t="shared" si="142"/>
        <v>High</v>
      </c>
      <c r="I2269" s="1" t="str">
        <f t="shared" si="143"/>
        <v>Other</v>
      </c>
      <c r="J2269" s="1">
        <f t="shared" si="144"/>
        <v>218392.41000000003</v>
      </c>
    </row>
    <row r="2270" spans="1:10" ht="12.75">
      <c r="A2270" s="1" t="s">
        <v>27</v>
      </c>
      <c r="B2270" s="1" t="s">
        <v>59</v>
      </c>
      <c r="C2270" s="1" t="s">
        <v>100</v>
      </c>
      <c r="D2270" s="2">
        <v>45473</v>
      </c>
      <c r="E2270" s="1" t="s">
        <v>2067</v>
      </c>
      <c r="F2270" s="5">
        <f t="shared" si="141"/>
        <v>15531.78</v>
      </c>
      <c r="G2270" s="1">
        <v>22</v>
      </c>
      <c r="H2270" s="1" t="str">
        <f t="shared" si="142"/>
        <v>High</v>
      </c>
      <c r="I2270" s="1" t="str">
        <f t="shared" si="143"/>
        <v>Other</v>
      </c>
      <c r="J2270" s="1">
        <f t="shared" si="144"/>
        <v>218392.41000000003</v>
      </c>
    </row>
    <row r="2271" spans="1:10" ht="12.75">
      <c r="A2271" s="1" t="s">
        <v>21</v>
      </c>
      <c r="B2271" s="1" t="s">
        <v>5</v>
      </c>
      <c r="C2271" s="1" t="s">
        <v>81</v>
      </c>
      <c r="D2271" s="2">
        <v>45527</v>
      </c>
      <c r="E2271" s="1" t="s">
        <v>2068</v>
      </c>
      <c r="F2271" s="5">
        <f t="shared" si="141"/>
        <v>317.36</v>
      </c>
      <c r="G2271" s="1">
        <v>337</v>
      </c>
      <c r="H2271" s="1" t="str">
        <f t="shared" si="142"/>
        <v>Low</v>
      </c>
      <c r="I2271" s="1" t="str">
        <f t="shared" si="143"/>
        <v>Other</v>
      </c>
      <c r="J2271" s="1">
        <f t="shared" si="144"/>
        <v>218392.41000000003</v>
      </c>
    </row>
    <row r="2272" spans="1:10" ht="12.75">
      <c r="A2272" s="1" t="s">
        <v>7</v>
      </c>
      <c r="B2272" s="1" t="s">
        <v>54</v>
      </c>
      <c r="C2272" s="1" t="s">
        <v>40</v>
      </c>
      <c r="D2272" s="2">
        <v>45505</v>
      </c>
      <c r="E2272" s="1" t="s">
        <v>2069</v>
      </c>
      <c r="F2272" s="5">
        <f t="shared" si="141"/>
        <v>71.41</v>
      </c>
      <c r="G2272" s="1">
        <v>188</v>
      </c>
      <c r="H2272" s="1" t="str">
        <f t="shared" si="142"/>
        <v>Low</v>
      </c>
      <c r="I2272" s="1" t="str">
        <f t="shared" si="143"/>
        <v>Other</v>
      </c>
      <c r="J2272" s="1">
        <f t="shared" si="144"/>
        <v>218392.41000000003</v>
      </c>
    </row>
    <row r="2273" spans="1:10" ht="12.75">
      <c r="A2273" s="1" t="s">
        <v>26</v>
      </c>
      <c r="B2273" s="1" t="s">
        <v>54</v>
      </c>
      <c r="C2273" s="1" t="s">
        <v>52</v>
      </c>
      <c r="D2273" s="2">
        <v>45437</v>
      </c>
      <c r="E2273" s="1" t="s">
        <v>2070</v>
      </c>
      <c r="F2273" s="5">
        <f t="shared" si="141"/>
        <v>9317.33</v>
      </c>
      <c r="G2273" s="1">
        <v>11</v>
      </c>
      <c r="H2273" s="1" t="str">
        <f t="shared" si="142"/>
        <v>High</v>
      </c>
      <c r="I2273" s="1" t="str">
        <f t="shared" si="143"/>
        <v>Other</v>
      </c>
      <c r="J2273" s="1">
        <f t="shared" si="144"/>
        <v>218392.41000000003</v>
      </c>
    </row>
    <row r="2274" spans="1:10" ht="12.75">
      <c r="A2274" s="1" t="s">
        <v>26</v>
      </c>
      <c r="B2274" s="1" t="s">
        <v>62</v>
      </c>
      <c r="C2274" s="1" t="s">
        <v>68</v>
      </c>
      <c r="D2274" s="2">
        <v>45301</v>
      </c>
      <c r="E2274" s="1" t="s">
        <v>2071</v>
      </c>
      <c r="F2274" s="5">
        <f t="shared" si="141"/>
        <v>4790.71</v>
      </c>
      <c r="G2274" s="1">
        <v>86</v>
      </c>
      <c r="H2274" s="1" t="str">
        <f t="shared" si="142"/>
        <v>High</v>
      </c>
      <c r="I2274" s="1" t="str">
        <f t="shared" si="143"/>
        <v>Other</v>
      </c>
      <c r="J2274" s="1">
        <f t="shared" si="144"/>
        <v>218392.41000000003</v>
      </c>
    </row>
    <row r="2275" spans="1:10" ht="12.75">
      <c r="A2275" s="1" t="s">
        <v>6</v>
      </c>
      <c r="B2275" s="1" t="s">
        <v>5</v>
      </c>
      <c r="C2275" s="1" t="s">
        <v>147</v>
      </c>
      <c r="D2275" s="2">
        <v>45329</v>
      </c>
      <c r="E2275" s="1" t="s">
        <v>2072</v>
      </c>
      <c r="F2275" s="5">
        <f t="shared" si="141"/>
        <v>6166.8</v>
      </c>
      <c r="G2275" s="1">
        <v>114</v>
      </c>
      <c r="H2275" s="1" t="str">
        <f t="shared" si="142"/>
        <v>High</v>
      </c>
      <c r="I2275" s="1" t="str">
        <f t="shared" si="143"/>
        <v>Other</v>
      </c>
      <c r="J2275" s="1">
        <f t="shared" si="144"/>
        <v>218392.41000000003</v>
      </c>
    </row>
    <row r="2276" spans="1:10" ht="12.75">
      <c r="A2276" s="1" t="s">
        <v>18</v>
      </c>
      <c r="B2276" s="1" t="s">
        <v>59</v>
      </c>
      <c r="C2276" s="1" t="s">
        <v>60</v>
      </c>
      <c r="D2276" s="2">
        <v>45424</v>
      </c>
      <c r="E2276" s="1" t="s">
        <v>2073</v>
      </c>
      <c r="F2276" s="5">
        <f t="shared" si="141"/>
        <v>11741.46</v>
      </c>
      <c r="G2276" s="1">
        <v>433</v>
      </c>
      <c r="H2276" s="1" t="str">
        <f t="shared" si="142"/>
        <v>High</v>
      </c>
      <c r="I2276" s="1" t="str">
        <f t="shared" si="143"/>
        <v>Other</v>
      </c>
      <c r="J2276" s="1">
        <f t="shared" si="144"/>
        <v>218392.41000000003</v>
      </c>
    </row>
    <row r="2277" spans="1:10" ht="12.75">
      <c r="A2277" s="1" t="s">
        <v>9</v>
      </c>
      <c r="B2277" s="1" t="s">
        <v>5</v>
      </c>
      <c r="C2277" s="1" t="s">
        <v>76</v>
      </c>
      <c r="D2277" s="2">
        <v>45358</v>
      </c>
      <c r="E2277" s="1" t="s">
        <v>2074</v>
      </c>
      <c r="F2277" s="5">
        <f t="shared" si="141"/>
        <v>8519.77</v>
      </c>
      <c r="G2277" s="1">
        <v>443</v>
      </c>
      <c r="H2277" s="1" t="str">
        <f t="shared" si="142"/>
        <v>High</v>
      </c>
      <c r="I2277" s="1" t="str">
        <f t="shared" si="143"/>
        <v>Other</v>
      </c>
      <c r="J2277" s="1">
        <f t="shared" si="144"/>
        <v>218392.41000000003</v>
      </c>
    </row>
    <row r="2278" spans="1:10" ht="12.75">
      <c r="A2278" s="1" t="s">
        <v>6</v>
      </c>
      <c r="B2278" s="1" t="s">
        <v>5</v>
      </c>
      <c r="C2278" s="1" t="s">
        <v>43</v>
      </c>
      <c r="D2278" s="2">
        <v>45387</v>
      </c>
      <c r="E2278" s="1" t="s">
        <v>2075</v>
      </c>
      <c r="F2278" s="5">
        <f t="shared" si="141"/>
        <v>8278.86</v>
      </c>
      <c r="G2278" s="1">
        <v>453</v>
      </c>
      <c r="H2278" s="1" t="str">
        <f t="shared" si="142"/>
        <v>High</v>
      </c>
      <c r="I2278" s="1" t="str">
        <f t="shared" si="143"/>
        <v>Other</v>
      </c>
      <c r="J2278" s="1">
        <f t="shared" si="144"/>
        <v>218392.41000000003</v>
      </c>
    </row>
    <row r="2279" spans="1:10" ht="12.75">
      <c r="A2279" s="1" t="s">
        <v>27</v>
      </c>
      <c r="B2279" s="1" t="s">
        <v>62</v>
      </c>
      <c r="C2279" s="1" t="s">
        <v>126</v>
      </c>
      <c r="D2279" s="2">
        <v>45294</v>
      </c>
      <c r="E2279" s="1" t="s">
        <v>2076</v>
      </c>
      <c r="F2279" s="5">
        <f t="shared" si="141"/>
        <v>7560.62</v>
      </c>
      <c r="G2279" s="1">
        <v>336</v>
      </c>
      <c r="H2279" s="1" t="str">
        <f t="shared" si="142"/>
        <v>High</v>
      </c>
      <c r="I2279" s="1" t="str">
        <f t="shared" si="143"/>
        <v>Other</v>
      </c>
      <c r="J2279" s="1">
        <f t="shared" si="144"/>
        <v>218392.41000000003</v>
      </c>
    </row>
    <row r="2280" spans="1:10" ht="12.75">
      <c r="A2280" s="1" t="s">
        <v>6</v>
      </c>
      <c r="B2280" s="1" t="s">
        <v>39</v>
      </c>
      <c r="C2280" s="1" t="s">
        <v>63</v>
      </c>
      <c r="D2280" s="2">
        <v>45375</v>
      </c>
      <c r="E2280" s="1" t="s">
        <v>2077</v>
      </c>
      <c r="F2280" s="5">
        <f t="shared" si="141"/>
        <v>6702.11</v>
      </c>
      <c r="G2280" s="1">
        <v>285</v>
      </c>
      <c r="H2280" s="1" t="str">
        <f t="shared" si="142"/>
        <v>High</v>
      </c>
      <c r="I2280" s="1" t="str">
        <f t="shared" si="143"/>
        <v>Other</v>
      </c>
      <c r="J2280" s="1">
        <f t="shared" si="144"/>
        <v>218392.41000000003</v>
      </c>
    </row>
    <row r="2281" spans="1:10" ht="12.75">
      <c r="A2281" s="1" t="s">
        <v>9</v>
      </c>
      <c r="B2281" s="1" t="s">
        <v>42</v>
      </c>
      <c r="C2281" s="1" t="s">
        <v>100</v>
      </c>
      <c r="D2281" s="2">
        <v>45480</v>
      </c>
      <c r="E2281" s="1" t="s">
        <v>2078</v>
      </c>
      <c r="F2281" s="5">
        <f t="shared" si="141"/>
        <v>4758.6899999999996</v>
      </c>
      <c r="G2281" s="1">
        <v>10</v>
      </c>
      <c r="H2281" s="1" t="str">
        <f t="shared" si="142"/>
        <v>High</v>
      </c>
      <c r="I2281" s="1" t="str">
        <f t="shared" si="143"/>
        <v>Other</v>
      </c>
      <c r="J2281" s="1">
        <f t="shared" si="144"/>
        <v>218392.41000000003</v>
      </c>
    </row>
    <row r="2282" spans="1:10" ht="12.75">
      <c r="A2282" s="1" t="s">
        <v>10</v>
      </c>
      <c r="B2282" s="1" t="s">
        <v>59</v>
      </c>
      <c r="C2282" s="1" t="s">
        <v>52</v>
      </c>
      <c r="D2282" s="2">
        <v>45499</v>
      </c>
      <c r="E2282" s="1" t="s">
        <v>2079</v>
      </c>
      <c r="F2282" s="5">
        <f t="shared" si="141"/>
        <v>709.25</v>
      </c>
      <c r="G2282" s="1">
        <v>263</v>
      </c>
      <c r="H2282" s="1" t="str">
        <f t="shared" si="142"/>
        <v>Medium</v>
      </c>
      <c r="I2282" s="1" t="str">
        <f t="shared" si="143"/>
        <v>Other</v>
      </c>
      <c r="J2282" s="1">
        <f t="shared" si="144"/>
        <v>218392.41000000003</v>
      </c>
    </row>
    <row r="2283" spans="1:10" ht="12.75">
      <c r="A2283" s="1" t="s">
        <v>29</v>
      </c>
      <c r="B2283" s="1" t="s">
        <v>5</v>
      </c>
      <c r="C2283" s="1" t="s">
        <v>68</v>
      </c>
      <c r="D2283" s="2">
        <v>45480</v>
      </c>
      <c r="E2283" s="1" t="s">
        <v>2080</v>
      </c>
      <c r="F2283" s="5">
        <f t="shared" si="141"/>
        <v>2003.05</v>
      </c>
      <c r="G2283" s="1">
        <v>110</v>
      </c>
      <c r="H2283" s="1" t="str">
        <f t="shared" si="142"/>
        <v>High</v>
      </c>
      <c r="I2283" s="1" t="str">
        <f t="shared" si="143"/>
        <v>Other</v>
      </c>
      <c r="J2283" s="1">
        <f t="shared" si="144"/>
        <v>218392.41000000003</v>
      </c>
    </row>
    <row r="2284" spans="1:10" ht="12.75">
      <c r="A2284" s="1" t="s">
        <v>18</v>
      </c>
      <c r="B2284" s="1" t="s">
        <v>62</v>
      </c>
      <c r="C2284" s="1" t="s">
        <v>55</v>
      </c>
      <c r="D2284" s="2">
        <v>45488</v>
      </c>
      <c r="E2284" s="1" t="s">
        <v>2081</v>
      </c>
      <c r="F2284" s="5">
        <f t="shared" si="141"/>
        <v>3248</v>
      </c>
      <c r="G2284" s="1">
        <v>64</v>
      </c>
      <c r="H2284" s="1" t="str">
        <f t="shared" si="142"/>
        <v>High</v>
      </c>
      <c r="I2284" s="1" t="str">
        <f t="shared" si="143"/>
        <v>Other</v>
      </c>
      <c r="J2284" s="1">
        <f t="shared" si="144"/>
        <v>218392.41000000003</v>
      </c>
    </row>
    <row r="2285" spans="1:10" ht="12.75">
      <c r="A2285" s="1" t="s">
        <v>26</v>
      </c>
      <c r="B2285" s="1" t="s">
        <v>54</v>
      </c>
      <c r="C2285" s="1" t="s">
        <v>60</v>
      </c>
      <c r="D2285" s="2">
        <v>45383</v>
      </c>
      <c r="E2285" s="1" t="s">
        <v>2082</v>
      </c>
      <c r="F2285" s="5">
        <f t="shared" si="141"/>
        <v>51.98</v>
      </c>
      <c r="G2285" s="1">
        <v>95</v>
      </c>
      <c r="H2285" s="1" t="str">
        <f t="shared" si="142"/>
        <v>Low</v>
      </c>
      <c r="I2285" s="1" t="str">
        <f t="shared" si="143"/>
        <v>Other</v>
      </c>
      <c r="J2285" s="1">
        <f t="shared" si="144"/>
        <v>218392.41000000003</v>
      </c>
    </row>
    <row r="2286" spans="1:10" ht="12.75">
      <c r="A2286" s="1" t="s">
        <v>28</v>
      </c>
      <c r="B2286" s="1" t="s">
        <v>5</v>
      </c>
      <c r="C2286" s="1" t="s">
        <v>63</v>
      </c>
      <c r="D2286" s="2">
        <v>45463</v>
      </c>
      <c r="E2286" s="1" t="s">
        <v>2083</v>
      </c>
      <c r="F2286" s="5">
        <f t="shared" si="141"/>
        <v>2134.65</v>
      </c>
      <c r="G2286" s="1">
        <v>6</v>
      </c>
      <c r="H2286" s="1" t="str">
        <f t="shared" si="142"/>
        <v>High</v>
      </c>
      <c r="I2286" s="1" t="str">
        <f t="shared" si="143"/>
        <v>Other</v>
      </c>
      <c r="J2286" s="1">
        <f t="shared" si="144"/>
        <v>218392.41000000003</v>
      </c>
    </row>
    <row r="2287" spans="1:10" ht="12.75">
      <c r="A2287" s="1" t="s">
        <v>12</v>
      </c>
      <c r="B2287" s="1" t="s">
        <v>39</v>
      </c>
      <c r="C2287" s="1" t="s">
        <v>81</v>
      </c>
      <c r="D2287" s="2">
        <v>45472</v>
      </c>
      <c r="E2287" s="1" t="s">
        <v>2084</v>
      </c>
      <c r="F2287" s="5">
        <f t="shared" si="141"/>
        <v>15540.41</v>
      </c>
      <c r="G2287" s="1">
        <v>520</v>
      </c>
      <c r="H2287" s="1" t="str">
        <f t="shared" si="142"/>
        <v>High</v>
      </c>
      <c r="I2287" s="1" t="str">
        <f t="shared" si="143"/>
        <v>Other</v>
      </c>
      <c r="J2287" s="1">
        <f t="shared" si="144"/>
        <v>218392.41000000003</v>
      </c>
    </row>
    <row r="2288" spans="1:10" ht="12.75">
      <c r="A2288" s="1" t="s">
        <v>14</v>
      </c>
      <c r="B2288" s="1" t="s">
        <v>59</v>
      </c>
      <c r="C2288" s="1" t="s">
        <v>55</v>
      </c>
      <c r="D2288" s="2">
        <v>45458</v>
      </c>
      <c r="E2288" s="1" t="s">
        <v>2085</v>
      </c>
      <c r="F2288" s="5">
        <f t="shared" si="141"/>
        <v>1117.77</v>
      </c>
      <c r="G2288" s="1">
        <v>114</v>
      </c>
      <c r="H2288" s="1" t="str">
        <f t="shared" si="142"/>
        <v>High</v>
      </c>
      <c r="I2288" s="1" t="str">
        <f t="shared" si="143"/>
        <v>Other</v>
      </c>
      <c r="J2288" s="1">
        <f t="shared" si="144"/>
        <v>218392.41000000003</v>
      </c>
    </row>
    <row r="2289" spans="1:10" ht="12.75">
      <c r="A2289" s="1" t="s">
        <v>13</v>
      </c>
      <c r="B2289" s="1" t="s">
        <v>59</v>
      </c>
      <c r="C2289" s="1" t="s">
        <v>52</v>
      </c>
      <c r="D2289" s="2">
        <v>45390</v>
      </c>
      <c r="E2289" s="1" t="s">
        <v>2086</v>
      </c>
      <c r="F2289" s="5">
        <f t="shared" si="141"/>
        <v>13999.05</v>
      </c>
      <c r="G2289" s="1">
        <v>179</v>
      </c>
      <c r="H2289" s="1" t="str">
        <f t="shared" si="142"/>
        <v>High</v>
      </c>
      <c r="I2289" s="1" t="str">
        <f t="shared" si="143"/>
        <v>Other</v>
      </c>
      <c r="J2289" s="1">
        <f t="shared" si="144"/>
        <v>218392.41000000003</v>
      </c>
    </row>
    <row r="2290" spans="1:10" ht="12.75">
      <c r="A2290" s="1" t="s">
        <v>6</v>
      </c>
      <c r="B2290" s="1" t="s">
        <v>5</v>
      </c>
      <c r="C2290" s="1" t="s">
        <v>100</v>
      </c>
      <c r="D2290" s="2">
        <v>45365</v>
      </c>
      <c r="E2290" s="1" t="s">
        <v>2087</v>
      </c>
      <c r="F2290" s="5">
        <f t="shared" si="141"/>
        <v>6265.59</v>
      </c>
      <c r="G2290" s="1">
        <v>31</v>
      </c>
      <c r="H2290" s="1" t="str">
        <f t="shared" si="142"/>
        <v>High</v>
      </c>
      <c r="I2290" s="1" t="str">
        <f t="shared" si="143"/>
        <v>Other</v>
      </c>
      <c r="J2290" s="1">
        <f t="shared" si="144"/>
        <v>218392.41000000003</v>
      </c>
    </row>
    <row r="2291" spans="1:10" ht="12.75">
      <c r="A2291" s="1" t="s">
        <v>27</v>
      </c>
      <c r="B2291" s="1" t="s">
        <v>59</v>
      </c>
      <c r="C2291" s="1" t="s">
        <v>81</v>
      </c>
      <c r="D2291" s="2">
        <v>45488</v>
      </c>
      <c r="E2291" s="1" t="s">
        <v>2088</v>
      </c>
      <c r="F2291" s="5">
        <f t="shared" si="141"/>
        <v>1536.82</v>
      </c>
      <c r="G2291" s="1">
        <v>386</v>
      </c>
      <c r="H2291" s="1" t="str">
        <f t="shared" si="142"/>
        <v>High</v>
      </c>
      <c r="I2291" s="1" t="str">
        <f t="shared" si="143"/>
        <v>Other</v>
      </c>
      <c r="J2291" s="1">
        <f t="shared" si="144"/>
        <v>218392.41000000003</v>
      </c>
    </row>
    <row r="2292" spans="1:10" ht="12.75">
      <c r="A2292" s="1" t="s">
        <v>12</v>
      </c>
      <c r="B2292" s="1" t="s">
        <v>42</v>
      </c>
      <c r="C2292" s="1" t="s">
        <v>63</v>
      </c>
      <c r="D2292" s="2">
        <v>45401</v>
      </c>
      <c r="E2292" s="1" t="s">
        <v>2089</v>
      </c>
      <c r="F2292" s="5">
        <f t="shared" si="141"/>
        <v>6069.93</v>
      </c>
      <c r="G2292" s="1">
        <v>80</v>
      </c>
      <c r="H2292" s="1" t="str">
        <f t="shared" si="142"/>
        <v>High</v>
      </c>
      <c r="I2292" s="1" t="str">
        <f t="shared" si="143"/>
        <v>Other</v>
      </c>
      <c r="J2292" s="1">
        <f t="shared" si="144"/>
        <v>218392.41000000003</v>
      </c>
    </row>
    <row r="2293" spans="1:10" ht="12.75">
      <c r="A2293" s="1" t="s">
        <v>14</v>
      </c>
      <c r="B2293" s="1" t="s">
        <v>59</v>
      </c>
      <c r="C2293" s="1" t="s">
        <v>51</v>
      </c>
      <c r="D2293" s="2">
        <v>45379</v>
      </c>
      <c r="E2293" s="1" t="s">
        <v>2090</v>
      </c>
      <c r="F2293" s="5">
        <f t="shared" si="141"/>
        <v>4861.33</v>
      </c>
      <c r="G2293" s="1">
        <v>286</v>
      </c>
      <c r="H2293" s="1" t="str">
        <f t="shared" si="142"/>
        <v>High</v>
      </c>
      <c r="I2293" s="1" t="str">
        <f t="shared" si="143"/>
        <v>Other</v>
      </c>
      <c r="J2293" s="1">
        <f t="shared" si="144"/>
        <v>218392.41000000003</v>
      </c>
    </row>
    <row r="2294" spans="1:10" ht="12.75">
      <c r="A2294" s="1" t="s">
        <v>7</v>
      </c>
      <c r="B2294" s="1" t="s">
        <v>62</v>
      </c>
      <c r="C2294" s="1" t="s">
        <v>76</v>
      </c>
      <c r="D2294" s="2">
        <v>45355</v>
      </c>
      <c r="E2294" s="1" t="s">
        <v>2091</v>
      </c>
      <c r="F2294" s="5">
        <f t="shared" si="141"/>
        <v>8993.24</v>
      </c>
      <c r="G2294" s="1">
        <v>97</v>
      </c>
      <c r="H2294" s="1" t="str">
        <f t="shared" si="142"/>
        <v>High</v>
      </c>
      <c r="I2294" s="1" t="str">
        <f t="shared" si="143"/>
        <v>Other</v>
      </c>
      <c r="J2294" s="1">
        <f t="shared" si="144"/>
        <v>218392.41000000003</v>
      </c>
    </row>
    <row r="2295" spans="1:10" ht="12.75">
      <c r="A2295" s="1" t="s">
        <v>18</v>
      </c>
      <c r="B2295" s="1" t="s">
        <v>54</v>
      </c>
      <c r="C2295" s="1" t="s">
        <v>147</v>
      </c>
      <c r="D2295" s="2">
        <v>45506</v>
      </c>
      <c r="E2295" s="1" t="s">
        <v>2092</v>
      </c>
      <c r="F2295" s="5">
        <f t="shared" si="141"/>
        <v>150.41999999999999</v>
      </c>
      <c r="G2295" s="1">
        <v>40</v>
      </c>
      <c r="H2295" s="1" t="str">
        <f t="shared" si="142"/>
        <v>Low</v>
      </c>
      <c r="I2295" s="1" t="str">
        <f t="shared" si="143"/>
        <v>Other</v>
      </c>
      <c r="J2295" s="1">
        <f t="shared" si="144"/>
        <v>218392.41000000003</v>
      </c>
    </row>
    <row r="2296" spans="1:10" ht="12.75">
      <c r="A2296" s="1" t="s">
        <v>13</v>
      </c>
      <c r="B2296" s="1" t="s">
        <v>39</v>
      </c>
      <c r="C2296" s="1" t="s">
        <v>76</v>
      </c>
      <c r="D2296" s="2">
        <v>45529</v>
      </c>
      <c r="E2296" s="1" t="s">
        <v>2093</v>
      </c>
      <c r="F2296" s="5">
        <f t="shared" si="141"/>
        <v>5593.68</v>
      </c>
      <c r="G2296" s="1">
        <v>41</v>
      </c>
      <c r="H2296" s="1" t="str">
        <f t="shared" si="142"/>
        <v>High</v>
      </c>
      <c r="I2296" s="1" t="str">
        <f t="shared" si="143"/>
        <v>Other</v>
      </c>
      <c r="J2296" s="1">
        <f t="shared" si="144"/>
        <v>218392.41000000003</v>
      </c>
    </row>
    <row r="2297" spans="1:10" ht="12.75">
      <c r="A2297" s="1" t="s">
        <v>14</v>
      </c>
      <c r="B2297" s="1" t="s">
        <v>59</v>
      </c>
      <c r="C2297" s="1" t="s">
        <v>91</v>
      </c>
      <c r="D2297" s="2">
        <v>45347</v>
      </c>
      <c r="E2297" s="1" t="s">
        <v>2094</v>
      </c>
      <c r="F2297" s="5">
        <f t="shared" si="141"/>
        <v>9376.61</v>
      </c>
      <c r="G2297" s="1">
        <v>167</v>
      </c>
      <c r="H2297" s="1" t="str">
        <f t="shared" si="142"/>
        <v>High</v>
      </c>
      <c r="I2297" s="1" t="str">
        <f t="shared" si="143"/>
        <v>Other</v>
      </c>
      <c r="J2297" s="1">
        <f t="shared" si="144"/>
        <v>218392.41000000003</v>
      </c>
    </row>
    <row r="2298" spans="1:10" ht="12.75">
      <c r="A2298" s="1" t="s">
        <v>12</v>
      </c>
      <c r="B2298" s="1" t="s">
        <v>42</v>
      </c>
      <c r="C2298" s="1" t="s">
        <v>60</v>
      </c>
      <c r="D2298" s="2">
        <v>45450</v>
      </c>
      <c r="E2298" s="1" t="s">
        <v>2095</v>
      </c>
      <c r="F2298" s="5">
        <f t="shared" si="141"/>
        <v>11315.16</v>
      </c>
      <c r="G2298" s="1">
        <v>134</v>
      </c>
      <c r="H2298" s="1" t="str">
        <f t="shared" si="142"/>
        <v>High</v>
      </c>
      <c r="I2298" s="1" t="str">
        <f t="shared" si="143"/>
        <v>Other</v>
      </c>
      <c r="J2298" s="1">
        <f t="shared" si="144"/>
        <v>218392.41000000003</v>
      </c>
    </row>
    <row r="2299" spans="1:10" ht="12.75">
      <c r="A2299" s="1" t="s">
        <v>15</v>
      </c>
      <c r="B2299" s="1" t="s">
        <v>42</v>
      </c>
      <c r="C2299" s="1" t="s">
        <v>76</v>
      </c>
      <c r="D2299" s="2">
        <v>45394</v>
      </c>
      <c r="E2299" s="1" t="s">
        <v>2096</v>
      </c>
      <c r="F2299" s="5">
        <f t="shared" si="141"/>
        <v>2048.34</v>
      </c>
      <c r="G2299" s="1">
        <v>506</v>
      </c>
      <c r="H2299" s="1" t="str">
        <f t="shared" si="142"/>
        <v>High</v>
      </c>
      <c r="I2299" s="1" t="str">
        <f t="shared" si="143"/>
        <v>Other</v>
      </c>
      <c r="J2299" s="1">
        <f t="shared" si="144"/>
        <v>218392.41000000003</v>
      </c>
    </row>
    <row r="2300" spans="1:10" ht="12.75">
      <c r="A2300" s="1" t="s">
        <v>17</v>
      </c>
      <c r="B2300" s="1" t="s">
        <v>42</v>
      </c>
      <c r="C2300" s="1" t="s">
        <v>76</v>
      </c>
      <c r="D2300" s="2">
        <v>45479</v>
      </c>
      <c r="E2300" s="1" t="s">
        <v>2097</v>
      </c>
      <c r="F2300" s="5">
        <f t="shared" si="141"/>
        <v>12562.81</v>
      </c>
      <c r="G2300" s="1">
        <v>101</v>
      </c>
      <c r="H2300" s="1" t="str">
        <f t="shared" si="142"/>
        <v>High</v>
      </c>
      <c r="I2300" s="1" t="str">
        <f t="shared" si="143"/>
        <v>Other</v>
      </c>
      <c r="J2300" s="1">
        <f t="shared" si="144"/>
        <v>218392.41000000003</v>
      </c>
    </row>
    <row r="2301" spans="1:10" ht="12.75">
      <c r="A2301" s="1" t="s">
        <v>12</v>
      </c>
      <c r="B2301" s="1" t="s">
        <v>39</v>
      </c>
      <c r="C2301" s="1" t="s">
        <v>49</v>
      </c>
      <c r="D2301" s="2">
        <v>45310</v>
      </c>
      <c r="E2301" s="1" t="s">
        <v>2098</v>
      </c>
      <c r="F2301" s="5">
        <f t="shared" si="141"/>
        <v>6883.75</v>
      </c>
      <c r="G2301" s="1">
        <v>182</v>
      </c>
      <c r="H2301" s="1" t="str">
        <f t="shared" si="142"/>
        <v>High</v>
      </c>
      <c r="I2301" s="1" t="str">
        <f t="shared" si="143"/>
        <v>Other</v>
      </c>
      <c r="J2301" s="1">
        <f t="shared" si="144"/>
        <v>218392.41000000003</v>
      </c>
    </row>
    <row r="2302" spans="1:10" ht="12.75">
      <c r="A2302" s="1" t="s">
        <v>9</v>
      </c>
      <c r="B2302" s="1" t="s">
        <v>5</v>
      </c>
      <c r="C2302" s="1" t="s">
        <v>81</v>
      </c>
      <c r="D2302" s="2">
        <v>45296</v>
      </c>
      <c r="E2302" s="1" t="s">
        <v>2099</v>
      </c>
      <c r="F2302" s="5">
        <f t="shared" si="141"/>
        <v>6105.6</v>
      </c>
      <c r="G2302" s="1">
        <v>90</v>
      </c>
      <c r="H2302" s="1" t="str">
        <f t="shared" si="142"/>
        <v>High</v>
      </c>
      <c r="I2302" s="1" t="str">
        <f t="shared" si="143"/>
        <v>Other</v>
      </c>
      <c r="J2302" s="1">
        <f t="shared" si="144"/>
        <v>218392.41000000003</v>
      </c>
    </row>
    <row r="2303" spans="1:10" ht="12.75">
      <c r="A2303" s="1" t="s">
        <v>9</v>
      </c>
      <c r="B2303" s="1" t="s">
        <v>62</v>
      </c>
      <c r="C2303" s="1" t="s">
        <v>147</v>
      </c>
      <c r="D2303" s="2">
        <v>45315</v>
      </c>
      <c r="E2303" s="1" t="s">
        <v>2100</v>
      </c>
      <c r="F2303" s="5">
        <f t="shared" si="141"/>
        <v>12634.72</v>
      </c>
      <c r="G2303" s="1">
        <v>145</v>
      </c>
      <c r="H2303" s="1" t="str">
        <f t="shared" si="142"/>
        <v>High</v>
      </c>
      <c r="I2303" s="1" t="str">
        <f t="shared" si="143"/>
        <v>Other</v>
      </c>
      <c r="J2303" s="1">
        <f t="shared" si="144"/>
        <v>218392.41000000003</v>
      </c>
    </row>
    <row r="2304" spans="1:10" ht="12.75">
      <c r="A2304" s="1" t="s">
        <v>29</v>
      </c>
      <c r="B2304" s="1" t="s">
        <v>5</v>
      </c>
      <c r="C2304" s="1" t="s">
        <v>65</v>
      </c>
      <c r="D2304" s="2">
        <v>45388</v>
      </c>
      <c r="E2304" s="1" t="s">
        <v>2101</v>
      </c>
      <c r="F2304" s="5">
        <f t="shared" si="141"/>
        <v>663.74</v>
      </c>
      <c r="G2304" s="1">
        <v>285</v>
      </c>
      <c r="H2304" s="1" t="str">
        <f t="shared" si="142"/>
        <v>Medium</v>
      </c>
      <c r="I2304" s="1" t="str">
        <f t="shared" si="143"/>
        <v>Other</v>
      </c>
      <c r="J2304" s="1">
        <f t="shared" si="144"/>
        <v>218392.41000000003</v>
      </c>
    </row>
    <row r="2305" spans="1:10" ht="12.75">
      <c r="A2305" s="1" t="s">
        <v>23</v>
      </c>
      <c r="B2305" s="1" t="s">
        <v>5</v>
      </c>
      <c r="C2305" s="1" t="s">
        <v>81</v>
      </c>
      <c r="D2305" s="2">
        <v>45458</v>
      </c>
      <c r="E2305" s="1" t="s">
        <v>2102</v>
      </c>
      <c r="F2305" s="5">
        <f t="shared" si="141"/>
        <v>7044.68</v>
      </c>
      <c r="G2305" s="1">
        <v>21</v>
      </c>
      <c r="H2305" s="1" t="str">
        <f t="shared" si="142"/>
        <v>High</v>
      </c>
      <c r="I2305" s="1" t="str">
        <f t="shared" si="143"/>
        <v>Other</v>
      </c>
      <c r="J2305" s="1">
        <f t="shared" si="144"/>
        <v>218392.41000000003</v>
      </c>
    </row>
    <row r="2306" spans="1:10" ht="12.75">
      <c r="A2306" s="1" t="s">
        <v>20</v>
      </c>
      <c r="B2306" s="1" t="s">
        <v>62</v>
      </c>
      <c r="C2306" s="1" t="s">
        <v>122</v>
      </c>
      <c r="D2306" s="2">
        <v>45319</v>
      </c>
      <c r="E2306" s="1" t="s">
        <v>2103</v>
      </c>
      <c r="F2306" s="5">
        <f t="shared" ref="F2306:F2369" si="145">VALUE(SUBSTITUTE(E2306,"$",""))</f>
        <v>1804.9</v>
      </c>
      <c r="G2306" s="1">
        <v>47</v>
      </c>
      <c r="H2306" s="1" t="str">
        <f t="shared" ref="H2306:H2369" si="146">IF(F2306&gt;800,"High",IF(F2306&gt;500,"Medium","Low"))</f>
        <v>High</v>
      </c>
      <c r="I2306" s="1" t="str">
        <f t="shared" ref="I2306:I2369" si="147">IF(AND(B2306="Australia",A2306="Mallorie Waber"),"Top Local","Other")</f>
        <v>Other</v>
      </c>
      <c r="J2306" s="1">
        <f t="shared" ref="J2306:J2369" si="148">SUMIF(A2306:A5586,"Mallorie Waber",F2306:F5586)</f>
        <v>218392.41000000003</v>
      </c>
    </row>
    <row r="2307" spans="1:10" ht="12.75">
      <c r="A2307" s="1" t="s">
        <v>12</v>
      </c>
      <c r="B2307" s="1" t="s">
        <v>42</v>
      </c>
      <c r="C2307" s="1" t="s">
        <v>126</v>
      </c>
      <c r="D2307" s="2">
        <v>45367</v>
      </c>
      <c r="E2307" s="1" t="s">
        <v>2104</v>
      </c>
      <c r="F2307" s="5">
        <f t="shared" si="145"/>
        <v>513.42999999999995</v>
      </c>
      <c r="G2307" s="1">
        <v>131</v>
      </c>
      <c r="H2307" s="1" t="str">
        <f t="shared" si="146"/>
        <v>Medium</v>
      </c>
      <c r="I2307" s="1" t="str">
        <f t="shared" si="147"/>
        <v>Other</v>
      </c>
      <c r="J2307" s="1">
        <f t="shared" si="148"/>
        <v>218392.41000000003</v>
      </c>
    </row>
    <row r="2308" spans="1:10" ht="12.75">
      <c r="A2308" s="1" t="s">
        <v>19</v>
      </c>
      <c r="B2308" s="1" t="s">
        <v>5</v>
      </c>
      <c r="C2308" s="1" t="s">
        <v>65</v>
      </c>
      <c r="D2308" s="2">
        <v>45343</v>
      </c>
      <c r="E2308" s="1" t="s">
        <v>2105</v>
      </c>
      <c r="F2308" s="5">
        <f t="shared" si="145"/>
        <v>13699.76</v>
      </c>
      <c r="G2308" s="1">
        <v>389</v>
      </c>
      <c r="H2308" s="1" t="str">
        <f t="shared" si="146"/>
        <v>High</v>
      </c>
      <c r="I2308" s="1" t="str">
        <f t="shared" si="147"/>
        <v>Other</v>
      </c>
      <c r="J2308" s="1">
        <f t="shared" si="148"/>
        <v>218392.41000000003</v>
      </c>
    </row>
    <row r="2309" spans="1:10" ht="12.75">
      <c r="A2309" s="1" t="s">
        <v>12</v>
      </c>
      <c r="B2309" s="1" t="s">
        <v>59</v>
      </c>
      <c r="C2309" s="1" t="s">
        <v>86</v>
      </c>
      <c r="D2309" s="2">
        <v>45338</v>
      </c>
      <c r="E2309" s="1" t="s">
        <v>2106</v>
      </c>
      <c r="F2309" s="5">
        <f t="shared" si="145"/>
        <v>19995.68</v>
      </c>
      <c r="G2309" s="1">
        <v>94</v>
      </c>
      <c r="H2309" s="1" t="str">
        <f t="shared" si="146"/>
        <v>High</v>
      </c>
      <c r="I2309" s="1" t="str">
        <f t="shared" si="147"/>
        <v>Other</v>
      </c>
      <c r="J2309" s="1">
        <f t="shared" si="148"/>
        <v>218392.41000000003</v>
      </c>
    </row>
    <row r="2310" spans="1:10" ht="12.75">
      <c r="A2310" s="1" t="s">
        <v>11</v>
      </c>
      <c r="B2310" s="1" t="s">
        <v>62</v>
      </c>
      <c r="C2310" s="1" t="s">
        <v>76</v>
      </c>
      <c r="D2310" s="2">
        <v>45304</v>
      </c>
      <c r="E2310" s="1" t="s">
        <v>2107</v>
      </c>
      <c r="F2310" s="5">
        <f t="shared" si="145"/>
        <v>2189.6999999999998</v>
      </c>
      <c r="G2310" s="1">
        <v>29</v>
      </c>
      <c r="H2310" s="1" t="str">
        <f t="shared" si="146"/>
        <v>High</v>
      </c>
      <c r="I2310" s="1" t="str">
        <f t="shared" si="147"/>
        <v>Other</v>
      </c>
      <c r="J2310" s="1">
        <f t="shared" si="148"/>
        <v>218392.41000000003</v>
      </c>
    </row>
    <row r="2311" spans="1:10" ht="12.75">
      <c r="A2311" s="1" t="s">
        <v>12</v>
      </c>
      <c r="B2311" s="1" t="s">
        <v>5</v>
      </c>
      <c r="C2311" s="1" t="s">
        <v>63</v>
      </c>
      <c r="D2311" s="2">
        <v>45374</v>
      </c>
      <c r="E2311" s="1" t="s">
        <v>2108</v>
      </c>
      <c r="F2311" s="5">
        <f t="shared" si="145"/>
        <v>8727.09</v>
      </c>
      <c r="G2311" s="1">
        <v>523</v>
      </c>
      <c r="H2311" s="1" t="str">
        <f t="shared" si="146"/>
        <v>High</v>
      </c>
      <c r="I2311" s="1" t="str">
        <f t="shared" si="147"/>
        <v>Other</v>
      </c>
      <c r="J2311" s="1">
        <f t="shared" si="148"/>
        <v>218392.41000000003</v>
      </c>
    </row>
    <row r="2312" spans="1:10" ht="12.75">
      <c r="A2312" s="1" t="s">
        <v>24</v>
      </c>
      <c r="B2312" s="1" t="s">
        <v>62</v>
      </c>
      <c r="C2312" s="1" t="s">
        <v>76</v>
      </c>
      <c r="D2312" s="2">
        <v>45459</v>
      </c>
      <c r="E2312" s="1" t="s">
        <v>2109</v>
      </c>
      <c r="F2312" s="5">
        <f t="shared" si="145"/>
        <v>911.46</v>
      </c>
      <c r="G2312" s="1">
        <v>126</v>
      </c>
      <c r="H2312" s="1" t="str">
        <f t="shared" si="146"/>
        <v>High</v>
      </c>
      <c r="I2312" s="1" t="str">
        <f t="shared" si="147"/>
        <v>Other</v>
      </c>
      <c r="J2312" s="1">
        <f t="shared" si="148"/>
        <v>218392.41000000003</v>
      </c>
    </row>
    <row r="2313" spans="1:10" ht="12.75">
      <c r="A2313" s="1" t="s">
        <v>22</v>
      </c>
      <c r="B2313" s="1" t="s">
        <v>42</v>
      </c>
      <c r="C2313" s="1" t="s">
        <v>100</v>
      </c>
      <c r="D2313" s="2">
        <v>45396</v>
      </c>
      <c r="E2313" s="1" t="s">
        <v>2110</v>
      </c>
      <c r="F2313" s="5">
        <f t="shared" si="145"/>
        <v>7620.86</v>
      </c>
      <c r="G2313" s="1">
        <v>46</v>
      </c>
      <c r="H2313" s="1" t="str">
        <f t="shared" si="146"/>
        <v>High</v>
      </c>
      <c r="I2313" s="1" t="str">
        <f t="shared" si="147"/>
        <v>Other</v>
      </c>
      <c r="J2313" s="1">
        <f t="shared" si="148"/>
        <v>218392.41000000003</v>
      </c>
    </row>
    <row r="2314" spans="1:10" ht="12.75">
      <c r="A2314" s="1" t="s">
        <v>12</v>
      </c>
      <c r="B2314" s="1" t="s">
        <v>39</v>
      </c>
      <c r="C2314" s="1" t="s">
        <v>63</v>
      </c>
      <c r="D2314" s="2">
        <v>45316</v>
      </c>
      <c r="E2314" s="1" t="s">
        <v>2111</v>
      </c>
      <c r="F2314" s="5">
        <f t="shared" si="145"/>
        <v>5054.5600000000004</v>
      </c>
      <c r="G2314" s="1">
        <v>60</v>
      </c>
      <c r="H2314" s="1" t="str">
        <f t="shared" si="146"/>
        <v>High</v>
      </c>
      <c r="I2314" s="1" t="str">
        <f t="shared" si="147"/>
        <v>Other</v>
      </c>
      <c r="J2314" s="1">
        <f t="shared" si="148"/>
        <v>218392.41000000003</v>
      </c>
    </row>
    <row r="2315" spans="1:10" ht="12.75">
      <c r="A2315" s="1" t="s">
        <v>15</v>
      </c>
      <c r="B2315" s="1" t="s">
        <v>42</v>
      </c>
      <c r="C2315" s="1" t="s">
        <v>91</v>
      </c>
      <c r="D2315" s="2">
        <v>45362</v>
      </c>
      <c r="E2315" s="1" t="s">
        <v>2112</v>
      </c>
      <c r="F2315" s="5">
        <f t="shared" si="145"/>
        <v>5230.5</v>
      </c>
      <c r="G2315" s="1">
        <v>23</v>
      </c>
      <c r="H2315" s="1" t="str">
        <f t="shared" si="146"/>
        <v>High</v>
      </c>
      <c r="I2315" s="1" t="str">
        <f t="shared" si="147"/>
        <v>Other</v>
      </c>
      <c r="J2315" s="1">
        <f t="shared" si="148"/>
        <v>218392.41000000003</v>
      </c>
    </row>
    <row r="2316" spans="1:10" ht="12.75">
      <c r="A2316" s="1" t="s">
        <v>21</v>
      </c>
      <c r="B2316" s="1" t="s">
        <v>39</v>
      </c>
      <c r="C2316" s="1" t="s">
        <v>91</v>
      </c>
      <c r="D2316" s="2">
        <v>45501</v>
      </c>
      <c r="E2316" s="1" t="s">
        <v>2113</v>
      </c>
      <c r="F2316" s="5">
        <f t="shared" si="145"/>
        <v>17104.04</v>
      </c>
      <c r="G2316" s="1">
        <v>103</v>
      </c>
      <c r="H2316" s="1" t="str">
        <f t="shared" si="146"/>
        <v>High</v>
      </c>
      <c r="I2316" s="1" t="str">
        <f t="shared" si="147"/>
        <v>Other</v>
      </c>
      <c r="J2316" s="1">
        <f t="shared" si="148"/>
        <v>218392.41000000003</v>
      </c>
    </row>
    <row r="2317" spans="1:10" ht="12.75">
      <c r="A2317" s="1" t="s">
        <v>14</v>
      </c>
      <c r="B2317" s="1" t="s">
        <v>54</v>
      </c>
      <c r="C2317" s="1" t="s">
        <v>52</v>
      </c>
      <c r="D2317" s="2">
        <v>45360</v>
      </c>
      <c r="E2317" s="1" t="s">
        <v>2114</v>
      </c>
      <c r="F2317" s="5">
        <f t="shared" si="145"/>
        <v>1642.32</v>
      </c>
      <c r="G2317" s="1">
        <v>43</v>
      </c>
      <c r="H2317" s="1" t="str">
        <f t="shared" si="146"/>
        <v>High</v>
      </c>
      <c r="I2317" s="1" t="str">
        <f t="shared" si="147"/>
        <v>Other</v>
      </c>
      <c r="J2317" s="1">
        <f t="shared" si="148"/>
        <v>218392.41000000003</v>
      </c>
    </row>
    <row r="2318" spans="1:10" ht="12.75">
      <c r="A2318" s="1" t="s">
        <v>13</v>
      </c>
      <c r="B2318" s="1" t="s">
        <v>5</v>
      </c>
      <c r="C2318" s="1" t="s">
        <v>60</v>
      </c>
      <c r="D2318" s="2">
        <v>45471</v>
      </c>
      <c r="E2318" s="1" t="s">
        <v>2115</v>
      </c>
      <c r="F2318" s="5">
        <f t="shared" si="145"/>
        <v>10322.19</v>
      </c>
      <c r="G2318" s="1">
        <v>182</v>
      </c>
      <c r="H2318" s="1" t="str">
        <f t="shared" si="146"/>
        <v>High</v>
      </c>
      <c r="I2318" s="1" t="str">
        <f t="shared" si="147"/>
        <v>Other</v>
      </c>
      <c r="J2318" s="1">
        <f t="shared" si="148"/>
        <v>218392.41000000003</v>
      </c>
    </row>
    <row r="2319" spans="1:10" ht="12.75">
      <c r="A2319" s="1" t="s">
        <v>14</v>
      </c>
      <c r="B2319" s="1" t="s">
        <v>5</v>
      </c>
      <c r="C2319" s="1" t="s">
        <v>72</v>
      </c>
      <c r="D2319" s="2">
        <v>45501</v>
      </c>
      <c r="E2319" s="1" t="s">
        <v>2116</v>
      </c>
      <c r="F2319" s="5">
        <f t="shared" si="145"/>
        <v>2715.92</v>
      </c>
      <c r="G2319" s="1">
        <v>423</v>
      </c>
      <c r="H2319" s="1" t="str">
        <f t="shared" si="146"/>
        <v>High</v>
      </c>
      <c r="I2319" s="1" t="str">
        <f t="shared" si="147"/>
        <v>Other</v>
      </c>
      <c r="J2319" s="1">
        <f t="shared" si="148"/>
        <v>218392.41000000003</v>
      </c>
    </row>
    <row r="2320" spans="1:10" ht="12.75">
      <c r="A2320" s="1" t="s">
        <v>12</v>
      </c>
      <c r="B2320" s="1" t="s">
        <v>62</v>
      </c>
      <c r="C2320" s="1" t="s">
        <v>51</v>
      </c>
      <c r="D2320" s="2">
        <v>45519</v>
      </c>
      <c r="E2320" s="1" t="s">
        <v>2117</v>
      </c>
      <c r="F2320" s="5">
        <f t="shared" si="145"/>
        <v>5598.05</v>
      </c>
      <c r="G2320" s="1">
        <v>51</v>
      </c>
      <c r="H2320" s="1" t="str">
        <f t="shared" si="146"/>
        <v>High</v>
      </c>
      <c r="I2320" s="1" t="str">
        <f t="shared" si="147"/>
        <v>Other</v>
      </c>
      <c r="J2320" s="1">
        <f t="shared" si="148"/>
        <v>218392.41000000003</v>
      </c>
    </row>
    <row r="2321" spans="1:10" ht="12.75">
      <c r="A2321" s="1" t="s">
        <v>8</v>
      </c>
      <c r="B2321" s="1" t="s">
        <v>5</v>
      </c>
      <c r="C2321" s="1" t="s">
        <v>86</v>
      </c>
      <c r="D2321" s="2">
        <v>45303</v>
      </c>
      <c r="E2321" s="1" t="s">
        <v>2118</v>
      </c>
      <c r="F2321" s="5">
        <f t="shared" si="145"/>
        <v>2996.99</v>
      </c>
      <c r="G2321" s="1">
        <v>280</v>
      </c>
      <c r="H2321" s="1" t="str">
        <f t="shared" si="146"/>
        <v>High</v>
      </c>
      <c r="I2321" s="1" t="str">
        <f t="shared" si="147"/>
        <v>Other</v>
      </c>
      <c r="J2321" s="1">
        <f t="shared" si="148"/>
        <v>218392.41000000003</v>
      </c>
    </row>
    <row r="2322" spans="1:10" ht="12.75">
      <c r="A2322" s="1" t="s">
        <v>28</v>
      </c>
      <c r="B2322" s="1" t="s">
        <v>54</v>
      </c>
      <c r="C2322" s="1" t="s">
        <v>84</v>
      </c>
      <c r="D2322" s="2">
        <v>45375</v>
      </c>
      <c r="E2322" s="1" t="s">
        <v>2119</v>
      </c>
      <c r="F2322" s="5">
        <f t="shared" si="145"/>
        <v>7946.49</v>
      </c>
      <c r="G2322" s="1">
        <v>7</v>
      </c>
      <c r="H2322" s="1" t="str">
        <f t="shared" si="146"/>
        <v>High</v>
      </c>
      <c r="I2322" s="1" t="str">
        <f t="shared" si="147"/>
        <v>Other</v>
      </c>
      <c r="J2322" s="1">
        <f t="shared" si="148"/>
        <v>218392.41000000003</v>
      </c>
    </row>
    <row r="2323" spans="1:10" ht="12.75">
      <c r="A2323" s="1" t="s">
        <v>10</v>
      </c>
      <c r="B2323" s="1" t="s">
        <v>39</v>
      </c>
      <c r="C2323" s="1" t="s">
        <v>72</v>
      </c>
      <c r="D2323" s="2">
        <v>45498</v>
      </c>
      <c r="E2323" s="1" t="s">
        <v>2120</v>
      </c>
      <c r="F2323" s="5">
        <f t="shared" si="145"/>
        <v>4991.22</v>
      </c>
      <c r="G2323" s="1">
        <v>92</v>
      </c>
      <c r="H2323" s="1" t="str">
        <f t="shared" si="146"/>
        <v>High</v>
      </c>
      <c r="I2323" s="1" t="str">
        <f t="shared" si="147"/>
        <v>Other</v>
      </c>
      <c r="J2323" s="1">
        <f t="shared" si="148"/>
        <v>218392.41000000003</v>
      </c>
    </row>
    <row r="2324" spans="1:10" ht="12.75">
      <c r="A2324" s="1" t="s">
        <v>22</v>
      </c>
      <c r="B2324" s="1" t="s">
        <v>62</v>
      </c>
      <c r="C2324" s="1" t="s">
        <v>51</v>
      </c>
      <c r="D2324" s="2">
        <v>45505</v>
      </c>
      <c r="E2324" s="1" t="s">
        <v>2121</v>
      </c>
      <c r="F2324" s="5">
        <f t="shared" si="145"/>
        <v>4151.7</v>
      </c>
      <c r="G2324" s="1">
        <v>424</v>
      </c>
      <c r="H2324" s="1" t="str">
        <f t="shared" si="146"/>
        <v>High</v>
      </c>
      <c r="I2324" s="1" t="str">
        <f t="shared" si="147"/>
        <v>Other</v>
      </c>
      <c r="J2324" s="1">
        <f t="shared" si="148"/>
        <v>218392.41000000003</v>
      </c>
    </row>
    <row r="2325" spans="1:10" ht="12.75">
      <c r="A2325" s="1" t="s">
        <v>10</v>
      </c>
      <c r="B2325" s="1" t="s">
        <v>42</v>
      </c>
      <c r="C2325" s="1" t="s">
        <v>68</v>
      </c>
      <c r="D2325" s="2">
        <v>45428</v>
      </c>
      <c r="E2325" s="1" t="s">
        <v>2122</v>
      </c>
      <c r="F2325" s="5">
        <f t="shared" si="145"/>
        <v>22701.85</v>
      </c>
      <c r="G2325" s="1">
        <v>168</v>
      </c>
      <c r="H2325" s="1" t="str">
        <f t="shared" si="146"/>
        <v>High</v>
      </c>
      <c r="I2325" s="1" t="str">
        <f t="shared" si="147"/>
        <v>Other</v>
      </c>
      <c r="J2325" s="1">
        <f t="shared" si="148"/>
        <v>218392.41000000003</v>
      </c>
    </row>
    <row r="2326" spans="1:10" ht="12.75">
      <c r="A2326" s="1" t="s">
        <v>26</v>
      </c>
      <c r="B2326" s="1" t="s">
        <v>42</v>
      </c>
      <c r="C2326" s="1" t="s">
        <v>49</v>
      </c>
      <c r="D2326" s="2">
        <v>45514</v>
      </c>
      <c r="E2326" s="1" t="s">
        <v>2123</v>
      </c>
      <c r="F2326" s="5">
        <f t="shared" si="145"/>
        <v>6014.3</v>
      </c>
      <c r="G2326" s="1">
        <v>141</v>
      </c>
      <c r="H2326" s="1" t="str">
        <f t="shared" si="146"/>
        <v>High</v>
      </c>
      <c r="I2326" s="1" t="str">
        <f t="shared" si="147"/>
        <v>Other</v>
      </c>
      <c r="J2326" s="1">
        <f t="shared" si="148"/>
        <v>218392.41000000003</v>
      </c>
    </row>
    <row r="2327" spans="1:10" ht="12.75">
      <c r="A2327" s="1" t="s">
        <v>15</v>
      </c>
      <c r="B2327" s="1" t="s">
        <v>42</v>
      </c>
      <c r="C2327" s="1" t="s">
        <v>63</v>
      </c>
      <c r="D2327" s="2">
        <v>45296</v>
      </c>
      <c r="E2327" s="1" t="s">
        <v>2124</v>
      </c>
      <c r="F2327" s="5">
        <f t="shared" si="145"/>
        <v>2788.6</v>
      </c>
      <c r="G2327" s="1">
        <v>27</v>
      </c>
      <c r="H2327" s="1" t="str">
        <f t="shared" si="146"/>
        <v>High</v>
      </c>
      <c r="I2327" s="1" t="str">
        <f t="shared" si="147"/>
        <v>Other</v>
      </c>
      <c r="J2327" s="1">
        <f t="shared" si="148"/>
        <v>218392.41000000003</v>
      </c>
    </row>
    <row r="2328" spans="1:10" ht="12.75">
      <c r="A2328" s="1" t="s">
        <v>17</v>
      </c>
      <c r="B2328" s="1" t="s">
        <v>39</v>
      </c>
      <c r="C2328" s="1" t="s">
        <v>49</v>
      </c>
      <c r="D2328" s="2">
        <v>45484</v>
      </c>
      <c r="E2328" s="1" t="s">
        <v>2125</v>
      </c>
      <c r="F2328" s="5">
        <f t="shared" si="145"/>
        <v>6503.75</v>
      </c>
      <c r="G2328" s="1">
        <v>116</v>
      </c>
      <c r="H2328" s="1" t="str">
        <f t="shared" si="146"/>
        <v>High</v>
      </c>
      <c r="I2328" s="1" t="str">
        <f t="shared" si="147"/>
        <v>Other</v>
      </c>
      <c r="J2328" s="1">
        <f t="shared" si="148"/>
        <v>218392.41000000003</v>
      </c>
    </row>
    <row r="2329" spans="1:10" ht="12.75">
      <c r="A2329" s="1" t="s">
        <v>29</v>
      </c>
      <c r="B2329" s="1" t="s">
        <v>59</v>
      </c>
      <c r="C2329" s="1" t="s">
        <v>52</v>
      </c>
      <c r="D2329" s="2">
        <v>45407</v>
      </c>
      <c r="E2329" s="1" t="s">
        <v>2126</v>
      </c>
      <c r="F2329" s="5">
        <f t="shared" si="145"/>
        <v>433.92</v>
      </c>
      <c r="G2329" s="1">
        <v>31</v>
      </c>
      <c r="H2329" s="1" t="str">
        <f t="shared" si="146"/>
        <v>Low</v>
      </c>
      <c r="I2329" s="1" t="str">
        <f t="shared" si="147"/>
        <v>Other</v>
      </c>
      <c r="J2329" s="1">
        <f t="shared" si="148"/>
        <v>218392.41000000003</v>
      </c>
    </row>
    <row r="2330" spans="1:10" ht="12.75">
      <c r="A2330" s="1" t="s">
        <v>20</v>
      </c>
      <c r="B2330" s="1" t="s">
        <v>54</v>
      </c>
      <c r="C2330" s="1" t="s">
        <v>81</v>
      </c>
      <c r="D2330" s="2">
        <v>45386</v>
      </c>
      <c r="E2330" s="1" t="s">
        <v>2127</v>
      </c>
      <c r="F2330" s="5">
        <f t="shared" si="145"/>
        <v>12314.13</v>
      </c>
      <c r="G2330" s="1">
        <v>129</v>
      </c>
      <c r="H2330" s="1" t="str">
        <f t="shared" si="146"/>
        <v>High</v>
      </c>
      <c r="I2330" s="1" t="str">
        <f t="shared" si="147"/>
        <v>Other</v>
      </c>
      <c r="J2330" s="1">
        <f t="shared" si="148"/>
        <v>218392.41000000003</v>
      </c>
    </row>
    <row r="2331" spans="1:10" ht="12.75">
      <c r="A2331" s="1" t="s">
        <v>16</v>
      </c>
      <c r="B2331" s="1" t="s">
        <v>59</v>
      </c>
      <c r="C2331" s="1" t="s">
        <v>100</v>
      </c>
      <c r="D2331" s="2">
        <v>45394</v>
      </c>
      <c r="E2331" s="1" t="s">
        <v>2128</v>
      </c>
      <c r="F2331" s="5">
        <f t="shared" si="145"/>
        <v>9876.86</v>
      </c>
      <c r="G2331" s="1">
        <v>106</v>
      </c>
      <c r="H2331" s="1" t="str">
        <f t="shared" si="146"/>
        <v>High</v>
      </c>
      <c r="I2331" s="1" t="str">
        <f t="shared" si="147"/>
        <v>Other</v>
      </c>
      <c r="J2331" s="1">
        <f t="shared" si="148"/>
        <v>218392.41000000003</v>
      </c>
    </row>
    <row r="2332" spans="1:10" ht="12.75">
      <c r="A2332" s="1" t="s">
        <v>29</v>
      </c>
      <c r="B2332" s="1" t="s">
        <v>54</v>
      </c>
      <c r="C2332" s="1" t="s">
        <v>43</v>
      </c>
      <c r="D2332" s="2">
        <v>45506</v>
      </c>
      <c r="E2332" s="1" t="s">
        <v>2129</v>
      </c>
      <c r="F2332" s="5">
        <f t="shared" si="145"/>
        <v>2043.06</v>
      </c>
      <c r="G2332" s="1">
        <v>121</v>
      </c>
      <c r="H2332" s="1" t="str">
        <f t="shared" si="146"/>
        <v>High</v>
      </c>
      <c r="I2332" s="1" t="str">
        <f t="shared" si="147"/>
        <v>Other</v>
      </c>
      <c r="J2332" s="1">
        <f t="shared" si="148"/>
        <v>218392.41000000003</v>
      </c>
    </row>
    <row r="2333" spans="1:10" ht="12.75">
      <c r="A2333" s="1" t="s">
        <v>20</v>
      </c>
      <c r="B2333" s="1" t="s">
        <v>54</v>
      </c>
      <c r="C2333" s="1" t="s">
        <v>86</v>
      </c>
      <c r="D2333" s="2">
        <v>45471</v>
      </c>
      <c r="E2333" s="1" t="s">
        <v>2130</v>
      </c>
      <c r="F2333" s="5">
        <f t="shared" si="145"/>
        <v>8728.7999999999993</v>
      </c>
      <c r="G2333" s="1">
        <v>272</v>
      </c>
      <c r="H2333" s="1" t="str">
        <f t="shared" si="146"/>
        <v>High</v>
      </c>
      <c r="I2333" s="1" t="str">
        <f t="shared" si="147"/>
        <v>Other</v>
      </c>
      <c r="J2333" s="1">
        <f t="shared" si="148"/>
        <v>218392.41000000003</v>
      </c>
    </row>
    <row r="2334" spans="1:10" ht="12.75">
      <c r="A2334" s="1" t="s">
        <v>17</v>
      </c>
      <c r="B2334" s="1" t="s">
        <v>5</v>
      </c>
      <c r="C2334" s="1" t="s">
        <v>63</v>
      </c>
      <c r="D2334" s="2">
        <v>45478</v>
      </c>
      <c r="E2334" s="1" t="s">
        <v>2131</v>
      </c>
      <c r="F2334" s="5">
        <f t="shared" si="145"/>
        <v>4906.57</v>
      </c>
      <c r="G2334" s="1">
        <v>128</v>
      </c>
      <c r="H2334" s="1" t="str">
        <f t="shared" si="146"/>
        <v>High</v>
      </c>
      <c r="I2334" s="1" t="str">
        <f t="shared" si="147"/>
        <v>Other</v>
      </c>
      <c r="J2334" s="1">
        <f t="shared" si="148"/>
        <v>218392.41000000003</v>
      </c>
    </row>
    <row r="2335" spans="1:10" ht="12.75">
      <c r="A2335" s="1" t="s">
        <v>19</v>
      </c>
      <c r="B2335" s="1" t="s">
        <v>54</v>
      </c>
      <c r="C2335" s="1" t="s">
        <v>102</v>
      </c>
      <c r="D2335" s="2">
        <v>45450</v>
      </c>
      <c r="E2335" s="1" t="s">
        <v>2132</v>
      </c>
      <c r="F2335" s="5">
        <f t="shared" si="145"/>
        <v>2278.06</v>
      </c>
      <c r="G2335" s="1">
        <v>49</v>
      </c>
      <c r="H2335" s="1" t="str">
        <f t="shared" si="146"/>
        <v>High</v>
      </c>
      <c r="I2335" s="1" t="str">
        <f t="shared" si="147"/>
        <v>Other</v>
      </c>
      <c r="J2335" s="1">
        <f t="shared" si="148"/>
        <v>218392.41000000003</v>
      </c>
    </row>
    <row r="2336" spans="1:10" ht="12.75">
      <c r="A2336" s="1" t="s">
        <v>7</v>
      </c>
      <c r="B2336" s="1" t="s">
        <v>54</v>
      </c>
      <c r="C2336" s="1" t="s">
        <v>49</v>
      </c>
      <c r="D2336" s="2">
        <v>45309</v>
      </c>
      <c r="E2336" s="1" t="s">
        <v>2133</v>
      </c>
      <c r="F2336" s="5">
        <f t="shared" si="145"/>
        <v>1108.18</v>
      </c>
      <c r="G2336" s="1">
        <v>27</v>
      </c>
      <c r="H2336" s="1" t="str">
        <f t="shared" si="146"/>
        <v>High</v>
      </c>
      <c r="I2336" s="1" t="str">
        <f t="shared" si="147"/>
        <v>Other</v>
      </c>
      <c r="J2336" s="1">
        <f t="shared" si="148"/>
        <v>218392.41000000003</v>
      </c>
    </row>
    <row r="2337" spans="1:10" ht="12.75">
      <c r="A2337" s="1" t="s">
        <v>7</v>
      </c>
      <c r="B2337" s="1" t="s">
        <v>5</v>
      </c>
      <c r="C2337" s="1" t="s">
        <v>122</v>
      </c>
      <c r="D2337" s="2">
        <v>45295</v>
      </c>
      <c r="E2337" s="1" t="s">
        <v>2134</v>
      </c>
      <c r="F2337" s="5">
        <f t="shared" si="145"/>
        <v>14957.65</v>
      </c>
      <c r="G2337" s="1">
        <v>206</v>
      </c>
      <c r="H2337" s="1" t="str">
        <f t="shared" si="146"/>
        <v>High</v>
      </c>
      <c r="I2337" s="1" t="str">
        <f t="shared" si="147"/>
        <v>Other</v>
      </c>
      <c r="J2337" s="1">
        <f t="shared" si="148"/>
        <v>218392.41000000003</v>
      </c>
    </row>
    <row r="2338" spans="1:10" ht="12.75">
      <c r="A2338" s="1" t="s">
        <v>6</v>
      </c>
      <c r="B2338" s="1" t="s">
        <v>5</v>
      </c>
      <c r="C2338" s="1" t="s">
        <v>51</v>
      </c>
      <c r="D2338" s="2">
        <v>45322</v>
      </c>
      <c r="E2338" s="1" t="s">
        <v>2135</v>
      </c>
      <c r="F2338" s="5">
        <f t="shared" si="145"/>
        <v>3020.67</v>
      </c>
      <c r="G2338" s="1">
        <v>19</v>
      </c>
      <c r="H2338" s="1" t="str">
        <f t="shared" si="146"/>
        <v>High</v>
      </c>
      <c r="I2338" s="1" t="str">
        <f t="shared" si="147"/>
        <v>Other</v>
      </c>
      <c r="J2338" s="1">
        <f t="shared" si="148"/>
        <v>218392.41000000003</v>
      </c>
    </row>
    <row r="2339" spans="1:10" ht="12.75">
      <c r="A2339" s="1" t="s">
        <v>12</v>
      </c>
      <c r="B2339" s="1" t="s">
        <v>42</v>
      </c>
      <c r="C2339" s="1" t="s">
        <v>91</v>
      </c>
      <c r="D2339" s="2">
        <v>45365</v>
      </c>
      <c r="E2339" s="1" t="s">
        <v>2136</v>
      </c>
      <c r="F2339" s="5">
        <f t="shared" si="145"/>
        <v>3677.47</v>
      </c>
      <c r="G2339" s="1">
        <v>152</v>
      </c>
      <c r="H2339" s="1" t="str">
        <f t="shared" si="146"/>
        <v>High</v>
      </c>
      <c r="I2339" s="1" t="str">
        <f t="shared" si="147"/>
        <v>Other</v>
      </c>
      <c r="J2339" s="1">
        <f t="shared" si="148"/>
        <v>218392.41000000003</v>
      </c>
    </row>
    <row r="2340" spans="1:10" ht="12.75">
      <c r="A2340" s="1" t="s">
        <v>25</v>
      </c>
      <c r="B2340" s="1" t="s">
        <v>5</v>
      </c>
      <c r="C2340" s="1" t="s">
        <v>147</v>
      </c>
      <c r="D2340" s="2">
        <v>45411</v>
      </c>
      <c r="E2340" s="1" t="s">
        <v>2137</v>
      </c>
      <c r="F2340" s="5">
        <f t="shared" si="145"/>
        <v>6999.62</v>
      </c>
      <c r="G2340" s="1">
        <v>500</v>
      </c>
      <c r="H2340" s="1" t="str">
        <f t="shared" si="146"/>
        <v>High</v>
      </c>
      <c r="I2340" s="1" t="str">
        <f t="shared" si="147"/>
        <v>Other</v>
      </c>
      <c r="J2340" s="1">
        <f t="shared" si="148"/>
        <v>218392.41000000003</v>
      </c>
    </row>
    <row r="2341" spans="1:10" ht="12.75">
      <c r="A2341" s="1" t="s">
        <v>22</v>
      </c>
      <c r="B2341" s="1" t="s">
        <v>42</v>
      </c>
      <c r="C2341" s="1" t="s">
        <v>49</v>
      </c>
      <c r="D2341" s="2">
        <v>45329</v>
      </c>
      <c r="E2341" s="1" t="s">
        <v>2138</v>
      </c>
      <c r="F2341" s="5">
        <f t="shared" si="145"/>
        <v>10901.65</v>
      </c>
      <c r="G2341" s="1">
        <v>116</v>
      </c>
      <c r="H2341" s="1" t="str">
        <f t="shared" si="146"/>
        <v>High</v>
      </c>
      <c r="I2341" s="1" t="str">
        <f t="shared" si="147"/>
        <v>Other</v>
      </c>
      <c r="J2341" s="1">
        <f t="shared" si="148"/>
        <v>218392.41000000003</v>
      </c>
    </row>
    <row r="2342" spans="1:10" ht="12.75">
      <c r="A2342" s="1" t="s">
        <v>8</v>
      </c>
      <c r="B2342" s="1" t="s">
        <v>39</v>
      </c>
      <c r="C2342" s="1" t="s">
        <v>68</v>
      </c>
      <c r="D2342" s="2">
        <v>45382</v>
      </c>
      <c r="E2342" s="1" t="s">
        <v>2139</v>
      </c>
      <c r="F2342" s="5">
        <f t="shared" si="145"/>
        <v>2586.62</v>
      </c>
      <c r="G2342" s="1">
        <v>172</v>
      </c>
      <c r="H2342" s="1" t="str">
        <f t="shared" si="146"/>
        <v>High</v>
      </c>
      <c r="I2342" s="1" t="str">
        <f t="shared" si="147"/>
        <v>Other</v>
      </c>
      <c r="J2342" s="1">
        <f t="shared" si="148"/>
        <v>218392.41000000003</v>
      </c>
    </row>
    <row r="2343" spans="1:10" ht="12.75">
      <c r="A2343" s="1" t="s">
        <v>14</v>
      </c>
      <c r="B2343" s="1" t="s">
        <v>42</v>
      </c>
      <c r="C2343" s="1" t="s">
        <v>126</v>
      </c>
      <c r="D2343" s="2">
        <v>45367</v>
      </c>
      <c r="E2343" s="1" t="s">
        <v>2140</v>
      </c>
      <c r="F2343" s="5">
        <f t="shared" si="145"/>
        <v>5077.5</v>
      </c>
      <c r="G2343" s="1">
        <v>81</v>
      </c>
      <c r="H2343" s="1" t="str">
        <f t="shared" si="146"/>
        <v>High</v>
      </c>
      <c r="I2343" s="1" t="str">
        <f t="shared" si="147"/>
        <v>Other</v>
      </c>
      <c r="J2343" s="1">
        <f t="shared" si="148"/>
        <v>218392.41000000003</v>
      </c>
    </row>
    <row r="2344" spans="1:10" ht="12.75">
      <c r="A2344" s="1" t="s">
        <v>18</v>
      </c>
      <c r="B2344" s="1" t="s">
        <v>39</v>
      </c>
      <c r="C2344" s="1" t="s">
        <v>63</v>
      </c>
      <c r="D2344" s="2">
        <v>45316</v>
      </c>
      <c r="E2344" s="1" t="s">
        <v>2141</v>
      </c>
      <c r="F2344" s="5">
        <f t="shared" si="145"/>
        <v>8360.11</v>
      </c>
      <c r="G2344" s="1">
        <v>203</v>
      </c>
      <c r="H2344" s="1" t="str">
        <f t="shared" si="146"/>
        <v>High</v>
      </c>
      <c r="I2344" s="1" t="str">
        <f t="shared" si="147"/>
        <v>Other</v>
      </c>
      <c r="J2344" s="1">
        <f t="shared" si="148"/>
        <v>218392.41000000003</v>
      </c>
    </row>
    <row r="2345" spans="1:10" ht="12.75">
      <c r="A2345" s="1" t="s">
        <v>10</v>
      </c>
      <c r="B2345" s="1" t="s">
        <v>42</v>
      </c>
      <c r="C2345" s="1" t="s">
        <v>122</v>
      </c>
      <c r="D2345" s="2">
        <v>45463</v>
      </c>
      <c r="E2345" s="1" t="s">
        <v>2142</v>
      </c>
      <c r="F2345" s="5">
        <f t="shared" si="145"/>
        <v>3566.77</v>
      </c>
      <c r="G2345" s="1">
        <v>426</v>
      </c>
      <c r="H2345" s="1" t="str">
        <f t="shared" si="146"/>
        <v>High</v>
      </c>
      <c r="I2345" s="1" t="str">
        <f t="shared" si="147"/>
        <v>Other</v>
      </c>
      <c r="J2345" s="1">
        <f t="shared" si="148"/>
        <v>218392.41000000003</v>
      </c>
    </row>
    <row r="2346" spans="1:10" ht="12.75">
      <c r="A2346" s="1" t="s">
        <v>20</v>
      </c>
      <c r="B2346" s="1" t="s">
        <v>39</v>
      </c>
      <c r="C2346" s="1" t="s">
        <v>52</v>
      </c>
      <c r="D2346" s="2">
        <v>45380</v>
      </c>
      <c r="E2346" s="1" t="s">
        <v>2143</v>
      </c>
      <c r="F2346" s="5">
        <f t="shared" si="145"/>
        <v>9186.69</v>
      </c>
      <c r="G2346" s="1">
        <v>173</v>
      </c>
      <c r="H2346" s="1" t="str">
        <f t="shared" si="146"/>
        <v>High</v>
      </c>
      <c r="I2346" s="1" t="str">
        <f t="shared" si="147"/>
        <v>Other</v>
      </c>
      <c r="J2346" s="1">
        <f t="shared" si="148"/>
        <v>218392.41000000003</v>
      </c>
    </row>
    <row r="2347" spans="1:10" ht="12.75">
      <c r="A2347" s="1" t="s">
        <v>24</v>
      </c>
      <c r="B2347" s="1" t="s">
        <v>5</v>
      </c>
      <c r="C2347" s="1" t="s">
        <v>60</v>
      </c>
      <c r="D2347" s="2">
        <v>45485</v>
      </c>
      <c r="E2347" s="1" t="s">
        <v>2144</v>
      </c>
      <c r="F2347" s="5">
        <f t="shared" si="145"/>
        <v>917.35</v>
      </c>
      <c r="G2347" s="1">
        <v>140</v>
      </c>
      <c r="H2347" s="1" t="str">
        <f t="shared" si="146"/>
        <v>High</v>
      </c>
      <c r="I2347" s="1" t="str">
        <f t="shared" si="147"/>
        <v>Other</v>
      </c>
      <c r="J2347" s="1">
        <f t="shared" si="148"/>
        <v>218392.41000000003</v>
      </c>
    </row>
    <row r="2348" spans="1:10" ht="12.75">
      <c r="A2348" s="1" t="s">
        <v>11</v>
      </c>
      <c r="B2348" s="1" t="s">
        <v>62</v>
      </c>
      <c r="C2348" s="1" t="s">
        <v>49</v>
      </c>
      <c r="D2348" s="2">
        <v>45484</v>
      </c>
      <c r="E2348" s="1" t="s">
        <v>2145</v>
      </c>
      <c r="F2348" s="5">
        <f t="shared" si="145"/>
        <v>6199.12</v>
      </c>
      <c r="G2348" s="1">
        <v>132</v>
      </c>
      <c r="H2348" s="1" t="str">
        <f t="shared" si="146"/>
        <v>High</v>
      </c>
      <c r="I2348" s="1" t="str">
        <f t="shared" si="147"/>
        <v>Other</v>
      </c>
      <c r="J2348" s="1">
        <f t="shared" si="148"/>
        <v>218392.41000000003</v>
      </c>
    </row>
    <row r="2349" spans="1:10" ht="12.75">
      <c r="A2349" s="1" t="s">
        <v>18</v>
      </c>
      <c r="B2349" s="1" t="s">
        <v>62</v>
      </c>
      <c r="C2349" s="1" t="s">
        <v>49</v>
      </c>
      <c r="D2349" s="2">
        <v>45310</v>
      </c>
      <c r="E2349" s="1" t="s">
        <v>2146</v>
      </c>
      <c r="F2349" s="5">
        <f t="shared" si="145"/>
        <v>3368.63</v>
      </c>
      <c r="G2349" s="1">
        <v>180</v>
      </c>
      <c r="H2349" s="1" t="str">
        <f t="shared" si="146"/>
        <v>High</v>
      </c>
      <c r="I2349" s="1" t="str">
        <f t="shared" si="147"/>
        <v>Other</v>
      </c>
      <c r="J2349" s="1">
        <f t="shared" si="148"/>
        <v>218392.41000000003</v>
      </c>
    </row>
    <row r="2350" spans="1:10" ht="12.75">
      <c r="A2350" s="1" t="s">
        <v>27</v>
      </c>
      <c r="B2350" s="1" t="s">
        <v>59</v>
      </c>
      <c r="C2350" s="1" t="s">
        <v>43</v>
      </c>
      <c r="D2350" s="2">
        <v>45387</v>
      </c>
      <c r="E2350" s="1" t="s">
        <v>2147</v>
      </c>
      <c r="F2350" s="5">
        <f t="shared" si="145"/>
        <v>10527.23</v>
      </c>
      <c r="G2350" s="1">
        <v>82</v>
      </c>
      <c r="H2350" s="1" t="str">
        <f t="shared" si="146"/>
        <v>High</v>
      </c>
      <c r="I2350" s="1" t="str">
        <f t="shared" si="147"/>
        <v>Other</v>
      </c>
      <c r="J2350" s="1">
        <f t="shared" si="148"/>
        <v>218392.41000000003</v>
      </c>
    </row>
    <row r="2351" spans="1:10" ht="12.75">
      <c r="A2351" s="1" t="s">
        <v>11</v>
      </c>
      <c r="B2351" s="1" t="s">
        <v>62</v>
      </c>
      <c r="C2351" s="1" t="s">
        <v>72</v>
      </c>
      <c r="D2351" s="2">
        <v>45343</v>
      </c>
      <c r="E2351" s="1" t="s">
        <v>2148</v>
      </c>
      <c r="F2351" s="5">
        <f t="shared" si="145"/>
        <v>7927.57</v>
      </c>
      <c r="G2351" s="1">
        <v>12</v>
      </c>
      <c r="H2351" s="1" t="str">
        <f t="shared" si="146"/>
        <v>High</v>
      </c>
      <c r="I2351" s="1" t="str">
        <f t="shared" si="147"/>
        <v>Other</v>
      </c>
      <c r="J2351" s="1">
        <f t="shared" si="148"/>
        <v>218392.41000000003</v>
      </c>
    </row>
    <row r="2352" spans="1:10" ht="12.75">
      <c r="A2352" s="1" t="s">
        <v>19</v>
      </c>
      <c r="B2352" s="1" t="s">
        <v>54</v>
      </c>
      <c r="C2352" s="1" t="s">
        <v>126</v>
      </c>
      <c r="D2352" s="2">
        <v>45432</v>
      </c>
      <c r="E2352" s="1" t="s">
        <v>2149</v>
      </c>
      <c r="F2352" s="5">
        <f t="shared" si="145"/>
        <v>14493.5</v>
      </c>
      <c r="G2352" s="1">
        <v>15</v>
      </c>
      <c r="H2352" s="1" t="str">
        <f t="shared" si="146"/>
        <v>High</v>
      </c>
      <c r="I2352" s="1" t="str">
        <f t="shared" si="147"/>
        <v>Other</v>
      </c>
      <c r="J2352" s="1">
        <f t="shared" si="148"/>
        <v>218392.41000000003</v>
      </c>
    </row>
    <row r="2353" spans="1:10" ht="12.75">
      <c r="A2353" s="1" t="s">
        <v>2</v>
      </c>
      <c r="B2353" s="1" t="s">
        <v>5</v>
      </c>
      <c r="C2353" s="1" t="s">
        <v>72</v>
      </c>
      <c r="D2353" s="2">
        <v>45502</v>
      </c>
      <c r="E2353" s="1" t="s">
        <v>2150</v>
      </c>
      <c r="F2353" s="5">
        <f t="shared" si="145"/>
        <v>3112.2</v>
      </c>
      <c r="G2353" s="1">
        <v>107</v>
      </c>
      <c r="H2353" s="1" t="str">
        <f t="shared" si="146"/>
        <v>High</v>
      </c>
      <c r="I2353" s="1" t="str">
        <f t="shared" si="147"/>
        <v>Top Local</v>
      </c>
      <c r="J2353" s="1">
        <f t="shared" si="148"/>
        <v>218392.41000000003</v>
      </c>
    </row>
    <row r="2354" spans="1:10" ht="12.75">
      <c r="A2354" s="1" t="s">
        <v>16</v>
      </c>
      <c r="B2354" s="1" t="s">
        <v>59</v>
      </c>
      <c r="C2354" s="1" t="s">
        <v>81</v>
      </c>
      <c r="D2354" s="2">
        <v>45319</v>
      </c>
      <c r="E2354" s="1" t="s">
        <v>2151</v>
      </c>
      <c r="F2354" s="5">
        <f t="shared" si="145"/>
        <v>9617.64</v>
      </c>
      <c r="G2354" s="1">
        <v>44</v>
      </c>
      <c r="H2354" s="1" t="str">
        <f t="shared" si="146"/>
        <v>High</v>
      </c>
      <c r="I2354" s="1" t="str">
        <f t="shared" si="147"/>
        <v>Other</v>
      </c>
      <c r="J2354" s="1">
        <f t="shared" si="148"/>
        <v>215280.21000000002</v>
      </c>
    </row>
    <row r="2355" spans="1:10" ht="12.75">
      <c r="A2355" s="1" t="s">
        <v>14</v>
      </c>
      <c r="B2355" s="1" t="s">
        <v>39</v>
      </c>
      <c r="C2355" s="1" t="s">
        <v>126</v>
      </c>
      <c r="D2355" s="2">
        <v>45492</v>
      </c>
      <c r="E2355" s="1" t="s">
        <v>2152</v>
      </c>
      <c r="F2355" s="5">
        <f t="shared" si="145"/>
        <v>4198.08</v>
      </c>
      <c r="G2355" s="1">
        <v>107</v>
      </c>
      <c r="H2355" s="1" t="str">
        <f t="shared" si="146"/>
        <v>High</v>
      </c>
      <c r="I2355" s="1" t="str">
        <f t="shared" si="147"/>
        <v>Other</v>
      </c>
      <c r="J2355" s="1">
        <f t="shared" si="148"/>
        <v>215280.21000000002</v>
      </c>
    </row>
    <row r="2356" spans="1:10" ht="12.75">
      <c r="A2356" s="1" t="s">
        <v>2</v>
      </c>
      <c r="B2356" s="1" t="s">
        <v>54</v>
      </c>
      <c r="C2356" s="1" t="s">
        <v>86</v>
      </c>
      <c r="D2356" s="2">
        <v>45395</v>
      </c>
      <c r="E2356" s="1" t="s">
        <v>2153</v>
      </c>
      <c r="F2356" s="5">
        <f t="shared" si="145"/>
        <v>10927.22</v>
      </c>
      <c r="G2356" s="1">
        <v>11</v>
      </c>
      <c r="H2356" s="1" t="str">
        <f t="shared" si="146"/>
        <v>High</v>
      </c>
      <c r="I2356" s="1" t="str">
        <f t="shared" si="147"/>
        <v>Other</v>
      </c>
      <c r="J2356" s="1">
        <f t="shared" si="148"/>
        <v>215280.21000000002</v>
      </c>
    </row>
    <row r="2357" spans="1:10" ht="12.75">
      <c r="A2357" s="1" t="s">
        <v>26</v>
      </c>
      <c r="B2357" s="1" t="s">
        <v>42</v>
      </c>
      <c r="C2357" s="1" t="s">
        <v>45</v>
      </c>
      <c r="D2357" s="2">
        <v>45333</v>
      </c>
      <c r="E2357" s="1" t="s">
        <v>2154</v>
      </c>
      <c r="F2357" s="5">
        <f t="shared" si="145"/>
        <v>10759.18</v>
      </c>
      <c r="G2357" s="1">
        <v>20</v>
      </c>
      <c r="H2357" s="1" t="str">
        <f t="shared" si="146"/>
        <v>High</v>
      </c>
      <c r="I2357" s="1" t="str">
        <f t="shared" si="147"/>
        <v>Other</v>
      </c>
      <c r="J2357" s="1">
        <f t="shared" si="148"/>
        <v>204352.99</v>
      </c>
    </row>
    <row r="2358" spans="1:10" ht="12.75">
      <c r="A2358" s="1" t="s">
        <v>26</v>
      </c>
      <c r="B2358" s="1" t="s">
        <v>54</v>
      </c>
      <c r="C2358" s="1" t="s">
        <v>72</v>
      </c>
      <c r="D2358" s="2">
        <v>45353</v>
      </c>
      <c r="E2358" s="1" t="s">
        <v>2155</v>
      </c>
      <c r="F2358" s="5">
        <f t="shared" si="145"/>
        <v>6250.42</v>
      </c>
      <c r="G2358" s="1">
        <v>111</v>
      </c>
      <c r="H2358" s="1" t="str">
        <f t="shared" si="146"/>
        <v>High</v>
      </c>
      <c r="I2358" s="1" t="str">
        <f t="shared" si="147"/>
        <v>Other</v>
      </c>
      <c r="J2358" s="1">
        <f t="shared" si="148"/>
        <v>204352.99</v>
      </c>
    </row>
    <row r="2359" spans="1:10" ht="12.75">
      <c r="A2359" s="1" t="s">
        <v>17</v>
      </c>
      <c r="B2359" s="1" t="s">
        <v>5</v>
      </c>
      <c r="C2359" s="1" t="s">
        <v>84</v>
      </c>
      <c r="D2359" s="2">
        <v>45353</v>
      </c>
      <c r="E2359" s="1" t="s">
        <v>2156</v>
      </c>
      <c r="F2359" s="5">
        <f t="shared" si="145"/>
        <v>1103.54</v>
      </c>
      <c r="G2359" s="1">
        <v>195</v>
      </c>
      <c r="H2359" s="1" t="str">
        <f t="shared" si="146"/>
        <v>High</v>
      </c>
      <c r="I2359" s="1" t="str">
        <f t="shared" si="147"/>
        <v>Other</v>
      </c>
      <c r="J2359" s="1">
        <f t="shared" si="148"/>
        <v>204352.99</v>
      </c>
    </row>
    <row r="2360" spans="1:10" ht="12.75">
      <c r="A2360" s="1" t="s">
        <v>10</v>
      </c>
      <c r="B2360" s="1" t="s">
        <v>59</v>
      </c>
      <c r="C2360" s="1" t="s">
        <v>51</v>
      </c>
      <c r="D2360" s="2">
        <v>45501</v>
      </c>
      <c r="E2360" s="1" t="s">
        <v>2157</v>
      </c>
      <c r="F2360" s="5">
        <f t="shared" si="145"/>
        <v>13435.98</v>
      </c>
      <c r="G2360" s="1">
        <v>6</v>
      </c>
      <c r="H2360" s="1" t="str">
        <f t="shared" si="146"/>
        <v>High</v>
      </c>
      <c r="I2360" s="1" t="str">
        <f t="shared" si="147"/>
        <v>Other</v>
      </c>
      <c r="J2360" s="1">
        <f t="shared" si="148"/>
        <v>204352.99</v>
      </c>
    </row>
    <row r="2361" spans="1:10" ht="12.75">
      <c r="A2361" s="1" t="s">
        <v>12</v>
      </c>
      <c r="B2361" s="1" t="s">
        <v>42</v>
      </c>
      <c r="C2361" s="1" t="s">
        <v>52</v>
      </c>
      <c r="D2361" s="2">
        <v>45298</v>
      </c>
      <c r="E2361" s="1" t="s">
        <v>2158</v>
      </c>
      <c r="F2361" s="5">
        <f t="shared" si="145"/>
        <v>1855.03</v>
      </c>
      <c r="G2361" s="1">
        <v>563</v>
      </c>
      <c r="H2361" s="1" t="str">
        <f t="shared" si="146"/>
        <v>High</v>
      </c>
      <c r="I2361" s="1" t="str">
        <f t="shared" si="147"/>
        <v>Other</v>
      </c>
      <c r="J2361" s="1">
        <f t="shared" si="148"/>
        <v>204352.99</v>
      </c>
    </row>
    <row r="2362" spans="1:10" ht="12.75">
      <c r="A2362" s="1" t="s">
        <v>7</v>
      </c>
      <c r="B2362" s="1" t="s">
        <v>39</v>
      </c>
      <c r="C2362" s="1" t="s">
        <v>84</v>
      </c>
      <c r="D2362" s="2">
        <v>45394</v>
      </c>
      <c r="E2362" s="1" t="s">
        <v>2159</v>
      </c>
      <c r="F2362" s="5">
        <f t="shared" si="145"/>
        <v>5799.09</v>
      </c>
      <c r="G2362" s="1">
        <v>169</v>
      </c>
      <c r="H2362" s="1" t="str">
        <f t="shared" si="146"/>
        <v>High</v>
      </c>
      <c r="I2362" s="1" t="str">
        <f t="shared" si="147"/>
        <v>Other</v>
      </c>
      <c r="J2362" s="1">
        <f t="shared" si="148"/>
        <v>204352.99</v>
      </c>
    </row>
    <row r="2363" spans="1:10" ht="12.75">
      <c r="A2363" s="1" t="s">
        <v>10</v>
      </c>
      <c r="B2363" s="1" t="s">
        <v>62</v>
      </c>
      <c r="C2363" s="1" t="s">
        <v>91</v>
      </c>
      <c r="D2363" s="2">
        <v>45470</v>
      </c>
      <c r="E2363" s="1" t="s">
        <v>2160</v>
      </c>
      <c r="F2363" s="5">
        <f t="shared" si="145"/>
        <v>3631.78</v>
      </c>
      <c r="G2363" s="1">
        <v>71</v>
      </c>
      <c r="H2363" s="1" t="str">
        <f t="shared" si="146"/>
        <v>High</v>
      </c>
      <c r="I2363" s="1" t="str">
        <f t="shared" si="147"/>
        <v>Other</v>
      </c>
      <c r="J2363" s="1">
        <f t="shared" si="148"/>
        <v>204352.99</v>
      </c>
    </row>
    <row r="2364" spans="1:10" ht="12.75">
      <c r="A2364" s="1" t="s">
        <v>11</v>
      </c>
      <c r="B2364" s="1" t="s">
        <v>5</v>
      </c>
      <c r="C2364" s="1" t="s">
        <v>55</v>
      </c>
      <c r="D2364" s="2">
        <v>45305</v>
      </c>
      <c r="E2364" s="1" t="s">
        <v>2161</v>
      </c>
      <c r="F2364" s="5">
        <f t="shared" si="145"/>
        <v>5461.43</v>
      </c>
      <c r="G2364" s="1">
        <v>456</v>
      </c>
      <c r="H2364" s="1" t="str">
        <f t="shared" si="146"/>
        <v>High</v>
      </c>
      <c r="I2364" s="1" t="str">
        <f t="shared" si="147"/>
        <v>Other</v>
      </c>
      <c r="J2364" s="1">
        <f t="shared" si="148"/>
        <v>204352.99</v>
      </c>
    </row>
    <row r="2365" spans="1:10" ht="12.75">
      <c r="A2365" s="1" t="s">
        <v>18</v>
      </c>
      <c r="B2365" s="1" t="s">
        <v>39</v>
      </c>
      <c r="C2365" s="1" t="s">
        <v>122</v>
      </c>
      <c r="D2365" s="2">
        <v>45329</v>
      </c>
      <c r="E2365" s="1" t="s">
        <v>2162</v>
      </c>
      <c r="F2365" s="5">
        <f t="shared" si="145"/>
        <v>5315.95</v>
      </c>
      <c r="G2365" s="1">
        <v>389</v>
      </c>
      <c r="H2365" s="1" t="str">
        <f t="shared" si="146"/>
        <v>High</v>
      </c>
      <c r="I2365" s="1" t="str">
        <f t="shared" si="147"/>
        <v>Other</v>
      </c>
      <c r="J2365" s="1">
        <f t="shared" si="148"/>
        <v>204352.99</v>
      </c>
    </row>
    <row r="2366" spans="1:10" ht="12.75">
      <c r="A2366" s="1" t="s">
        <v>11</v>
      </c>
      <c r="B2366" s="1" t="s">
        <v>5</v>
      </c>
      <c r="C2366" s="1" t="s">
        <v>60</v>
      </c>
      <c r="D2366" s="2">
        <v>45374</v>
      </c>
      <c r="E2366" s="1" t="s">
        <v>2163</v>
      </c>
      <c r="F2366" s="5">
        <f t="shared" si="145"/>
        <v>16059.94</v>
      </c>
      <c r="G2366" s="1">
        <v>28</v>
      </c>
      <c r="H2366" s="1" t="str">
        <f t="shared" si="146"/>
        <v>High</v>
      </c>
      <c r="I2366" s="1" t="str">
        <f t="shared" si="147"/>
        <v>Other</v>
      </c>
      <c r="J2366" s="1">
        <f t="shared" si="148"/>
        <v>204352.99</v>
      </c>
    </row>
    <row r="2367" spans="1:10" ht="12.75">
      <c r="A2367" s="1" t="s">
        <v>14</v>
      </c>
      <c r="B2367" s="1" t="s">
        <v>42</v>
      </c>
      <c r="C2367" s="1" t="s">
        <v>45</v>
      </c>
      <c r="D2367" s="2">
        <v>45301</v>
      </c>
      <c r="E2367" s="1" t="s">
        <v>2164</v>
      </c>
      <c r="F2367" s="5">
        <f t="shared" si="145"/>
        <v>7803.84</v>
      </c>
      <c r="G2367" s="1">
        <v>157</v>
      </c>
      <c r="H2367" s="1" t="str">
        <f t="shared" si="146"/>
        <v>High</v>
      </c>
      <c r="I2367" s="1" t="str">
        <f t="shared" si="147"/>
        <v>Other</v>
      </c>
      <c r="J2367" s="1">
        <f t="shared" si="148"/>
        <v>204352.99</v>
      </c>
    </row>
    <row r="2368" spans="1:10" ht="12.75">
      <c r="A2368" s="1" t="s">
        <v>22</v>
      </c>
      <c r="B2368" s="1" t="s">
        <v>39</v>
      </c>
      <c r="C2368" s="1" t="s">
        <v>102</v>
      </c>
      <c r="D2368" s="2">
        <v>45368</v>
      </c>
      <c r="E2368" s="1" t="s">
        <v>2165</v>
      </c>
      <c r="F2368" s="5">
        <f t="shared" si="145"/>
        <v>10751.19</v>
      </c>
      <c r="G2368" s="1">
        <v>44</v>
      </c>
      <c r="H2368" s="1" t="str">
        <f t="shared" si="146"/>
        <v>High</v>
      </c>
      <c r="I2368" s="1" t="str">
        <f t="shared" si="147"/>
        <v>Other</v>
      </c>
      <c r="J2368" s="1">
        <f t="shared" si="148"/>
        <v>204352.99</v>
      </c>
    </row>
    <row r="2369" spans="1:10" ht="12.75">
      <c r="A2369" s="1" t="s">
        <v>20</v>
      </c>
      <c r="B2369" s="1" t="s">
        <v>59</v>
      </c>
      <c r="C2369" s="1" t="s">
        <v>76</v>
      </c>
      <c r="D2369" s="2">
        <v>45312</v>
      </c>
      <c r="E2369" s="1" t="s">
        <v>2166</v>
      </c>
      <c r="F2369" s="5">
        <f t="shared" si="145"/>
        <v>12156.54</v>
      </c>
      <c r="G2369" s="1">
        <v>54</v>
      </c>
      <c r="H2369" s="1" t="str">
        <f t="shared" si="146"/>
        <v>High</v>
      </c>
      <c r="I2369" s="1" t="str">
        <f t="shared" si="147"/>
        <v>Other</v>
      </c>
      <c r="J2369" s="1">
        <f t="shared" si="148"/>
        <v>204352.99</v>
      </c>
    </row>
    <row r="2370" spans="1:10" ht="12.75">
      <c r="A2370" s="1" t="s">
        <v>16</v>
      </c>
      <c r="B2370" s="1" t="s">
        <v>5</v>
      </c>
      <c r="C2370" s="1" t="s">
        <v>84</v>
      </c>
      <c r="D2370" s="2">
        <v>45477</v>
      </c>
      <c r="E2370" s="1" t="s">
        <v>2167</v>
      </c>
      <c r="F2370" s="5">
        <f t="shared" ref="F2370:F2433" si="149">VALUE(SUBSTITUTE(E2370,"$",""))</f>
        <v>9402.26</v>
      </c>
      <c r="G2370" s="1">
        <v>401</v>
      </c>
      <c r="H2370" s="1" t="str">
        <f t="shared" ref="H2370:H2433" si="150">IF(F2370&gt;800,"High",IF(F2370&gt;500,"Medium","Low"))</f>
        <v>High</v>
      </c>
      <c r="I2370" s="1" t="str">
        <f t="shared" ref="I2370:I2433" si="151">IF(AND(B2370="Australia",A2370="Mallorie Waber"),"Top Local","Other")</f>
        <v>Other</v>
      </c>
      <c r="J2370" s="1">
        <f t="shared" ref="J2370:J2433" si="152">SUMIF(A2370:A5650,"Mallorie Waber",F2370:F5650)</f>
        <v>204352.99</v>
      </c>
    </row>
    <row r="2371" spans="1:10" ht="12.75">
      <c r="A2371" s="1" t="s">
        <v>8</v>
      </c>
      <c r="B2371" s="1" t="s">
        <v>62</v>
      </c>
      <c r="C2371" s="1" t="s">
        <v>45</v>
      </c>
      <c r="D2371" s="2">
        <v>45477</v>
      </c>
      <c r="E2371" s="1" t="s">
        <v>2168</v>
      </c>
      <c r="F2371" s="5">
        <f t="shared" si="149"/>
        <v>3653.39</v>
      </c>
      <c r="G2371" s="1">
        <v>185</v>
      </c>
      <c r="H2371" s="1" t="str">
        <f t="shared" si="150"/>
        <v>High</v>
      </c>
      <c r="I2371" s="1" t="str">
        <f t="shared" si="151"/>
        <v>Other</v>
      </c>
      <c r="J2371" s="1">
        <f t="shared" si="152"/>
        <v>204352.99</v>
      </c>
    </row>
    <row r="2372" spans="1:10" ht="12.75">
      <c r="A2372" s="1" t="s">
        <v>21</v>
      </c>
      <c r="B2372" s="1" t="s">
        <v>59</v>
      </c>
      <c r="C2372" s="1" t="s">
        <v>86</v>
      </c>
      <c r="D2372" s="2">
        <v>45514</v>
      </c>
      <c r="E2372" s="1" t="s">
        <v>2169</v>
      </c>
      <c r="F2372" s="5">
        <f t="shared" si="149"/>
        <v>320.11</v>
      </c>
      <c r="G2372" s="1">
        <v>201</v>
      </c>
      <c r="H2372" s="1" t="str">
        <f t="shared" si="150"/>
        <v>Low</v>
      </c>
      <c r="I2372" s="1" t="str">
        <f t="shared" si="151"/>
        <v>Other</v>
      </c>
      <c r="J2372" s="1">
        <f t="shared" si="152"/>
        <v>204352.99</v>
      </c>
    </row>
    <row r="2373" spans="1:10" ht="12.75">
      <c r="A2373" s="1" t="s">
        <v>6</v>
      </c>
      <c r="B2373" s="1" t="s">
        <v>5</v>
      </c>
      <c r="C2373" s="1" t="s">
        <v>55</v>
      </c>
      <c r="D2373" s="2">
        <v>45383</v>
      </c>
      <c r="E2373" s="1" t="s">
        <v>2170</v>
      </c>
      <c r="F2373" s="5">
        <f t="shared" si="149"/>
        <v>7618.91</v>
      </c>
      <c r="G2373" s="1">
        <v>12</v>
      </c>
      <c r="H2373" s="1" t="str">
        <f t="shared" si="150"/>
        <v>High</v>
      </c>
      <c r="I2373" s="1" t="str">
        <f t="shared" si="151"/>
        <v>Other</v>
      </c>
      <c r="J2373" s="1">
        <f t="shared" si="152"/>
        <v>204352.99</v>
      </c>
    </row>
    <row r="2374" spans="1:10" ht="12.75">
      <c r="A2374" s="1" t="s">
        <v>20</v>
      </c>
      <c r="B2374" s="1" t="s">
        <v>42</v>
      </c>
      <c r="C2374" s="1" t="s">
        <v>100</v>
      </c>
      <c r="D2374" s="2">
        <v>45344</v>
      </c>
      <c r="E2374" s="1" t="s">
        <v>2171</v>
      </c>
      <c r="F2374" s="5">
        <f t="shared" si="149"/>
        <v>2843.9</v>
      </c>
      <c r="G2374" s="1">
        <v>158</v>
      </c>
      <c r="H2374" s="1" t="str">
        <f t="shared" si="150"/>
        <v>High</v>
      </c>
      <c r="I2374" s="1" t="str">
        <f t="shared" si="151"/>
        <v>Other</v>
      </c>
      <c r="J2374" s="1">
        <f t="shared" si="152"/>
        <v>204352.99</v>
      </c>
    </row>
    <row r="2375" spans="1:10" ht="12.75">
      <c r="A2375" s="1" t="s">
        <v>25</v>
      </c>
      <c r="B2375" s="1" t="s">
        <v>39</v>
      </c>
      <c r="C2375" s="1" t="s">
        <v>84</v>
      </c>
      <c r="D2375" s="2">
        <v>45294</v>
      </c>
      <c r="E2375" s="1" t="s">
        <v>2172</v>
      </c>
      <c r="F2375" s="5">
        <f t="shared" si="149"/>
        <v>11946.4</v>
      </c>
      <c r="G2375" s="1">
        <v>192</v>
      </c>
      <c r="H2375" s="1" t="str">
        <f t="shared" si="150"/>
        <v>High</v>
      </c>
      <c r="I2375" s="1" t="str">
        <f t="shared" si="151"/>
        <v>Other</v>
      </c>
      <c r="J2375" s="1">
        <f t="shared" si="152"/>
        <v>204352.99</v>
      </c>
    </row>
    <row r="2376" spans="1:10" ht="12.75">
      <c r="A2376" s="1" t="s">
        <v>18</v>
      </c>
      <c r="B2376" s="1" t="s">
        <v>42</v>
      </c>
      <c r="C2376" s="1" t="s">
        <v>65</v>
      </c>
      <c r="D2376" s="2">
        <v>45443</v>
      </c>
      <c r="E2376" s="1" t="s">
        <v>2173</v>
      </c>
      <c r="F2376" s="5">
        <f t="shared" si="149"/>
        <v>5055.05</v>
      </c>
      <c r="G2376" s="1">
        <v>241</v>
      </c>
      <c r="H2376" s="1" t="str">
        <f t="shared" si="150"/>
        <v>High</v>
      </c>
      <c r="I2376" s="1" t="str">
        <f t="shared" si="151"/>
        <v>Other</v>
      </c>
      <c r="J2376" s="1">
        <f t="shared" si="152"/>
        <v>204352.99</v>
      </c>
    </row>
    <row r="2377" spans="1:10" ht="12.75">
      <c r="A2377" s="1" t="s">
        <v>21</v>
      </c>
      <c r="B2377" s="1" t="s">
        <v>39</v>
      </c>
      <c r="C2377" s="1" t="s">
        <v>51</v>
      </c>
      <c r="D2377" s="2">
        <v>45294</v>
      </c>
      <c r="E2377" s="1" t="s">
        <v>2174</v>
      </c>
      <c r="F2377" s="5">
        <f t="shared" si="149"/>
        <v>10378.36</v>
      </c>
      <c r="G2377" s="1">
        <v>301</v>
      </c>
      <c r="H2377" s="1" t="str">
        <f t="shared" si="150"/>
        <v>High</v>
      </c>
      <c r="I2377" s="1" t="str">
        <f t="shared" si="151"/>
        <v>Other</v>
      </c>
      <c r="J2377" s="1">
        <f t="shared" si="152"/>
        <v>204352.99</v>
      </c>
    </row>
    <row r="2378" spans="1:10" ht="12.75">
      <c r="A2378" s="1" t="s">
        <v>13</v>
      </c>
      <c r="B2378" s="1" t="s">
        <v>54</v>
      </c>
      <c r="C2378" s="1" t="s">
        <v>126</v>
      </c>
      <c r="D2378" s="2">
        <v>45318</v>
      </c>
      <c r="E2378" s="1" t="s">
        <v>2175</v>
      </c>
      <c r="F2378" s="5">
        <f t="shared" si="149"/>
        <v>595.16</v>
      </c>
      <c r="G2378" s="1">
        <v>461</v>
      </c>
      <c r="H2378" s="1" t="str">
        <f t="shared" si="150"/>
        <v>Medium</v>
      </c>
      <c r="I2378" s="1" t="str">
        <f t="shared" si="151"/>
        <v>Other</v>
      </c>
      <c r="J2378" s="1">
        <f t="shared" si="152"/>
        <v>204352.99</v>
      </c>
    </row>
    <row r="2379" spans="1:10" ht="12.75">
      <c r="A2379" s="1" t="s">
        <v>16</v>
      </c>
      <c r="B2379" s="1" t="s">
        <v>39</v>
      </c>
      <c r="C2379" s="1" t="s">
        <v>55</v>
      </c>
      <c r="D2379" s="2">
        <v>45319</v>
      </c>
      <c r="E2379" s="1" t="s">
        <v>2176</v>
      </c>
      <c r="F2379" s="5">
        <f t="shared" si="149"/>
        <v>639.95000000000005</v>
      </c>
      <c r="G2379" s="1">
        <v>71</v>
      </c>
      <c r="H2379" s="1" t="str">
        <f t="shared" si="150"/>
        <v>Medium</v>
      </c>
      <c r="I2379" s="1" t="str">
        <f t="shared" si="151"/>
        <v>Other</v>
      </c>
      <c r="J2379" s="1">
        <f t="shared" si="152"/>
        <v>204352.99</v>
      </c>
    </row>
    <row r="2380" spans="1:10" ht="12.75">
      <c r="A2380" s="1" t="s">
        <v>24</v>
      </c>
      <c r="B2380" s="1" t="s">
        <v>5</v>
      </c>
      <c r="C2380" s="1" t="s">
        <v>68</v>
      </c>
      <c r="D2380" s="2">
        <v>45471</v>
      </c>
      <c r="E2380" s="1" t="s">
        <v>2177</v>
      </c>
      <c r="F2380" s="5">
        <f t="shared" si="149"/>
        <v>3717.35</v>
      </c>
      <c r="G2380" s="1">
        <v>322</v>
      </c>
      <c r="H2380" s="1" t="str">
        <f t="shared" si="150"/>
        <v>High</v>
      </c>
      <c r="I2380" s="1" t="str">
        <f t="shared" si="151"/>
        <v>Other</v>
      </c>
      <c r="J2380" s="1">
        <f t="shared" si="152"/>
        <v>204352.99</v>
      </c>
    </row>
    <row r="2381" spans="1:10" ht="12.75">
      <c r="A2381" s="1" t="s">
        <v>13</v>
      </c>
      <c r="B2381" s="1" t="s">
        <v>39</v>
      </c>
      <c r="C2381" s="1" t="s">
        <v>102</v>
      </c>
      <c r="D2381" s="2">
        <v>45353</v>
      </c>
      <c r="E2381" s="1" t="s">
        <v>2178</v>
      </c>
      <c r="F2381" s="5">
        <f t="shared" si="149"/>
        <v>5057.1000000000004</v>
      </c>
      <c r="G2381" s="1">
        <v>41</v>
      </c>
      <c r="H2381" s="1" t="str">
        <f t="shared" si="150"/>
        <v>High</v>
      </c>
      <c r="I2381" s="1" t="str">
        <f t="shared" si="151"/>
        <v>Other</v>
      </c>
      <c r="J2381" s="1">
        <f t="shared" si="152"/>
        <v>204352.99</v>
      </c>
    </row>
    <row r="2382" spans="1:10" ht="12.75">
      <c r="A2382" s="1" t="s">
        <v>29</v>
      </c>
      <c r="B2382" s="1" t="s">
        <v>5</v>
      </c>
      <c r="C2382" s="1" t="s">
        <v>52</v>
      </c>
      <c r="D2382" s="2">
        <v>45439</v>
      </c>
      <c r="E2382" s="1" t="s">
        <v>2179</v>
      </c>
      <c r="F2382" s="5">
        <f t="shared" si="149"/>
        <v>3729.83</v>
      </c>
      <c r="G2382" s="1">
        <v>27</v>
      </c>
      <c r="H2382" s="1" t="str">
        <f t="shared" si="150"/>
        <v>High</v>
      </c>
      <c r="I2382" s="1" t="str">
        <f t="shared" si="151"/>
        <v>Other</v>
      </c>
      <c r="J2382" s="1">
        <f t="shared" si="152"/>
        <v>204352.99</v>
      </c>
    </row>
    <row r="2383" spans="1:10" ht="12.75">
      <c r="A2383" s="1" t="s">
        <v>6</v>
      </c>
      <c r="B2383" s="1" t="s">
        <v>59</v>
      </c>
      <c r="C2383" s="1" t="s">
        <v>91</v>
      </c>
      <c r="D2383" s="2">
        <v>45473</v>
      </c>
      <c r="E2383" s="1" t="s">
        <v>2180</v>
      </c>
      <c r="F2383" s="5">
        <f t="shared" si="149"/>
        <v>13786.87</v>
      </c>
      <c r="G2383" s="1">
        <v>85</v>
      </c>
      <c r="H2383" s="1" t="str">
        <f t="shared" si="150"/>
        <v>High</v>
      </c>
      <c r="I2383" s="1" t="str">
        <f t="shared" si="151"/>
        <v>Other</v>
      </c>
      <c r="J2383" s="1">
        <f t="shared" si="152"/>
        <v>204352.99</v>
      </c>
    </row>
    <row r="2384" spans="1:10" ht="12.75">
      <c r="A2384" s="1" t="s">
        <v>16</v>
      </c>
      <c r="B2384" s="1" t="s">
        <v>62</v>
      </c>
      <c r="C2384" s="1" t="s">
        <v>45</v>
      </c>
      <c r="D2384" s="2">
        <v>45450</v>
      </c>
      <c r="E2384" s="1" t="s">
        <v>2181</v>
      </c>
      <c r="F2384" s="5">
        <f t="shared" si="149"/>
        <v>2206.2800000000002</v>
      </c>
      <c r="G2384" s="1">
        <v>79</v>
      </c>
      <c r="H2384" s="1" t="str">
        <f t="shared" si="150"/>
        <v>High</v>
      </c>
      <c r="I2384" s="1" t="str">
        <f t="shared" si="151"/>
        <v>Other</v>
      </c>
      <c r="J2384" s="1">
        <f t="shared" si="152"/>
        <v>204352.99</v>
      </c>
    </row>
    <row r="2385" spans="1:10" ht="12.75">
      <c r="A2385" s="1" t="s">
        <v>8</v>
      </c>
      <c r="B2385" s="1" t="s">
        <v>59</v>
      </c>
      <c r="C2385" s="1" t="s">
        <v>147</v>
      </c>
      <c r="D2385" s="2">
        <v>45424</v>
      </c>
      <c r="E2385" s="1" t="s">
        <v>2182</v>
      </c>
      <c r="F2385" s="5">
        <f t="shared" si="149"/>
        <v>4672.25</v>
      </c>
      <c r="G2385" s="1">
        <v>103</v>
      </c>
      <c r="H2385" s="1" t="str">
        <f t="shared" si="150"/>
        <v>High</v>
      </c>
      <c r="I2385" s="1" t="str">
        <f t="shared" si="151"/>
        <v>Other</v>
      </c>
      <c r="J2385" s="1">
        <f t="shared" si="152"/>
        <v>204352.99</v>
      </c>
    </row>
    <row r="2386" spans="1:10" ht="12.75">
      <c r="A2386" s="1" t="s">
        <v>16</v>
      </c>
      <c r="B2386" s="1" t="s">
        <v>54</v>
      </c>
      <c r="C2386" s="1" t="s">
        <v>100</v>
      </c>
      <c r="D2386" s="2">
        <v>45502</v>
      </c>
      <c r="E2386" s="1" t="s">
        <v>2183</v>
      </c>
      <c r="F2386" s="5">
        <f t="shared" si="149"/>
        <v>7667.99</v>
      </c>
      <c r="G2386" s="1">
        <v>69</v>
      </c>
      <c r="H2386" s="1" t="str">
        <f t="shared" si="150"/>
        <v>High</v>
      </c>
      <c r="I2386" s="1" t="str">
        <f t="shared" si="151"/>
        <v>Other</v>
      </c>
      <c r="J2386" s="1">
        <f t="shared" si="152"/>
        <v>204352.99</v>
      </c>
    </row>
    <row r="2387" spans="1:10" ht="12.75">
      <c r="A2387" s="1" t="s">
        <v>6</v>
      </c>
      <c r="B2387" s="1" t="s">
        <v>39</v>
      </c>
      <c r="C2387" s="1" t="s">
        <v>84</v>
      </c>
      <c r="D2387" s="2">
        <v>45507</v>
      </c>
      <c r="E2387" s="1" t="s">
        <v>2184</v>
      </c>
      <c r="F2387" s="5">
        <f t="shared" si="149"/>
        <v>8338.51</v>
      </c>
      <c r="G2387" s="1">
        <v>270</v>
      </c>
      <c r="H2387" s="1" t="str">
        <f t="shared" si="150"/>
        <v>High</v>
      </c>
      <c r="I2387" s="1" t="str">
        <f t="shared" si="151"/>
        <v>Other</v>
      </c>
      <c r="J2387" s="1">
        <f t="shared" si="152"/>
        <v>204352.99</v>
      </c>
    </row>
    <row r="2388" spans="1:10" ht="12.75">
      <c r="A2388" s="1" t="s">
        <v>16</v>
      </c>
      <c r="B2388" s="1" t="s">
        <v>42</v>
      </c>
      <c r="C2388" s="1" t="s">
        <v>122</v>
      </c>
      <c r="D2388" s="2">
        <v>45522</v>
      </c>
      <c r="E2388" s="1" t="s">
        <v>2185</v>
      </c>
      <c r="F2388" s="5">
        <f t="shared" si="149"/>
        <v>7548.62</v>
      </c>
      <c r="G2388" s="1">
        <v>153</v>
      </c>
      <c r="H2388" s="1" t="str">
        <f t="shared" si="150"/>
        <v>High</v>
      </c>
      <c r="I2388" s="1" t="str">
        <f t="shared" si="151"/>
        <v>Other</v>
      </c>
      <c r="J2388" s="1">
        <f t="shared" si="152"/>
        <v>204352.99</v>
      </c>
    </row>
    <row r="2389" spans="1:10" ht="12.75">
      <c r="A2389" s="1" t="s">
        <v>10</v>
      </c>
      <c r="B2389" s="1" t="s">
        <v>54</v>
      </c>
      <c r="C2389" s="1" t="s">
        <v>49</v>
      </c>
      <c r="D2389" s="2">
        <v>45457</v>
      </c>
      <c r="E2389" s="1" t="s">
        <v>2186</v>
      </c>
      <c r="F2389" s="5">
        <f t="shared" si="149"/>
        <v>3608.83</v>
      </c>
      <c r="G2389" s="1">
        <v>46</v>
      </c>
      <c r="H2389" s="1" t="str">
        <f t="shared" si="150"/>
        <v>High</v>
      </c>
      <c r="I2389" s="1" t="str">
        <f t="shared" si="151"/>
        <v>Other</v>
      </c>
      <c r="J2389" s="1">
        <f t="shared" si="152"/>
        <v>204352.99</v>
      </c>
    </row>
    <row r="2390" spans="1:10" ht="12.75">
      <c r="A2390" s="1" t="s">
        <v>28</v>
      </c>
      <c r="B2390" s="1" t="s">
        <v>39</v>
      </c>
      <c r="C2390" s="1" t="s">
        <v>84</v>
      </c>
      <c r="D2390" s="2">
        <v>45473</v>
      </c>
      <c r="E2390" s="1" t="s">
        <v>2187</v>
      </c>
      <c r="F2390" s="5">
        <f t="shared" si="149"/>
        <v>7108.96</v>
      </c>
      <c r="G2390" s="1">
        <v>80</v>
      </c>
      <c r="H2390" s="1" t="str">
        <f t="shared" si="150"/>
        <v>High</v>
      </c>
      <c r="I2390" s="1" t="str">
        <f t="shared" si="151"/>
        <v>Other</v>
      </c>
      <c r="J2390" s="1">
        <f t="shared" si="152"/>
        <v>204352.99</v>
      </c>
    </row>
    <row r="2391" spans="1:10" ht="12.75">
      <c r="A2391" s="1" t="s">
        <v>25</v>
      </c>
      <c r="B2391" s="1" t="s">
        <v>54</v>
      </c>
      <c r="C2391" s="1" t="s">
        <v>40</v>
      </c>
      <c r="D2391" s="2">
        <v>45456</v>
      </c>
      <c r="E2391" s="1" t="s">
        <v>2188</v>
      </c>
      <c r="F2391" s="5">
        <f t="shared" si="149"/>
        <v>1293.02</v>
      </c>
      <c r="G2391" s="1">
        <v>201</v>
      </c>
      <c r="H2391" s="1" t="str">
        <f t="shared" si="150"/>
        <v>High</v>
      </c>
      <c r="I2391" s="1" t="str">
        <f t="shared" si="151"/>
        <v>Other</v>
      </c>
      <c r="J2391" s="1">
        <f t="shared" si="152"/>
        <v>204352.99</v>
      </c>
    </row>
    <row r="2392" spans="1:10" ht="12.75">
      <c r="A2392" s="1" t="s">
        <v>17</v>
      </c>
      <c r="B2392" s="1" t="s">
        <v>39</v>
      </c>
      <c r="C2392" s="1" t="s">
        <v>60</v>
      </c>
      <c r="D2392" s="2">
        <v>45409</v>
      </c>
      <c r="E2392" s="1" t="s">
        <v>2189</v>
      </c>
      <c r="F2392" s="5">
        <f t="shared" si="149"/>
        <v>15365.78</v>
      </c>
      <c r="G2392" s="1">
        <v>57</v>
      </c>
      <c r="H2392" s="1" t="str">
        <f t="shared" si="150"/>
        <v>High</v>
      </c>
      <c r="I2392" s="1" t="str">
        <f t="shared" si="151"/>
        <v>Other</v>
      </c>
      <c r="J2392" s="1">
        <f t="shared" si="152"/>
        <v>204352.99</v>
      </c>
    </row>
    <row r="2393" spans="1:10" ht="12.75">
      <c r="A2393" s="1" t="s">
        <v>15</v>
      </c>
      <c r="B2393" s="1" t="s">
        <v>5</v>
      </c>
      <c r="C2393" s="1" t="s">
        <v>84</v>
      </c>
      <c r="D2393" s="2">
        <v>45500</v>
      </c>
      <c r="E2393" s="1" t="s">
        <v>2190</v>
      </c>
      <c r="F2393" s="5">
        <f t="shared" si="149"/>
        <v>3766.49</v>
      </c>
      <c r="G2393" s="1">
        <v>33</v>
      </c>
      <c r="H2393" s="1" t="str">
        <f t="shared" si="150"/>
        <v>High</v>
      </c>
      <c r="I2393" s="1" t="str">
        <f t="shared" si="151"/>
        <v>Other</v>
      </c>
      <c r="J2393" s="1">
        <f t="shared" si="152"/>
        <v>204352.99</v>
      </c>
    </row>
    <row r="2394" spans="1:10" ht="12.75">
      <c r="A2394" s="1" t="s">
        <v>2</v>
      </c>
      <c r="B2394" s="1" t="s">
        <v>62</v>
      </c>
      <c r="C2394" s="1" t="s">
        <v>43</v>
      </c>
      <c r="D2394" s="2">
        <v>45402</v>
      </c>
      <c r="E2394" s="1" t="s">
        <v>2191</v>
      </c>
      <c r="F2394" s="5">
        <f t="shared" si="149"/>
        <v>1664.68</v>
      </c>
      <c r="G2394" s="1">
        <v>465</v>
      </c>
      <c r="H2394" s="1" t="str">
        <f t="shared" si="150"/>
        <v>High</v>
      </c>
      <c r="I2394" s="1" t="str">
        <f t="shared" si="151"/>
        <v>Other</v>
      </c>
      <c r="J2394" s="1">
        <f t="shared" si="152"/>
        <v>204352.99</v>
      </c>
    </row>
    <row r="2395" spans="1:10" ht="12.75">
      <c r="A2395" s="1" t="s">
        <v>19</v>
      </c>
      <c r="B2395" s="1" t="s">
        <v>42</v>
      </c>
      <c r="C2395" s="1" t="s">
        <v>76</v>
      </c>
      <c r="D2395" s="2">
        <v>45295</v>
      </c>
      <c r="E2395" s="1" t="s">
        <v>2192</v>
      </c>
      <c r="F2395" s="5">
        <f t="shared" si="149"/>
        <v>8972.7900000000009</v>
      </c>
      <c r="G2395" s="1">
        <v>134</v>
      </c>
      <c r="H2395" s="1" t="str">
        <f t="shared" si="150"/>
        <v>High</v>
      </c>
      <c r="I2395" s="1" t="str">
        <f t="shared" si="151"/>
        <v>Other</v>
      </c>
      <c r="J2395" s="1">
        <f t="shared" si="152"/>
        <v>202688.31</v>
      </c>
    </row>
    <row r="2396" spans="1:10" ht="12.75">
      <c r="A2396" s="1" t="s">
        <v>17</v>
      </c>
      <c r="B2396" s="1" t="s">
        <v>5</v>
      </c>
      <c r="C2396" s="1" t="s">
        <v>40</v>
      </c>
      <c r="D2396" s="2">
        <v>45343</v>
      </c>
      <c r="E2396" s="1" t="s">
        <v>2193</v>
      </c>
      <c r="F2396" s="5">
        <f t="shared" si="149"/>
        <v>10576.55</v>
      </c>
      <c r="G2396" s="1">
        <v>96</v>
      </c>
      <c r="H2396" s="1" t="str">
        <f t="shared" si="150"/>
        <v>High</v>
      </c>
      <c r="I2396" s="1" t="str">
        <f t="shared" si="151"/>
        <v>Other</v>
      </c>
      <c r="J2396" s="1">
        <f t="shared" si="152"/>
        <v>202688.31</v>
      </c>
    </row>
    <row r="2397" spans="1:10" ht="12.75">
      <c r="A2397" s="1" t="s">
        <v>18</v>
      </c>
      <c r="B2397" s="1" t="s">
        <v>5</v>
      </c>
      <c r="C2397" s="1" t="s">
        <v>84</v>
      </c>
      <c r="D2397" s="2">
        <v>45296</v>
      </c>
      <c r="E2397" s="1" t="s">
        <v>2194</v>
      </c>
      <c r="F2397" s="5">
        <f t="shared" si="149"/>
        <v>8857.15</v>
      </c>
      <c r="G2397" s="1">
        <v>50</v>
      </c>
      <c r="H2397" s="1" t="str">
        <f t="shared" si="150"/>
        <v>High</v>
      </c>
      <c r="I2397" s="1" t="str">
        <f t="shared" si="151"/>
        <v>Other</v>
      </c>
      <c r="J2397" s="1">
        <f t="shared" si="152"/>
        <v>202688.31</v>
      </c>
    </row>
    <row r="2398" spans="1:10" ht="12.75">
      <c r="A2398" s="1" t="s">
        <v>28</v>
      </c>
      <c r="B2398" s="1" t="s">
        <v>42</v>
      </c>
      <c r="C2398" s="1" t="s">
        <v>65</v>
      </c>
      <c r="D2398" s="2">
        <v>45488</v>
      </c>
      <c r="E2398" s="1" t="s">
        <v>2195</v>
      </c>
      <c r="F2398" s="5">
        <f t="shared" si="149"/>
        <v>6756.17</v>
      </c>
      <c r="G2398" s="1">
        <v>45</v>
      </c>
      <c r="H2398" s="1" t="str">
        <f t="shared" si="150"/>
        <v>High</v>
      </c>
      <c r="I2398" s="1" t="str">
        <f t="shared" si="151"/>
        <v>Other</v>
      </c>
      <c r="J2398" s="1">
        <f t="shared" si="152"/>
        <v>202688.31</v>
      </c>
    </row>
    <row r="2399" spans="1:10" ht="12.75">
      <c r="A2399" s="1" t="s">
        <v>7</v>
      </c>
      <c r="B2399" s="1" t="s">
        <v>5</v>
      </c>
      <c r="C2399" s="1" t="s">
        <v>102</v>
      </c>
      <c r="D2399" s="2">
        <v>45437</v>
      </c>
      <c r="E2399" s="1" t="s">
        <v>2196</v>
      </c>
      <c r="F2399" s="5">
        <f t="shared" si="149"/>
        <v>5532.85</v>
      </c>
      <c r="G2399" s="1">
        <v>63</v>
      </c>
      <c r="H2399" s="1" t="str">
        <f t="shared" si="150"/>
        <v>High</v>
      </c>
      <c r="I2399" s="1" t="str">
        <f t="shared" si="151"/>
        <v>Other</v>
      </c>
      <c r="J2399" s="1">
        <f t="shared" si="152"/>
        <v>202688.31</v>
      </c>
    </row>
    <row r="2400" spans="1:10" ht="12.75">
      <c r="A2400" s="1" t="s">
        <v>18</v>
      </c>
      <c r="B2400" s="1" t="s">
        <v>62</v>
      </c>
      <c r="C2400" s="1" t="s">
        <v>63</v>
      </c>
      <c r="D2400" s="2">
        <v>45402</v>
      </c>
      <c r="E2400" s="1" t="s">
        <v>2197</v>
      </c>
      <c r="F2400" s="5">
        <f t="shared" si="149"/>
        <v>3713.66</v>
      </c>
      <c r="G2400" s="1">
        <v>352</v>
      </c>
      <c r="H2400" s="1" t="str">
        <f t="shared" si="150"/>
        <v>High</v>
      </c>
      <c r="I2400" s="1" t="str">
        <f t="shared" si="151"/>
        <v>Other</v>
      </c>
      <c r="J2400" s="1">
        <f t="shared" si="152"/>
        <v>202688.31</v>
      </c>
    </row>
    <row r="2401" spans="1:10" ht="12.75">
      <c r="A2401" s="1" t="s">
        <v>20</v>
      </c>
      <c r="B2401" s="1" t="s">
        <v>59</v>
      </c>
      <c r="C2401" s="1" t="s">
        <v>51</v>
      </c>
      <c r="D2401" s="2">
        <v>45445</v>
      </c>
      <c r="E2401" s="1" t="s">
        <v>2198</v>
      </c>
      <c r="F2401" s="5">
        <f t="shared" si="149"/>
        <v>906.85</v>
      </c>
      <c r="G2401" s="1">
        <v>246</v>
      </c>
      <c r="H2401" s="1" t="str">
        <f t="shared" si="150"/>
        <v>High</v>
      </c>
      <c r="I2401" s="1" t="str">
        <f t="shared" si="151"/>
        <v>Other</v>
      </c>
      <c r="J2401" s="1">
        <f t="shared" si="152"/>
        <v>202688.31</v>
      </c>
    </row>
    <row r="2402" spans="1:10" ht="12.75">
      <c r="A2402" s="1" t="s">
        <v>14</v>
      </c>
      <c r="B2402" s="1" t="s">
        <v>39</v>
      </c>
      <c r="C2402" s="1" t="s">
        <v>49</v>
      </c>
      <c r="D2402" s="2">
        <v>45425</v>
      </c>
      <c r="E2402" s="1" t="s">
        <v>2199</v>
      </c>
      <c r="F2402" s="5">
        <f t="shared" si="149"/>
        <v>22558.880000000001</v>
      </c>
      <c r="G2402" s="1">
        <v>84</v>
      </c>
      <c r="H2402" s="1" t="str">
        <f t="shared" si="150"/>
        <v>High</v>
      </c>
      <c r="I2402" s="1" t="str">
        <f t="shared" si="151"/>
        <v>Other</v>
      </c>
      <c r="J2402" s="1">
        <f t="shared" si="152"/>
        <v>202688.31</v>
      </c>
    </row>
    <row r="2403" spans="1:10" ht="12.75">
      <c r="A2403" s="1" t="s">
        <v>28</v>
      </c>
      <c r="B2403" s="1" t="s">
        <v>54</v>
      </c>
      <c r="C2403" s="1" t="s">
        <v>122</v>
      </c>
      <c r="D2403" s="2">
        <v>45507</v>
      </c>
      <c r="E2403" s="1" t="s">
        <v>2200</v>
      </c>
      <c r="F2403" s="5">
        <f t="shared" si="149"/>
        <v>1517.05</v>
      </c>
      <c r="G2403" s="1">
        <v>147</v>
      </c>
      <c r="H2403" s="1" t="str">
        <f t="shared" si="150"/>
        <v>High</v>
      </c>
      <c r="I2403" s="1" t="str">
        <f t="shared" si="151"/>
        <v>Other</v>
      </c>
      <c r="J2403" s="1">
        <f t="shared" si="152"/>
        <v>202688.31</v>
      </c>
    </row>
    <row r="2404" spans="1:10" ht="12.75">
      <c r="A2404" s="1" t="s">
        <v>28</v>
      </c>
      <c r="B2404" s="1" t="s">
        <v>5</v>
      </c>
      <c r="C2404" s="1" t="s">
        <v>72</v>
      </c>
      <c r="D2404" s="2">
        <v>45437</v>
      </c>
      <c r="E2404" s="1" t="s">
        <v>2201</v>
      </c>
      <c r="F2404" s="5">
        <f t="shared" si="149"/>
        <v>770.45</v>
      </c>
      <c r="G2404" s="1">
        <v>389</v>
      </c>
      <c r="H2404" s="1" t="str">
        <f t="shared" si="150"/>
        <v>Medium</v>
      </c>
      <c r="I2404" s="1" t="str">
        <f t="shared" si="151"/>
        <v>Other</v>
      </c>
      <c r="J2404" s="1">
        <f t="shared" si="152"/>
        <v>202688.31</v>
      </c>
    </row>
    <row r="2405" spans="1:10" ht="12.75">
      <c r="A2405" s="1" t="s">
        <v>10</v>
      </c>
      <c r="B2405" s="1" t="s">
        <v>39</v>
      </c>
      <c r="C2405" s="1" t="s">
        <v>100</v>
      </c>
      <c r="D2405" s="2">
        <v>45367</v>
      </c>
      <c r="E2405" s="1" t="s">
        <v>2202</v>
      </c>
      <c r="F2405" s="5">
        <f t="shared" si="149"/>
        <v>7623.35</v>
      </c>
      <c r="G2405" s="1">
        <v>80</v>
      </c>
      <c r="H2405" s="1" t="str">
        <f t="shared" si="150"/>
        <v>High</v>
      </c>
      <c r="I2405" s="1" t="str">
        <f t="shared" si="151"/>
        <v>Other</v>
      </c>
      <c r="J2405" s="1">
        <f t="shared" si="152"/>
        <v>202688.31</v>
      </c>
    </row>
    <row r="2406" spans="1:10" ht="12.75">
      <c r="A2406" s="1" t="s">
        <v>15</v>
      </c>
      <c r="B2406" s="1" t="s">
        <v>5</v>
      </c>
      <c r="C2406" s="1" t="s">
        <v>60</v>
      </c>
      <c r="D2406" s="2">
        <v>45477</v>
      </c>
      <c r="E2406" s="1" t="s">
        <v>2203</v>
      </c>
      <c r="F2406" s="5">
        <f t="shared" si="149"/>
        <v>3418.05</v>
      </c>
      <c r="G2406" s="1">
        <v>117</v>
      </c>
      <c r="H2406" s="1" t="str">
        <f t="shared" si="150"/>
        <v>High</v>
      </c>
      <c r="I2406" s="1" t="str">
        <f t="shared" si="151"/>
        <v>Other</v>
      </c>
      <c r="J2406" s="1">
        <f t="shared" si="152"/>
        <v>202688.31</v>
      </c>
    </row>
    <row r="2407" spans="1:10" ht="12.75">
      <c r="A2407" s="1" t="s">
        <v>11</v>
      </c>
      <c r="B2407" s="1" t="s">
        <v>42</v>
      </c>
      <c r="C2407" s="1" t="s">
        <v>55</v>
      </c>
      <c r="D2407" s="2">
        <v>45478</v>
      </c>
      <c r="E2407" s="1" t="s">
        <v>2204</v>
      </c>
      <c r="F2407" s="5">
        <f t="shared" si="149"/>
        <v>4055.71</v>
      </c>
      <c r="G2407" s="1">
        <v>137</v>
      </c>
      <c r="H2407" s="1" t="str">
        <f t="shared" si="150"/>
        <v>High</v>
      </c>
      <c r="I2407" s="1" t="str">
        <f t="shared" si="151"/>
        <v>Other</v>
      </c>
      <c r="J2407" s="1">
        <f t="shared" si="152"/>
        <v>202688.31</v>
      </c>
    </row>
    <row r="2408" spans="1:10" ht="12.75">
      <c r="A2408" s="1" t="s">
        <v>9</v>
      </c>
      <c r="B2408" s="1" t="s">
        <v>59</v>
      </c>
      <c r="C2408" s="1" t="s">
        <v>52</v>
      </c>
      <c r="D2408" s="2">
        <v>45366</v>
      </c>
      <c r="E2408" s="1" t="s">
        <v>2205</v>
      </c>
      <c r="F2408" s="5">
        <f t="shared" si="149"/>
        <v>5432.84</v>
      </c>
      <c r="G2408" s="1">
        <v>450</v>
      </c>
      <c r="H2408" s="1" t="str">
        <f t="shared" si="150"/>
        <v>High</v>
      </c>
      <c r="I2408" s="1" t="str">
        <f t="shared" si="151"/>
        <v>Other</v>
      </c>
      <c r="J2408" s="1">
        <f t="shared" si="152"/>
        <v>202688.31</v>
      </c>
    </row>
    <row r="2409" spans="1:10" ht="12.75">
      <c r="A2409" s="1" t="s">
        <v>16</v>
      </c>
      <c r="B2409" s="1" t="s">
        <v>39</v>
      </c>
      <c r="C2409" s="1" t="s">
        <v>100</v>
      </c>
      <c r="D2409" s="2">
        <v>45526</v>
      </c>
      <c r="E2409" s="1" t="s">
        <v>2206</v>
      </c>
      <c r="F2409" s="5">
        <f t="shared" si="149"/>
        <v>6016.8</v>
      </c>
      <c r="G2409" s="1">
        <v>71</v>
      </c>
      <c r="H2409" s="1" t="str">
        <f t="shared" si="150"/>
        <v>High</v>
      </c>
      <c r="I2409" s="1" t="str">
        <f t="shared" si="151"/>
        <v>Other</v>
      </c>
      <c r="J2409" s="1">
        <f t="shared" si="152"/>
        <v>202688.31</v>
      </c>
    </row>
    <row r="2410" spans="1:10" ht="12.75">
      <c r="A2410" s="1" t="s">
        <v>17</v>
      </c>
      <c r="B2410" s="1" t="s">
        <v>5</v>
      </c>
      <c r="C2410" s="1" t="s">
        <v>147</v>
      </c>
      <c r="D2410" s="2">
        <v>45303</v>
      </c>
      <c r="E2410" s="1" t="s">
        <v>2207</v>
      </c>
      <c r="F2410" s="5">
        <f t="shared" si="149"/>
        <v>3609.76</v>
      </c>
      <c r="G2410" s="1">
        <v>122</v>
      </c>
      <c r="H2410" s="1" t="str">
        <f t="shared" si="150"/>
        <v>High</v>
      </c>
      <c r="I2410" s="1" t="str">
        <f t="shared" si="151"/>
        <v>Other</v>
      </c>
      <c r="J2410" s="1">
        <f t="shared" si="152"/>
        <v>202688.31</v>
      </c>
    </row>
    <row r="2411" spans="1:10" ht="12.75">
      <c r="A2411" s="1" t="s">
        <v>14</v>
      </c>
      <c r="B2411" s="1" t="s">
        <v>39</v>
      </c>
      <c r="C2411" s="1" t="s">
        <v>122</v>
      </c>
      <c r="D2411" s="2">
        <v>45453</v>
      </c>
      <c r="E2411" s="1" t="s">
        <v>2208</v>
      </c>
      <c r="F2411" s="5">
        <f t="shared" si="149"/>
        <v>302.25</v>
      </c>
      <c r="G2411" s="1">
        <v>154</v>
      </c>
      <c r="H2411" s="1" t="str">
        <f t="shared" si="150"/>
        <v>Low</v>
      </c>
      <c r="I2411" s="1" t="str">
        <f t="shared" si="151"/>
        <v>Other</v>
      </c>
      <c r="J2411" s="1">
        <f t="shared" si="152"/>
        <v>202688.31</v>
      </c>
    </row>
    <row r="2412" spans="1:10" ht="12.75">
      <c r="A2412" s="1" t="s">
        <v>8</v>
      </c>
      <c r="B2412" s="1" t="s">
        <v>5</v>
      </c>
      <c r="C2412" s="1" t="s">
        <v>45</v>
      </c>
      <c r="D2412" s="2">
        <v>45376</v>
      </c>
      <c r="E2412" s="1" t="s">
        <v>2209</v>
      </c>
      <c r="F2412" s="5">
        <f t="shared" si="149"/>
        <v>6062.87</v>
      </c>
      <c r="G2412" s="1">
        <v>290</v>
      </c>
      <c r="H2412" s="1" t="str">
        <f t="shared" si="150"/>
        <v>High</v>
      </c>
      <c r="I2412" s="1" t="str">
        <f t="shared" si="151"/>
        <v>Other</v>
      </c>
      <c r="J2412" s="1">
        <f t="shared" si="152"/>
        <v>202688.31</v>
      </c>
    </row>
    <row r="2413" spans="1:10" ht="12.75">
      <c r="A2413" s="1" t="s">
        <v>19</v>
      </c>
      <c r="B2413" s="1" t="s">
        <v>42</v>
      </c>
      <c r="C2413" s="1" t="s">
        <v>91</v>
      </c>
      <c r="D2413" s="2">
        <v>45500</v>
      </c>
      <c r="E2413" s="1" t="s">
        <v>2210</v>
      </c>
      <c r="F2413" s="5">
        <f t="shared" si="149"/>
        <v>3589.91</v>
      </c>
      <c r="G2413" s="1">
        <v>106</v>
      </c>
      <c r="H2413" s="1" t="str">
        <f t="shared" si="150"/>
        <v>High</v>
      </c>
      <c r="I2413" s="1" t="str">
        <f t="shared" si="151"/>
        <v>Other</v>
      </c>
      <c r="J2413" s="1">
        <f t="shared" si="152"/>
        <v>202688.31</v>
      </c>
    </row>
    <row r="2414" spans="1:10" ht="12.75">
      <c r="A2414" s="1" t="s">
        <v>13</v>
      </c>
      <c r="B2414" s="1" t="s">
        <v>39</v>
      </c>
      <c r="C2414" s="1" t="s">
        <v>126</v>
      </c>
      <c r="D2414" s="2">
        <v>45397</v>
      </c>
      <c r="E2414" s="1" t="s">
        <v>2211</v>
      </c>
      <c r="F2414" s="5">
        <f t="shared" si="149"/>
        <v>16457.28</v>
      </c>
      <c r="G2414" s="1">
        <v>442</v>
      </c>
      <c r="H2414" s="1" t="str">
        <f t="shared" si="150"/>
        <v>High</v>
      </c>
      <c r="I2414" s="1" t="str">
        <f t="shared" si="151"/>
        <v>Other</v>
      </c>
      <c r="J2414" s="1">
        <f t="shared" si="152"/>
        <v>202688.31</v>
      </c>
    </row>
    <row r="2415" spans="1:10" ht="12.75">
      <c r="A2415" s="1" t="s">
        <v>26</v>
      </c>
      <c r="B2415" s="1" t="s">
        <v>42</v>
      </c>
      <c r="C2415" s="1" t="s">
        <v>60</v>
      </c>
      <c r="D2415" s="2">
        <v>45470</v>
      </c>
      <c r="E2415" s="1" t="s">
        <v>2212</v>
      </c>
      <c r="F2415" s="5">
        <f t="shared" si="149"/>
        <v>4813.53</v>
      </c>
      <c r="G2415" s="1">
        <v>19</v>
      </c>
      <c r="H2415" s="1" t="str">
        <f t="shared" si="150"/>
        <v>High</v>
      </c>
      <c r="I2415" s="1" t="str">
        <f t="shared" si="151"/>
        <v>Other</v>
      </c>
      <c r="J2415" s="1">
        <f t="shared" si="152"/>
        <v>202688.31</v>
      </c>
    </row>
    <row r="2416" spans="1:10" ht="12.75">
      <c r="A2416" s="1" t="s">
        <v>11</v>
      </c>
      <c r="B2416" s="1" t="s">
        <v>39</v>
      </c>
      <c r="C2416" s="1" t="s">
        <v>147</v>
      </c>
      <c r="D2416" s="2">
        <v>45396</v>
      </c>
      <c r="E2416" s="1" t="s">
        <v>2213</v>
      </c>
      <c r="F2416" s="5">
        <f t="shared" si="149"/>
        <v>5819.17</v>
      </c>
      <c r="G2416" s="1">
        <v>270</v>
      </c>
      <c r="H2416" s="1" t="str">
        <f t="shared" si="150"/>
        <v>High</v>
      </c>
      <c r="I2416" s="1" t="str">
        <f t="shared" si="151"/>
        <v>Other</v>
      </c>
      <c r="J2416" s="1">
        <f t="shared" si="152"/>
        <v>202688.31</v>
      </c>
    </row>
    <row r="2417" spans="1:10" ht="12.75">
      <c r="A2417" s="1" t="s">
        <v>13</v>
      </c>
      <c r="B2417" s="1" t="s">
        <v>5</v>
      </c>
      <c r="C2417" s="1" t="s">
        <v>86</v>
      </c>
      <c r="D2417" s="2">
        <v>45366</v>
      </c>
      <c r="E2417" s="1" t="s">
        <v>2214</v>
      </c>
      <c r="F2417" s="5">
        <f t="shared" si="149"/>
        <v>7824.91</v>
      </c>
      <c r="G2417" s="1">
        <v>100</v>
      </c>
      <c r="H2417" s="1" t="str">
        <f t="shared" si="150"/>
        <v>High</v>
      </c>
      <c r="I2417" s="1" t="str">
        <f t="shared" si="151"/>
        <v>Other</v>
      </c>
      <c r="J2417" s="1">
        <f t="shared" si="152"/>
        <v>202688.31</v>
      </c>
    </row>
    <row r="2418" spans="1:10" ht="12.75">
      <c r="A2418" s="1" t="s">
        <v>9</v>
      </c>
      <c r="B2418" s="1" t="s">
        <v>59</v>
      </c>
      <c r="C2418" s="1" t="s">
        <v>63</v>
      </c>
      <c r="D2418" s="2">
        <v>45369</v>
      </c>
      <c r="E2418" s="1" t="s">
        <v>2215</v>
      </c>
      <c r="F2418" s="5">
        <f t="shared" si="149"/>
        <v>9446.67</v>
      </c>
      <c r="G2418" s="1">
        <v>193</v>
      </c>
      <c r="H2418" s="1" t="str">
        <f t="shared" si="150"/>
        <v>High</v>
      </c>
      <c r="I2418" s="1" t="str">
        <f t="shared" si="151"/>
        <v>Other</v>
      </c>
      <c r="J2418" s="1">
        <f t="shared" si="152"/>
        <v>202688.31</v>
      </c>
    </row>
    <row r="2419" spans="1:10" ht="12.75">
      <c r="A2419" s="1" t="s">
        <v>7</v>
      </c>
      <c r="B2419" s="1" t="s">
        <v>42</v>
      </c>
      <c r="C2419" s="1" t="s">
        <v>63</v>
      </c>
      <c r="D2419" s="2">
        <v>45411</v>
      </c>
      <c r="E2419" s="1" t="s">
        <v>2216</v>
      </c>
      <c r="F2419" s="5">
        <f t="shared" si="149"/>
        <v>1447.58</v>
      </c>
      <c r="G2419" s="1">
        <v>67</v>
      </c>
      <c r="H2419" s="1" t="str">
        <f t="shared" si="150"/>
        <v>High</v>
      </c>
      <c r="I2419" s="1" t="str">
        <f t="shared" si="151"/>
        <v>Other</v>
      </c>
      <c r="J2419" s="1">
        <f t="shared" si="152"/>
        <v>202688.31</v>
      </c>
    </row>
    <row r="2420" spans="1:10" ht="12.75">
      <c r="A2420" s="1" t="s">
        <v>2</v>
      </c>
      <c r="B2420" s="1" t="s">
        <v>54</v>
      </c>
      <c r="C2420" s="1" t="s">
        <v>84</v>
      </c>
      <c r="D2420" s="2">
        <v>45347</v>
      </c>
      <c r="E2420" s="1" t="s">
        <v>2217</v>
      </c>
      <c r="F2420" s="5">
        <f t="shared" si="149"/>
        <v>3356.27</v>
      </c>
      <c r="G2420" s="1">
        <v>238</v>
      </c>
      <c r="H2420" s="1" t="str">
        <f t="shared" si="150"/>
        <v>High</v>
      </c>
      <c r="I2420" s="1" t="str">
        <f t="shared" si="151"/>
        <v>Other</v>
      </c>
      <c r="J2420" s="1">
        <f t="shared" si="152"/>
        <v>202688.31</v>
      </c>
    </row>
    <row r="2421" spans="1:10" ht="12.75">
      <c r="A2421" s="1" t="s">
        <v>13</v>
      </c>
      <c r="B2421" s="1" t="s">
        <v>59</v>
      </c>
      <c r="C2421" s="1" t="s">
        <v>72</v>
      </c>
      <c r="D2421" s="2">
        <v>45353</v>
      </c>
      <c r="E2421" s="1" t="s">
        <v>2218</v>
      </c>
      <c r="F2421" s="5">
        <f t="shared" si="149"/>
        <v>1031.25</v>
      </c>
      <c r="G2421" s="1">
        <v>55</v>
      </c>
      <c r="H2421" s="1" t="str">
        <f t="shared" si="150"/>
        <v>High</v>
      </c>
      <c r="I2421" s="1" t="str">
        <f t="shared" si="151"/>
        <v>Other</v>
      </c>
      <c r="J2421" s="1">
        <f t="shared" si="152"/>
        <v>199332.03999999998</v>
      </c>
    </row>
    <row r="2422" spans="1:10" ht="12.75">
      <c r="A2422" s="1" t="s">
        <v>10</v>
      </c>
      <c r="B2422" s="1" t="s">
        <v>5</v>
      </c>
      <c r="C2422" s="1" t="s">
        <v>72</v>
      </c>
      <c r="D2422" s="2">
        <v>45463</v>
      </c>
      <c r="E2422" s="1" t="s">
        <v>2219</v>
      </c>
      <c r="F2422" s="5">
        <f t="shared" si="149"/>
        <v>9471.51</v>
      </c>
      <c r="G2422" s="1">
        <v>95</v>
      </c>
      <c r="H2422" s="1" t="str">
        <f t="shared" si="150"/>
        <v>High</v>
      </c>
      <c r="I2422" s="1" t="str">
        <f t="shared" si="151"/>
        <v>Other</v>
      </c>
      <c r="J2422" s="1">
        <f t="shared" si="152"/>
        <v>199332.03999999998</v>
      </c>
    </row>
    <row r="2423" spans="1:10" ht="12.75">
      <c r="A2423" s="1" t="s">
        <v>28</v>
      </c>
      <c r="B2423" s="1" t="s">
        <v>62</v>
      </c>
      <c r="C2423" s="1" t="s">
        <v>84</v>
      </c>
      <c r="D2423" s="2">
        <v>45488</v>
      </c>
      <c r="E2423" s="1" t="s">
        <v>2220</v>
      </c>
      <c r="F2423" s="5">
        <f t="shared" si="149"/>
        <v>10573.29</v>
      </c>
      <c r="G2423" s="1">
        <v>179</v>
      </c>
      <c r="H2423" s="1" t="str">
        <f t="shared" si="150"/>
        <v>High</v>
      </c>
      <c r="I2423" s="1" t="str">
        <f t="shared" si="151"/>
        <v>Other</v>
      </c>
      <c r="J2423" s="1">
        <f t="shared" si="152"/>
        <v>199332.03999999998</v>
      </c>
    </row>
    <row r="2424" spans="1:10" ht="12.75">
      <c r="A2424" s="1" t="s">
        <v>21</v>
      </c>
      <c r="B2424" s="1" t="s">
        <v>5</v>
      </c>
      <c r="C2424" s="1" t="s">
        <v>55</v>
      </c>
      <c r="D2424" s="2">
        <v>45424</v>
      </c>
      <c r="E2424" s="1" t="s">
        <v>2221</v>
      </c>
      <c r="F2424" s="5">
        <f t="shared" si="149"/>
        <v>3321.9</v>
      </c>
      <c r="G2424" s="1">
        <v>247</v>
      </c>
      <c r="H2424" s="1" t="str">
        <f t="shared" si="150"/>
        <v>High</v>
      </c>
      <c r="I2424" s="1" t="str">
        <f t="shared" si="151"/>
        <v>Other</v>
      </c>
      <c r="J2424" s="1">
        <f t="shared" si="152"/>
        <v>199332.03999999998</v>
      </c>
    </row>
    <row r="2425" spans="1:10" ht="12.75">
      <c r="A2425" s="1" t="s">
        <v>2</v>
      </c>
      <c r="B2425" s="1" t="s">
        <v>54</v>
      </c>
      <c r="C2425" s="1" t="s">
        <v>68</v>
      </c>
      <c r="D2425" s="2">
        <v>45474</v>
      </c>
      <c r="E2425" s="1" t="s">
        <v>2222</v>
      </c>
      <c r="F2425" s="5">
        <f t="shared" si="149"/>
        <v>5318</v>
      </c>
      <c r="G2425" s="1">
        <v>281</v>
      </c>
      <c r="H2425" s="1" t="str">
        <f t="shared" si="150"/>
        <v>High</v>
      </c>
      <c r="I2425" s="1" t="str">
        <f t="shared" si="151"/>
        <v>Other</v>
      </c>
      <c r="J2425" s="1">
        <f t="shared" si="152"/>
        <v>199332.03999999998</v>
      </c>
    </row>
    <row r="2426" spans="1:10" ht="12.75">
      <c r="A2426" s="1" t="s">
        <v>13</v>
      </c>
      <c r="B2426" s="1" t="s">
        <v>59</v>
      </c>
      <c r="C2426" s="1" t="s">
        <v>43</v>
      </c>
      <c r="D2426" s="2">
        <v>45512</v>
      </c>
      <c r="E2426" s="1" t="s">
        <v>2223</v>
      </c>
      <c r="F2426" s="5">
        <f t="shared" si="149"/>
        <v>415.67</v>
      </c>
      <c r="G2426" s="1">
        <v>59</v>
      </c>
      <c r="H2426" s="1" t="str">
        <f t="shared" si="150"/>
        <v>Low</v>
      </c>
      <c r="I2426" s="1" t="str">
        <f t="shared" si="151"/>
        <v>Other</v>
      </c>
      <c r="J2426" s="1">
        <f t="shared" si="152"/>
        <v>194014.04000000004</v>
      </c>
    </row>
    <row r="2427" spans="1:10" ht="12.75">
      <c r="A2427" s="1" t="s">
        <v>9</v>
      </c>
      <c r="B2427" s="1" t="s">
        <v>5</v>
      </c>
      <c r="C2427" s="1" t="s">
        <v>55</v>
      </c>
      <c r="D2427" s="2">
        <v>45498</v>
      </c>
      <c r="E2427" s="1" t="s">
        <v>2224</v>
      </c>
      <c r="F2427" s="5">
        <f t="shared" si="149"/>
        <v>8295.8799999999992</v>
      </c>
      <c r="G2427" s="1">
        <v>6</v>
      </c>
      <c r="H2427" s="1" t="str">
        <f t="shared" si="150"/>
        <v>High</v>
      </c>
      <c r="I2427" s="1" t="str">
        <f t="shared" si="151"/>
        <v>Other</v>
      </c>
      <c r="J2427" s="1">
        <f t="shared" si="152"/>
        <v>194014.04000000004</v>
      </c>
    </row>
    <row r="2428" spans="1:10" ht="12.75">
      <c r="A2428" s="1" t="s">
        <v>29</v>
      </c>
      <c r="B2428" s="1" t="s">
        <v>39</v>
      </c>
      <c r="C2428" s="1" t="s">
        <v>65</v>
      </c>
      <c r="D2428" s="2">
        <v>45430</v>
      </c>
      <c r="E2428" s="1" t="s">
        <v>2225</v>
      </c>
      <c r="F2428" s="5">
        <f t="shared" si="149"/>
        <v>3857.25</v>
      </c>
      <c r="G2428" s="1">
        <v>54</v>
      </c>
      <c r="H2428" s="1" t="str">
        <f t="shared" si="150"/>
        <v>High</v>
      </c>
      <c r="I2428" s="1" t="str">
        <f t="shared" si="151"/>
        <v>Other</v>
      </c>
      <c r="J2428" s="1">
        <f t="shared" si="152"/>
        <v>194014.04000000004</v>
      </c>
    </row>
    <row r="2429" spans="1:10" ht="12.75">
      <c r="A2429" s="1" t="s">
        <v>25</v>
      </c>
      <c r="B2429" s="1" t="s">
        <v>42</v>
      </c>
      <c r="C2429" s="1" t="s">
        <v>45</v>
      </c>
      <c r="D2429" s="2">
        <v>45488</v>
      </c>
      <c r="E2429" s="1" t="s">
        <v>2226</v>
      </c>
      <c r="F2429" s="5">
        <f t="shared" si="149"/>
        <v>14102.83</v>
      </c>
      <c r="G2429" s="1">
        <v>291</v>
      </c>
      <c r="H2429" s="1" t="str">
        <f t="shared" si="150"/>
        <v>High</v>
      </c>
      <c r="I2429" s="1" t="str">
        <f t="shared" si="151"/>
        <v>Other</v>
      </c>
      <c r="J2429" s="1">
        <f t="shared" si="152"/>
        <v>194014.04000000004</v>
      </c>
    </row>
    <row r="2430" spans="1:10" ht="12.75">
      <c r="A2430" s="1" t="s">
        <v>24</v>
      </c>
      <c r="B2430" s="1" t="s">
        <v>42</v>
      </c>
      <c r="C2430" s="1" t="s">
        <v>147</v>
      </c>
      <c r="D2430" s="2">
        <v>45478</v>
      </c>
      <c r="E2430" s="1" t="s">
        <v>2227</v>
      </c>
      <c r="F2430" s="5">
        <f t="shared" si="149"/>
        <v>2453.44</v>
      </c>
      <c r="G2430" s="1">
        <v>43</v>
      </c>
      <c r="H2430" s="1" t="str">
        <f t="shared" si="150"/>
        <v>High</v>
      </c>
      <c r="I2430" s="1" t="str">
        <f t="shared" si="151"/>
        <v>Other</v>
      </c>
      <c r="J2430" s="1">
        <f t="shared" si="152"/>
        <v>194014.04000000004</v>
      </c>
    </row>
    <row r="2431" spans="1:10" ht="12.75">
      <c r="A2431" s="1" t="s">
        <v>2</v>
      </c>
      <c r="B2431" s="1" t="s">
        <v>59</v>
      </c>
      <c r="C2431" s="1" t="s">
        <v>86</v>
      </c>
      <c r="D2431" s="2">
        <v>45477</v>
      </c>
      <c r="E2431" s="1" t="s">
        <v>2228</v>
      </c>
      <c r="F2431" s="5">
        <f t="shared" si="149"/>
        <v>5910.67</v>
      </c>
      <c r="G2431" s="1">
        <v>100</v>
      </c>
      <c r="H2431" s="1" t="str">
        <f t="shared" si="150"/>
        <v>High</v>
      </c>
      <c r="I2431" s="1" t="str">
        <f t="shared" si="151"/>
        <v>Other</v>
      </c>
      <c r="J2431" s="1">
        <f t="shared" si="152"/>
        <v>194014.04000000004</v>
      </c>
    </row>
    <row r="2432" spans="1:10" ht="12.75">
      <c r="A2432" s="1" t="s">
        <v>21</v>
      </c>
      <c r="B2432" s="1" t="s">
        <v>39</v>
      </c>
      <c r="C2432" s="1" t="s">
        <v>147</v>
      </c>
      <c r="D2432" s="2">
        <v>45463</v>
      </c>
      <c r="E2432" s="1" t="s">
        <v>2229</v>
      </c>
      <c r="F2432" s="5">
        <f t="shared" si="149"/>
        <v>1515.42</v>
      </c>
      <c r="G2432" s="1">
        <v>230</v>
      </c>
      <c r="H2432" s="1" t="str">
        <f t="shared" si="150"/>
        <v>High</v>
      </c>
      <c r="I2432" s="1" t="str">
        <f t="shared" si="151"/>
        <v>Other</v>
      </c>
      <c r="J2432" s="1">
        <f t="shared" si="152"/>
        <v>188103.37000000005</v>
      </c>
    </row>
    <row r="2433" spans="1:10" ht="12.75">
      <c r="A2433" s="1" t="s">
        <v>23</v>
      </c>
      <c r="B2433" s="1" t="s">
        <v>5</v>
      </c>
      <c r="C2433" s="1" t="s">
        <v>91</v>
      </c>
      <c r="D2433" s="2">
        <v>45316</v>
      </c>
      <c r="E2433" s="1" t="s">
        <v>2230</v>
      </c>
      <c r="F2433" s="5">
        <f t="shared" si="149"/>
        <v>4498.05</v>
      </c>
      <c r="G2433" s="1">
        <v>464</v>
      </c>
      <c r="H2433" s="1" t="str">
        <f t="shared" si="150"/>
        <v>High</v>
      </c>
      <c r="I2433" s="1" t="str">
        <f t="shared" si="151"/>
        <v>Other</v>
      </c>
      <c r="J2433" s="1">
        <f t="shared" si="152"/>
        <v>188103.37000000005</v>
      </c>
    </row>
    <row r="2434" spans="1:10" ht="12.75">
      <c r="A2434" s="1" t="s">
        <v>8</v>
      </c>
      <c r="B2434" s="1" t="s">
        <v>54</v>
      </c>
      <c r="C2434" s="1" t="s">
        <v>76</v>
      </c>
      <c r="D2434" s="2">
        <v>45474</v>
      </c>
      <c r="E2434" s="1" t="s">
        <v>2231</v>
      </c>
      <c r="F2434" s="5">
        <f t="shared" ref="F2434:F2497" si="153">VALUE(SUBSTITUTE(E2434,"$",""))</f>
        <v>8755.31</v>
      </c>
      <c r="G2434" s="1">
        <v>38</v>
      </c>
      <c r="H2434" s="1" t="str">
        <f t="shared" ref="H2434:H2497" si="154">IF(F2434&gt;800,"High",IF(F2434&gt;500,"Medium","Low"))</f>
        <v>High</v>
      </c>
      <c r="I2434" s="1" t="str">
        <f t="shared" ref="I2434:I2497" si="155">IF(AND(B2434="Australia",A2434="Mallorie Waber"),"Top Local","Other")</f>
        <v>Other</v>
      </c>
      <c r="J2434" s="1">
        <f t="shared" ref="J2434:J2497" si="156">SUMIF(A2434:A5714,"Mallorie Waber",F2434:F5714)</f>
        <v>188103.37000000005</v>
      </c>
    </row>
    <row r="2435" spans="1:10" ht="12.75">
      <c r="A2435" s="1" t="s">
        <v>20</v>
      </c>
      <c r="B2435" s="1" t="s">
        <v>59</v>
      </c>
      <c r="C2435" s="1" t="s">
        <v>55</v>
      </c>
      <c r="D2435" s="2">
        <v>45395</v>
      </c>
      <c r="E2435" s="1" t="s">
        <v>2232</v>
      </c>
      <c r="F2435" s="5">
        <f t="shared" si="153"/>
        <v>2651.48</v>
      </c>
      <c r="G2435" s="1">
        <v>60</v>
      </c>
      <c r="H2435" s="1" t="str">
        <f t="shared" si="154"/>
        <v>High</v>
      </c>
      <c r="I2435" s="1" t="str">
        <f t="shared" si="155"/>
        <v>Other</v>
      </c>
      <c r="J2435" s="1">
        <f t="shared" si="156"/>
        <v>188103.37000000005</v>
      </c>
    </row>
    <row r="2436" spans="1:10" ht="12.75">
      <c r="A2436" s="1" t="s">
        <v>28</v>
      </c>
      <c r="B2436" s="1" t="s">
        <v>39</v>
      </c>
      <c r="C2436" s="1" t="s">
        <v>49</v>
      </c>
      <c r="D2436" s="2">
        <v>45416</v>
      </c>
      <c r="E2436" s="1" t="s">
        <v>2233</v>
      </c>
      <c r="F2436" s="5">
        <f t="shared" si="153"/>
        <v>5119.3500000000004</v>
      </c>
      <c r="G2436" s="1">
        <v>77</v>
      </c>
      <c r="H2436" s="1" t="str">
        <f t="shared" si="154"/>
        <v>High</v>
      </c>
      <c r="I2436" s="1" t="str">
        <f t="shared" si="155"/>
        <v>Other</v>
      </c>
      <c r="J2436" s="1">
        <f t="shared" si="156"/>
        <v>188103.37000000005</v>
      </c>
    </row>
    <row r="2437" spans="1:10" ht="12.75">
      <c r="A2437" s="1" t="s">
        <v>28</v>
      </c>
      <c r="B2437" s="1" t="s">
        <v>5</v>
      </c>
      <c r="C2437" s="1" t="s">
        <v>122</v>
      </c>
      <c r="D2437" s="2">
        <v>45508</v>
      </c>
      <c r="E2437" s="1" t="s">
        <v>2234</v>
      </c>
      <c r="F2437" s="5">
        <f t="shared" si="153"/>
        <v>3360.74</v>
      </c>
      <c r="G2437" s="1">
        <v>119</v>
      </c>
      <c r="H2437" s="1" t="str">
        <f t="shared" si="154"/>
        <v>High</v>
      </c>
      <c r="I2437" s="1" t="str">
        <f t="shared" si="155"/>
        <v>Other</v>
      </c>
      <c r="J2437" s="1">
        <f t="shared" si="156"/>
        <v>188103.37000000005</v>
      </c>
    </row>
    <row r="2438" spans="1:10" ht="12.75">
      <c r="A2438" s="1" t="s">
        <v>28</v>
      </c>
      <c r="B2438" s="1" t="s">
        <v>42</v>
      </c>
      <c r="C2438" s="1" t="s">
        <v>147</v>
      </c>
      <c r="D2438" s="2">
        <v>45444</v>
      </c>
      <c r="E2438" s="1" t="s">
        <v>2235</v>
      </c>
      <c r="F2438" s="5">
        <f t="shared" si="153"/>
        <v>495.65</v>
      </c>
      <c r="G2438" s="1">
        <v>146</v>
      </c>
      <c r="H2438" s="1" t="str">
        <f t="shared" si="154"/>
        <v>Low</v>
      </c>
      <c r="I2438" s="1" t="str">
        <f t="shared" si="155"/>
        <v>Other</v>
      </c>
      <c r="J2438" s="1">
        <f t="shared" si="156"/>
        <v>188103.37000000005</v>
      </c>
    </row>
    <row r="2439" spans="1:10" ht="12.75">
      <c r="A2439" s="1" t="s">
        <v>11</v>
      </c>
      <c r="B2439" s="1" t="s">
        <v>39</v>
      </c>
      <c r="C2439" s="1" t="s">
        <v>102</v>
      </c>
      <c r="D2439" s="2">
        <v>45404</v>
      </c>
      <c r="E2439" s="1" t="s">
        <v>2236</v>
      </c>
      <c r="F2439" s="5">
        <f t="shared" si="153"/>
        <v>5108.8500000000004</v>
      </c>
      <c r="G2439" s="1">
        <v>187</v>
      </c>
      <c r="H2439" s="1" t="str">
        <f t="shared" si="154"/>
        <v>High</v>
      </c>
      <c r="I2439" s="1" t="str">
        <f t="shared" si="155"/>
        <v>Other</v>
      </c>
      <c r="J2439" s="1">
        <f t="shared" si="156"/>
        <v>188103.37000000005</v>
      </c>
    </row>
    <row r="2440" spans="1:10" ht="12.75">
      <c r="A2440" s="1" t="s">
        <v>8</v>
      </c>
      <c r="B2440" s="1" t="s">
        <v>59</v>
      </c>
      <c r="C2440" s="1" t="s">
        <v>55</v>
      </c>
      <c r="D2440" s="2">
        <v>45507</v>
      </c>
      <c r="E2440" s="1" t="s">
        <v>2237</v>
      </c>
      <c r="F2440" s="5">
        <f t="shared" si="153"/>
        <v>77.099999999999994</v>
      </c>
      <c r="G2440" s="1">
        <v>26</v>
      </c>
      <c r="H2440" s="1" t="str">
        <f t="shared" si="154"/>
        <v>Low</v>
      </c>
      <c r="I2440" s="1" t="str">
        <f t="shared" si="155"/>
        <v>Other</v>
      </c>
      <c r="J2440" s="1">
        <f t="shared" si="156"/>
        <v>188103.37000000005</v>
      </c>
    </row>
    <row r="2441" spans="1:10" ht="12.75">
      <c r="A2441" s="1" t="s">
        <v>17</v>
      </c>
      <c r="B2441" s="1" t="s">
        <v>59</v>
      </c>
      <c r="C2441" s="1" t="s">
        <v>60</v>
      </c>
      <c r="D2441" s="2">
        <v>45453</v>
      </c>
      <c r="E2441" s="1" t="s">
        <v>2238</v>
      </c>
      <c r="F2441" s="5">
        <f t="shared" si="153"/>
        <v>1860.29</v>
      </c>
      <c r="G2441" s="1">
        <v>71</v>
      </c>
      <c r="H2441" s="1" t="str">
        <f t="shared" si="154"/>
        <v>High</v>
      </c>
      <c r="I2441" s="1" t="str">
        <f t="shared" si="155"/>
        <v>Other</v>
      </c>
      <c r="J2441" s="1">
        <f t="shared" si="156"/>
        <v>188103.37000000005</v>
      </c>
    </row>
    <row r="2442" spans="1:10" ht="12.75">
      <c r="A2442" s="1" t="s">
        <v>23</v>
      </c>
      <c r="B2442" s="1" t="s">
        <v>39</v>
      </c>
      <c r="C2442" s="1" t="s">
        <v>86</v>
      </c>
      <c r="D2442" s="2">
        <v>45470</v>
      </c>
      <c r="E2442" s="1" t="s">
        <v>2239</v>
      </c>
      <c r="F2442" s="5">
        <f t="shared" si="153"/>
        <v>7917.76</v>
      </c>
      <c r="G2442" s="1">
        <v>50</v>
      </c>
      <c r="H2442" s="1" t="str">
        <f t="shared" si="154"/>
        <v>High</v>
      </c>
      <c r="I2442" s="1" t="str">
        <f t="shared" si="155"/>
        <v>Other</v>
      </c>
      <c r="J2442" s="1">
        <f t="shared" si="156"/>
        <v>188103.37000000005</v>
      </c>
    </row>
    <row r="2443" spans="1:10" ht="12.75">
      <c r="A2443" s="1" t="s">
        <v>14</v>
      </c>
      <c r="B2443" s="1" t="s">
        <v>5</v>
      </c>
      <c r="C2443" s="1" t="s">
        <v>49</v>
      </c>
      <c r="D2443" s="2">
        <v>45294</v>
      </c>
      <c r="E2443" s="1" t="s">
        <v>2240</v>
      </c>
      <c r="F2443" s="5">
        <f t="shared" si="153"/>
        <v>4059.92</v>
      </c>
      <c r="G2443" s="1">
        <v>179</v>
      </c>
      <c r="H2443" s="1" t="str">
        <f t="shared" si="154"/>
        <v>High</v>
      </c>
      <c r="I2443" s="1" t="str">
        <f t="shared" si="155"/>
        <v>Other</v>
      </c>
      <c r="J2443" s="1">
        <f t="shared" si="156"/>
        <v>188103.37000000005</v>
      </c>
    </row>
    <row r="2444" spans="1:10" ht="12.75">
      <c r="A2444" s="1" t="s">
        <v>14</v>
      </c>
      <c r="B2444" s="1" t="s">
        <v>42</v>
      </c>
      <c r="C2444" s="1" t="s">
        <v>52</v>
      </c>
      <c r="D2444" s="2">
        <v>45484</v>
      </c>
      <c r="E2444" s="1" t="s">
        <v>2241</v>
      </c>
      <c r="F2444" s="5">
        <f t="shared" si="153"/>
        <v>2816.85</v>
      </c>
      <c r="G2444" s="1">
        <v>188</v>
      </c>
      <c r="H2444" s="1" t="str">
        <f t="shared" si="154"/>
        <v>High</v>
      </c>
      <c r="I2444" s="1" t="str">
        <f t="shared" si="155"/>
        <v>Other</v>
      </c>
      <c r="J2444" s="1">
        <f t="shared" si="156"/>
        <v>188103.37000000005</v>
      </c>
    </row>
    <row r="2445" spans="1:10" ht="12.75">
      <c r="A2445" s="1" t="s">
        <v>17</v>
      </c>
      <c r="B2445" s="1" t="s">
        <v>54</v>
      </c>
      <c r="C2445" s="1" t="s">
        <v>72</v>
      </c>
      <c r="D2445" s="2">
        <v>45521</v>
      </c>
      <c r="E2445" s="1" t="s">
        <v>2242</v>
      </c>
      <c r="F2445" s="5">
        <f t="shared" si="153"/>
        <v>5306.48</v>
      </c>
      <c r="G2445" s="1">
        <v>128</v>
      </c>
      <c r="H2445" s="1" t="str">
        <f t="shared" si="154"/>
        <v>High</v>
      </c>
      <c r="I2445" s="1" t="str">
        <f t="shared" si="155"/>
        <v>Other</v>
      </c>
      <c r="J2445" s="1">
        <f t="shared" si="156"/>
        <v>188103.37000000005</v>
      </c>
    </row>
    <row r="2446" spans="1:10" ht="12.75">
      <c r="A2446" s="1" t="s">
        <v>19</v>
      </c>
      <c r="B2446" s="1" t="s">
        <v>59</v>
      </c>
      <c r="C2446" s="1" t="s">
        <v>81</v>
      </c>
      <c r="D2446" s="2">
        <v>45309</v>
      </c>
      <c r="E2446" s="1" t="s">
        <v>2243</v>
      </c>
      <c r="F2446" s="5">
        <f t="shared" si="153"/>
        <v>2756.63</v>
      </c>
      <c r="G2446" s="1">
        <v>66</v>
      </c>
      <c r="H2446" s="1" t="str">
        <f t="shared" si="154"/>
        <v>High</v>
      </c>
      <c r="I2446" s="1" t="str">
        <f t="shared" si="155"/>
        <v>Other</v>
      </c>
      <c r="J2446" s="1">
        <f t="shared" si="156"/>
        <v>188103.37000000005</v>
      </c>
    </row>
    <row r="2447" spans="1:10" ht="12.75">
      <c r="A2447" s="1" t="s">
        <v>17</v>
      </c>
      <c r="B2447" s="1" t="s">
        <v>42</v>
      </c>
      <c r="C2447" s="1" t="s">
        <v>68</v>
      </c>
      <c r="D2447" s="2">
        <v>45359</v>
      </c>
      <c r="E2447" s="1" t="s">
        <v>2244</v>
      </c>
      <c r="F2447" s="5">
        <f t="shared" si="153"/>
        <v>17903.7</v>
      </c>
      <c r="G2447" s="1">
        <v>107</v>
      </c>
      <c r="H2447" s="1" t="str">
        <f t="shared" si="154"/>
        <v>High</v>
      </c>
      <c r="I2447" s="1" t="str">
        <f t="shared" si="155"/>
        <v>Other</v>
      </c>
      <c r="J2447" s="1">
        <f t="shared" si="156"/>
        <v>188103.37000000005</v>
      </c>
    </row>
    <row r="2448" spans="1:10" ht="12.75">
      <c r="A2448" s="1" t="s">
        <v>2</v>
      </c>
      <c r="B2448" s="1" t="s">
        <v>5</v>
      </c>
      <c r="C2448" s="1" t="s">
        <v>60</v>
      </c>
      <c r="D2448" s="2">
        <v>45358</v>
      </c>
      <c r="E2448" s="1" t="s">
        <v>2245</v>
      </c>
      <c r="F2448" s="5">
        <f t="shared" si="153"/>
        <v>15825.08</v>
      </c>
      <c r="G2448" s="1">
        <v>284</v>
      </c>
      <c r="H2448" s="1" t="str">
        <f t="shared" si="154"/>
        <v>High</v>
      </c>
      <c r="I2448" s="1" t="str">
        <f t="shared" si="155"/>
        <v>Top Local</v>
      </c>
      <c r="J2448" s="1">
        <f t="shared" si="156"/>
        <v>188103.37000000005</v>
      </c>
    </row>
    <row r="2449" spans="1:10" ht="12.75">
      <c r="A2449" s="1" t="s">
        <v>13</v>
      </c>
      <c r="B2449" s="1" t="s">
        <v>42</v>
      </c>
      <c r="C2449" s="1" t="s">
        <v>147</v>
      </c>
      <c r="D2449" s="2">
        <v>45421</v>
      </c>
      <c r="E2449" s="1" t="s">
        <v>2246</v>
      </c>
      <c r="F2449" s="5">
        <f t="shared" si="153"/>
        <v>7745.33</v>
      </c>
      <c r="G2449" s="1">
        <v>164</v>
      </c>
      <c r="H2449" s="1" t="str">
        <f t="shared" si="154"/>
        <v>High</v>
      </c>
      <c r="I2449" s="1" t="str">
        <f t="shared" si="155"/>
        <v>Other</v>
      </c>
      <c r="J2449" s="1">
        <f t="shared" si="156"/>
        <v>172278.29000000004</v>
      </c>
    </row>
    <row r="2450" spans="1:10" ht="12.75">
      <c r="A2450" s="1" t="s">
        <v>16</v>
      </c>
      <c r="B2450" s="1" t="s">
        <v>54</v>
      </c>
      <c r="C2450" s="1" t="s">
        <v>43</v>
      </c>
      <c r="D2450" s="2">
        <v>45435</v>
      </c>
      <c r="E2450" s="1" t="s">
        <v>2247</v>
      </c>
      <c r="F2450" s="5">
        <f t="shared" si="153"/>
        <v>2214.91</v>
      </c>
      <c r="G2450" s="1">
        <v>161</v>
      </c>
      <c r="H2450" s="1" t="str">
        <f t="shared" si="154"/>
        <v>High</v>
      </c>
      <c r="I2450" s="1" t="str">
        <f t="shared" si="155"/>
        <v>Other</v>
      </c>
      <c r="J2450" s="1">
        <f t="shared" si="156"/>
        <v>172278.29000000004</v>
      </c>
    </row>
    <row r="2451" spans="1:10" ht="12.75">
      <c r="A2451" s="1" t="s">
        <v>9</v>
      </c>
      <c r="B2451" s="1" t="s">
        <v>39</v>
      </c>
      <c r="C2451" s="1" t="s">
        <v>126</v>
      </c>
      <c r="D2451" s="2">
        <v>45397</v>
      </c>
      <c r="E2451" s="1" t="s">
        <v>2248</v>
      </c>
      <c r="F2451" s="5">
        <f t="shared" si="153"/>
        <v>190.24</v>
      </c>
      <c r="G2451" s="1">
        <v>156</v>
      </c>
      <c r="H2451" s="1" t="str">
        <f t="shared" si="154"/>
        <v>Low</v>
      </c>
      <c r="I2451" s="1" t="str">
        <f t="shared" si="155"/>
        <v>Other</v>
      </c>
      <c r="J2451" s="1">
        <f t="shared" si="156"/>
        <v>172278.29000000004</v>
      </c>
    </row>
    <row r="2452" spans="1:10" ht="12.75">
      <c r="A2452" s="1" t="s">
        <v>20</v>
      </c>
      <c r="B2452" s="1" t="s">
        <v>5</v>
      </c>
      <c r="C2452" s="1" t="s">
        <v>65</v>
      </c>
      <c r="D2452" s="2">
        <v>45500</v>
      </c>
      <c r="E2452" s="1" t="s">
        <v>2249</v>
      </c>
      <c r="F2452" s="5">
        <f t="shared" si="153"/>
        <v>2960</v>
      </c>
      <c r="G2452" s="1">
        <v>141</v>
      </c>
      <c r="H2452" s="1" t="str">
        <f t="shared" si="154"/>
        <v>High</v>
      </c>
      <c r="I2452" s="1" t="str">
        <f t="shared" si="155"/>
        <v>Other</v>
      </c>
      <c r="J2452" s="1">
        <f t="shared" si="156"/>
        <v>172278.29000000004</v>
      </c>
    </row>
    <row r="2453" spans="1:10" ht="12.75">
      <c r="A2453" s="1" t="s">
        <v>14</v>
      </c>
      <c r="B2453" s="1" t="s">
        <v>62</v>
      </c>
      <c r="C2453" s="1" t="s">
        <v>102</v>
      </c>
      <c r="D2453" s="2">
        <v>45526</v>
      </c>
      <c r="E2453" s="1" t="s">
        <v>2250</v>
      </c>
      <c r="F2453" s="5">
        <f t="shared" si="153"/>
        <v>2937.62</v>
      </c>
      <c r="G2453" s="1">
        <v>389</v>
      </c>
      <c r="H2453" s="1" t="str">
        <f t="shared" si="154"/>
        <v>High</v>
      </c>
      <c r="I2453" s="1" t="str">
        <f t="shared" si="155"/>
        <v>Other</v>
      </c>
      <c r="J2453" s="1">
        <f t="shared" si="156"/>
        <v>172278.29000000004</v>
      </c>
    </row>
    <row r="2454" spans="1:10" ht="12.75">
      <c r="A2454" s="1" t="s">
        <v>17</v>
      </c>
      <c r="B2454" s="1" t="s">
        <v>59</v>
      </c>
      <c r="C2454" s="1" t="s">
        <v>147</v>
      </c>
      <c r="D2454" s="2">
        <v>45423</v>
      </c>
      <c r="E2454" s="1" t="s">
        <v>2251</v>
      </c>
      <c r="F2454" s="5">
        <f t="shared" si="153"/>
        <v>4778.3599999999997</v>
      </c>
      <c r="G2454" s="1">
        <v>124</v>
      </c>
      <c r="H2454" s="1" t="str">
        <f t="shared" si="154"/>
        <v>High</v>
      </c>
      <c r="I2454" s="1" t="str">
        <f t="shared" si="155"/>
        <v>Other</v>
      </c>
      <c r="J2454" s="1">
        <f t="shared" si="156"/>
        <v>172278.29000000004</v>
      </c>
    </row>
    <row r="2455" spans="1:10" ht="12.75">
      <c r="A2455" s="1" t="s">
        <v>9</v>
      </c>
      <c r="B2455" s="1" t="s">
        <v>42</v>
      </c>
      <c r="C2455" s="1" t="s">
        <v>68</v>
      </c>
      <c r="D2455" s="2">
        <v>45317</v>
      </c>
      <c r="E2455" s="1" t="s">
        <v>2252</v>
      </c>
      <c r="F2455" s="5">
        <f t="shared" si="153"/>
        <v>5401.01</v>
      </c>
      <c r="G2455" s="1">
        <v>41</v>
      </c>
      <c r="H2455" s="1" t="str">
        <f t="shared" si="154"/>
        <v>High</v>
      </c>
      <c r="I2455" s="1" t="str">
        <f t="shared" si="155"/>
        <v>Other</v>
      </c>
      <c r="J2455" s="1">
        <f t="shared" si="156"/>
        <v>172278.29000000004</v>
      </c>
    </row>
    <row r="2456" spans="1:10" ht="12.75">
      <c r="A2456" s="1" t="s">
        <v>16</v>
      </c>
      <c r="B2456" s="1" t="s">
        <v>59</v>
      </c>
      <c r="C2456" s="1" t="s">
        <v>55</v>
      </c>
      <c r="D2456" s="2">
        <v>45396</v>
      </c>
      <c r="E2456" s="1" t="s">
        <v>2253</v>
      </c>
      <c r="F2456" s="5">
        <f t="shared" si="153"/>
        <v>15372.94</v>
      </c>
      <c r="G2456" s="1">
        <v>124</v>
      </c>
      <c r="H2456" s="1" t="str">
        <f t="shared" si="154"/>
        <v>High</v>
      </c>
      <c r="I2456" s="1" t="str">
        <f t="shared" si="155"/>
        <v>Other</v>
      </c>
      <c r="J2456" s="1">
        <f t="shared" si="156"/>
        <v>172278.29000000004</v>
      </c>
    </row>
    <row r="2457" spans="1:10" ht="12.75">
      <c r="A2457" s="1" t="s">
        <v>6</v>
      </c>
      <c r="B2457" s="1" t="s">
        <v>54</v>
      </c>
      <c r="C2457" s="1" t="s">
        <v>40</v>
      </c>
      <c r="D2457" s="2">
        <v>45387</v>
      </c>
      <c r="E2457" s="1" t="s">
        <v>2254</v>
      </c>
      <c r="F2457" s="5">
        <f t="shared" si="153"/>
        <v>7121.02</v>
      </c>
      <c r="G2457" s="1">
        <v>433</v>
      </c>
      <c r="H2457" s="1" t="str">
        <f t="shared" si="154"/>
        <v>High</v>
      </c>
      <c r="I2457" s="1" t="str">
        <f t="shared" si="155"/>
        <v>Other</v>
      </c>
      <c r="J2457" s="1">
        <f t="shared" si="156"/>
        <v>172278.29000000004</v>
      </c>
    </row>
    <row r="2458" spans="1:10" ht="12.75">
      <c r="A2458" s="1" t="s">
        <v>14</v>
      </c>
      <c r="B2458" s="1" t="s">
        <v>54</v>
      </c>
      <c r="C2458" s="1" t="s">
        <v>49</v>
      </c>
      <c r="D2458" s="2">
        <v>45457</v>
      </c>
      <c r="E2458" s="1" t="s">
        <v>2255</v>
      </c>
      <c r="F2458" s="5">
        <f t="shared" si="153"/>
        <v>9057.64</v>
      </c>
      <c r="G2458" s="1">
        <v>56</v>
      </c>
      <c r="H2458" s="1" t="str">
        <f t="shared" si="154"/>
        <v>High</v>
      </c>
      <c r="I2458" s="1" t="str">
        <f t="shared" si="155"/>
        <v>Other</v>
      </c>
      <c r="J2458" s="1">
        <f t="shared" si="156"/>
        <v>172278.29000000004</v>
      </c>
    </row>
    <row r="2459" spans="1:10" ht="12.75">
      <c r="A2459" s="1" t="s">
        <v>7</v>
      </c>
      <c r="B2459" s="1" t="s">
        <v>62</v>
      </c>
      <c r="C2459" s="1" t="s">
        <v>91</v>
      </c>
      <c r="D2459" s="2">
        <v>45395</v>
      </c>
      <c r="E2459" s="1" t="s">
        <v>2256</v>
      </c>
      <c r="F2459" s="5">
        <f t="shared" si="153"/>
        <v>5439.43</v>
      </c>
      <c r="G2459" s="1">
        <v>125</v>
      </c>
      <c r="H2459" s="1" t="str">
        <f t="shared" si="154"/>
        <v>High</v>
      </c>
      <c r="I2459" s="1" t="str">
        <f t="shared" si="155"/>
        <v>Other</v>
      </c>
      <c r="J2459" s="1">
        <f t="shared" si="156"/>
        <v>172278.29000000004</v>
      </c>
    </row>
    <row r="2460" spans="1:10" ht="12.75">
      <c r="A2460" s="1" t="s">
        <v>28</v>
      </c>
      <c r="B2460" s="1" t="s">
        <v>5</v>
      </c>
      <c r="C2460" s="1" t="s">
        <v>84</v>
      </c>
      <c r="D2460" s="2">
        <v>45470</v>
      </c>
      <c r="E2460" s="1" t="s">
        <v>2257</v>
      </c>
      <c r="F2460" s="5">
        <f t="shared" si="153"/>
        <v>2659.78</v>
      </c>
      <c r="G2460" s="1">
        <v>178</v>
      </c>
      <c r="H2460" s="1" t="str">
        <f t="shared" si="154"/>
        <v>High</v>
      </c>
      <c r="I2460" s="1" t="str">
        <f t="shared" si="155"/>
        <v>Other</v>
      </c>
      <c r="J2460" s="1">
        <f t="shared" si="156"/>
        <v>172278.29000000004</v>
      </c>
    </row>
    <row r="2461" spans="1:10" ht="12.75">
      <c r="A2461" s="1" t="s">
        <v>21</v>
      </c>
      <c r="B2461" s="1" t="s">
        <v>5</v>
      </c>
      <c r="C2461" s="1" t="s">
        <v>63</v>
      </c>
      <c r="D2461" s="2">
        <v>45317</v>
      </c>
      <c r="E2461" s="1" t="s">
        <v>2258</v>
      </c>
      <c r="F2461" s="5">
        <f t="shared" si="153"/>
        <v>7897.59</v>
      </c>
      <c r="G2461" s="1">
        <v>3</v>
      </c>
      <c r="H2461" s="1" t="str">
        <f t="shared" si="154"/>
        <v>High</v>
      </c>
      <c r="I2461" s="1" t="str">
        <f t="shared" si="155"/>
        <v>Other</v>
      </c>
      <c r="J2461" s="1">
        <f t="shared" si="156"/>
        <v>172278.29000000004</v>
      </c>
    </row>
    <row r="2462" spans="1:10" ht="12.75">
      <c r="A2462" s="1" t="s">
        <v>16</v>
      </c>
      <c r="B2462" s="1" t="s">
        <v>39</v>
      </c>
      <c r="C2462" s="1" t="s">
        <v>84</v>
      </c>
      <c r="D2462" s="2">
        <v>45478</v>
      </c>
      <c r="E2462" s="1" t="s">
        <v>2259</v>
      </c>
      <c r="F2462" s="5">
        <f t="shared" si="153"/>
        <v>1959.22</v>
      </c>
      <c r="G2462" s="1">
        <v>70</v>
      </c>
      <c r="H2462" s="1" t="str">
        <f t="shared" si="154"/>
        <v>High</v>
      </c>
      <c r="I2462" s="1" t="str">
        <f t="shared" si="155"/>
        <v>Other</v>
      </c>
      <c r="J2462" s="1">
        <f t="shared" si="156"/>
        <v>172278.29000000004</v>
      </c>
    </row>
    <row r="2463" spans="1:10" ht="12.75">
      <c r="A2463" s="1" t="s">
        <v>28</v>
      </c>
      <c r="B2463" s="1" t="s">
        <v>62</v>
      </c>
      <c r="C2463" s="1" t="s">
        <v>122</v>
      </c>
      <c r="D2463" s="2">
        <v>45302</v>
      </c>
      <c r="E2463" s="1" t="s">
        <v>2260</v>
      </c>
      <c r="F2463" s="5">
        <f t="shared" si="153"/>
        <v>15305.32</v>
      </c>
      <c r="G2463" s="1">
        <v>91</v>
      </c>
      <c r="H2463" s="1" t="str">
        <f t="shared" si="154"/>
        <v>High</v>
      </c>
      <c r="I2463" s="1" t="str">
        <f t="shared" si="155"/>
        <v>Other</v>
      </c>
      <c r="J2463" s="1">
        <f t="shared" si="156"/>
        <v>172278.29000000004</v>
      </c>
    </row>
    <row r="2464" spans="1:10" ht="12.75">
      <c r="A2464" s="1" t="s">
        <v>12</v>
      </c>
      <c r="B2464" s="1" t="s">
        <v>59</v>
      </c>
      <c r="C2464" s="1" t="s">
        <v>84</v>
      </c>
      <c r="D2464" s="2">
        <v>45358</v>
      </c>
      <c r="E2464" s="1" t="s">
        <v>2261</v>
      </c>
      <c r="F2464" s="5">
        <f t="shared" si="153"/>
        <v>11257.11</v>
      </c>
      <c r="G2464" s="1">
        <v>21</v>
      </c>
      <c r="H2464" s="1" t="str">
        <f t="shared" si="154"/>
        <v>High</v>
      </c>
      <c r="I2464" s="1" t="str">
        <f t="shared" si="155"/>
        <v>Other</v>
      </c>
      <c r="J2464" s="1">
        <f t="shared" si="156"/>
        <v>172278.29000000004</v>
      </c>
    </row>
    <row r="2465" spans="1:10" ht="12.75">
      <c r="A2465" s="1" t="s">
        <v>8</v>
      </c>
      <c r="B2465" s="1" t="s">
        <v>62</v>
      </c>
      <c r="C2465" s="1" t="s">
        <v>55</v>
      </c>
      <c r="D2465" s="2">
        <v>45355</v>
      </c>
      <c r="E2465" s="1" t="s">
        <v>2262</v>
      </c>
      <c r="F2465" s="5">
        <f t="shared" si="153"/>
        <v>9207.09</v>
      </c>
      <c r="G2465" s="1">
        <v>109</v>
      </c>
      <c r="H2465" s="1" t="str">
        <f t="shared" si="154"/>
        <v>High</v>
      </c>
      <c r="I2465" s="1" t="str">
        <f t="shared" si="155"/>
        <v>Other</v>
      </c>
      <c r="J2465" s="1">
        <f t="shared" si="156"/>
        <v>172278.29000000004</v>
      </c>
    </row>
    <row r="2466" spans="1:10" ht="12.75">
      <c r="A2466" s="1" t="s">
        <v>18</v>
      </c>
      <c r="B2466" s="1" t="s">
        <v>62</v>
      </c>
      <c r="C2466" s="1" t="s">
        <v>68</v>
      </c>
      <c r="D2466" s="2">
        <v>45488</v>
      </c>
      <c r="E2466" s="1" t="s">
        <v>2263</v>
      </c>
      <c r="F2466" s="5">
        <f t="shared" si="153"/>
        <v>2769.94</v>
      </c>
      <c r="G2466" s="1">
        <v>302</v>
      </c>
      <c r="H2466" s="1" t="str">
        <f t="shared" si="154"/>
        <v>High</v>
      </c>
      <c r="I2466" s="1" t="str">
        <f t="shared" si="155"/>
        <v>Other</v>
      </c>
      <c r="J2466" s="1">
        <f t="shared" si="156"/>
        <v>172278.29000000004</v>
      </c>
    </row>
    <row r="2467" spans="1:10" ht="12.75">
      <c r="A2467" s="1" t="s">
        <v>8</v>
      </c>
      <c r="B2467" s="1" t="s">
        <v>39</v>
      </c>
      <c r="C2467" s="1" t="s">
        <v>45</v>
      </c>
      <c r="D2467" s="2">
        <v>45423</v>
      </c>
      <c r="E2467" s="1" t="s">
        <v>2264</v>
      </c>
      <c r="F2467" s="5">
        <f t="shared" si="153"/>
        <v>7477.56</v>
      </c>
      <c r="G2467" s="1">
        <v>85</v>
      </c>
      <c r="H2467" s="1" t="str">
        <f t="shared" si="154"/>
        <v>High</v>
      </c>
      <c r="I2467" s="1" t="str">
        <f t="shared" si="155"/>
        <v>Other</v>
      </c>
      <c r="J2467" s="1">
        <f t="shared" si="156"/>
        <v>172278.29000000004</v>
      </c>
    </row>
    <row r="2468" spans="1:10" ht="12.75">
      <c r="A2468" s="1" t="s">
        <v>18</v>
      </c>
      <c r="B2468" s="1" t="s">
        <v>59</v>
      </c>
      <c r="C2468" s="1" t="s">
        <v>72</v>
      </c>
      <c r="D2468" s="2">
        <v>45318</v>
      </c>
      <c r="E2468" s="1" t="s">
        <v>2265</v>
      </c>
      <c r="F2468" s="5">
        <f t="shared" si="153"/>
        <v>5231.54</v>
      </c>
      <c r="G2468" s="1">
        <v>8</v>
      </c>
      <c r="H2468" s="1" t="str">
        <f t="shared" si="154"/>
        <v>High</v>
      </c>
      <c r="I2468" s="1" t="str">
        <f t="shared" si="155"/>
        <v>Other</v>
      </c>
      <c r="J2468" s="1">
        <f t="shared" si="156"/>
        <v>172278.29000000004</v>
      </c>
    </row>
    <row r="2469" spans="1:10" ht="12.75">
      <c r="A2469" s="1" t="s">
        <v>18</v>
      </c>
      <c r="B2469" s="1" t="s">
        <v>42</v>
      </c>
      <c r="C2469" s="1" t="s">
        <v>60</v>
      </c>
      <c r="D2469" s="2">
        <v>45470</v>
      </c>
      <c r="E2469" s="1" t="s">
        <v>2266</v>
      </c>
      <c r="F2469" s="5">
        <f t="shared" si="153"/>
        <v>3745.21</v>
      </c>
      <c r="G2469" s="1">
        <v>161</v>
      </c>
      <c r="H2469" s="1" t="str">
        <f t="shared" si="154"/>
        <v>High</v>
      </c>
      <c r="I2469" s="1" t="str">
        <f t="shared" si="155"/>
        <v>Other</v>
      </c>
      <c r="J2469" s="1">
        <f t="shared" si="156"/>
        <v>172278.29000000004</v>
      </c>
    </row>
    <row r="2470" spans="1:10" ht="12.75">
      <c r="A2470" s="1" t="s">
        <v>17</v>
      </c>
      <c r="B2470" s="1" t="s">
        <v>42</v>
      </c>
      <c r="C2470" s="1" t="s">
        <v>49</v>
      </c>
      <c r="D2470" s="2">
        <v>45507</v>
      </c>
      <c r="E2470" s="1" t="s">
        <v>2267</v>
      </c>
      <c r="F2470" s="5">
        <f t="shared" si="153"/>
        <v>8503.93</v>
      </c>
      <c r="G2470" s="1">
        <v>19</v>
      </c>
      <c r="H2470" s="1" t="str">
        <f t="shared" si="154"/>
        <v>High</v>
      </c>
      <c r="I2470" s="1" t="str">
        <f t="shared" si="155"/>
        <v>Other</v>
      </c>
      <c r="J2470" s="1">
        <f t="shared" si="156"/>
        <v>172278.29000000004</v>
      </c>
    </row>
    <row r="2471" spans="1:10" ht="12.75">
      <c r="A2471" s="1" t="s">
        <v>29</v>
      </c>
      <c r="B2471" s="1" t="s">
        <v>54</v>
      </c>
      <c r="C2471" s="1" t="s">
        <v>40</v>
      </c>
      <c r="D2471" s="2">
        <v>45523</v>
      </c>
      <c r="E2471" s="1" t="s">
        <v>2268</v>
      </c>
      <c r="F2471" s="5">
        <f t="shared" si="153"/>
        <v>12524.3</v>
      </c>
      <c r="G2471" s="1">
        <v>251</v>
      </c>
      <c r="H2471" s="1" t="str">
        <f t="shared" si="154"/>
        <v>High</v>
      </c>
      <c r="I2471" s="1" t="str">
        <f t="shared" si="155"/>
        <v>Other</v>
      </c>
      <c r="J2471" s="1">
        <f t="shared" si="156"/>
        <v>172278.29000000004</v>
      </c>
    </row>
    <row r="2472" spans="1:10" ht="12.75">
      <c r="A2472" s="1" t="s">
        <v>29</v>
      </c>
      <c r="B2472" s="1" t="s">
        <v>5</v>
      </c>
      <c r="C2472" s="1" t="s">
        <v>81</v>
      </c>
      <c r="D2472" s="2">
        <v>45458</v>
      </c>
      <c r="E2472" s="1" t="s">
        <v>2269</v>
      </c>
      <c r="F2472" s="5">
        <f t="shared" si="153"/>
        <v>472.27</v>
      </c>
      <c r="G2472" s="1">
        <v>101</v>
      </c>
      <c r="H2472" s="1" t="str">
        <f t="shared" si="154"/>
        <v>Low</v>
      </c>
      <c r="I2472" s="1" t="str">
        <f t="shared" si="155"/>
        <v>Other</v>
      </c>
      <c r="J2472" s="1">
        <f t="shared" si="156"/>
        <v>172278.29000000004</v>
      </c>
    </row>
    <row r="2473" spans="1:10" ht="12.75">
      <c r="A2473" s="1" t="s">
        <v>6</v>
      </c>
      <c r="B2473" s="1" t="s">
        <v>39</v>
      </c>
      <c r="C2473" s="1" t="s">
        <v>45</v>
      </c>
      <c r="D2473" s="2">
        <v>45329</v>
      </c>
      <c r="E2473" s="1" t="s">
        <v>2270</v>
      </c>
      <c r="F2473" s="5">
        <f t="shared" si="153"/>
        <v>9771.8700000000008</v>
      </c>
      <c r="G2473" s="1">
        <v>158</v>
      </c>
      <c r="H2473" s="1" t="str">
        <f t="shared" si="154"/>
        <v>High</v>
      </c>
      <c r="I2473" s="1" t="str">
        <f t="shared" si="155"/>
        <v>Other</v>
      </c>
      <c r="J2473" s="1">
        <f t="shared" si="156"/>
        <v>172278.29000000004</v>
      </c>
    </row>
    <row r="2474" spans="1:10" ht="12.75">
      <c r="A2474" s="1" t="s">
        <v>18</v>
      </c>
      <c r="B2474" s="1" t="s">
        <v>5</v>
      </c>
      <c r="C2474" s="1" t="s">
        <v>91</v>
      </c>
      <c r="D2474" s="2">
        <v>45481</v>
      </c>
      <c r="E2474" s="1" t="s">
        <v>2271</v>
      </c>
      <c r="F2474" s="5">
        <f t="shared" si="153"/>
        <v>8130.06</v>
      </c>
      <c r="G2474" s="1">
        <v>140</v>
      </c>
      <c r="H2474" s="1" t="str">
        <f t="shared" si="154"/>
        <v>High</v>
      </c>
      <c r="I2474" s="1" t="str">
        <f t="shared" si="155"/>
        <v>Other</v>
      </c>
      <c r="J2474" s="1">
        <f t="shared" si="156"/>
        <v>172278.29000000004</v>
      </c>
    </row>
    <row r="2475" spans="1:10" ht="12.75">
      <c r="A2475" s="1" t="s">
        <v>6</v>
      </c>
      <c r="B2475" s="1" t="s">
        <v>42</v>
      </c>
      <c r="C2475" s="1" t="s">
        <v>72</v>
      </c>
      <c r="D2475" s="2">
        <v>45403</v>
      </c>
      <c r="E2475" s="1" t="s">
        <v>2272</v>
      </c>
      <c r="F2475" s="5">
        <f t="shared" si="153"/>
        <v>1624.06</v>
      </c>
      <c r="G2475" s="1">
        <v>96</v>
      </c>
      <c r="H2475" s="1" t="str">
        <f t="shared" si="154"/>
        <v>High</v>
      </c>
      <c r="I2475" s="1" t="str">
        <f t="shared" si="155"/>
        <v>Other</v>
      </c>
      <c r="J2475" s="1">
        <f t="shared" si="156"/>
        <v>172278.29000000004</v>
      </c>
    </row>
    <row r="2476" spans="1:10" ht="12.75">
      <c r="A2476" s="1" t="s">
        <v>17</v>
      </c>
      <c r="B2476" s="1" t="s">
        <v>39</v>
      </c>
      <c r="C2476" s="1" t="s">
        <v>40</v>
      </c>
      <c r="D2476" s="2">
        <v>45390</v>
      </c>
      <c r="E2476" s="1" t="s">
        <v>2273</v>
      </c>
      <c r="F2476" s="5">
        <f t="shared" si="153"/>
        <v>2984.4</v>
      </c>
      <c r="G2476" s="1">
        <v>214</v>
      </c>
      <c r="H2476" s="1" t="str">
        <f t="shared" si="154"/>
        <v>High</v>
      </c>
      <c r="I2476" s="1" t="str">
        <f t="shared" si="155"/>
        <v>Other</v>
      </c>
      <c r="J2476" s="1">
        <f t="shared" si="156"/>
        <v>172278.29000000004</v>
      </c>
    </row>
    <row r="2477" spans="1:10" ht="12.75">
      <c r="A2477" s="1" t="s">
        <v>13</v>
      </c>
      <c r="B2477" s="1" t="s">
        <v>5</v>
      </c>
      <c r="C2477" s="1" t="s">
        <v>55</v>
      </c>
      <c r="D2477" s="2">
        <v>45523</v>
      </c>
      <c r="E2477" s="1" t="s">
        <v>2274</v>
      </c>
      <c r="F2477" s="5">
        <f t="shared" si="153"/>
        <v>15593.5</v>
      </c>
      <c r="G2477" s="1">
        <v>56</v>
      </c>
      <c r="H2477" s="1" t="str">
        <f t="shared" si="154"/>
        <v>High</v>
      </c>
      <c r="I2477" s="1" t="str">
        <f t="shared" si="155"/>
        <v>Other</v>
      </c>
      <c r="J2477" s="1">
        <f t="shared" si="156"/>
        <v>172278.29000000004</v>
      </c>
    </row>
    <row r="2478" spans="1:10" ht="12.75">
      <c r="A2478" s="1" t="s">
        <v>15</v>
      </c>
      <c r="B2478" s="1" t="s">
        <v>42</v>
      </c>
      <c r="C2478" s="1" t="s">
        <v>81</v>
      </c>
      <c r="D2478" s="2">
        <v>45416</v>
      </c>
      <c r="E2478" s="1" t="s">
        <v>2275</v>
      </c>
      <c r="F2478" s="5">
        <f t="shared" si="153"/>
        <v>3387.76</v>
      </c>
      <c r="G2478" s="1">
        <v>60</v>
      </c>
      <c r="H2478" s="1" t="str">
        <f t="shared" si="154"/>
        <v>High</v>
      </c>
      <c r="I2478" s="1" t="str">
        <f t="shared" si="155"/>
        <v>Other</v>
      </c>
      <c r="J2478" s="1">
        <f t="shared" si="156"/>
        <v>172278.29000000004</v>
      </c>
    </row>
    <row r="2479" spans="1:10" ht="12.75">
      <c r="A2479" s="1" t="s">
        <v>2</v>
      </c>
      <c r="B2479" s="1" t="s">
        <v>59</v>
      </c>
      <c r="C2479" s="1" t="s">
        <v>43</v>
      </c>
      <c r="D2479" s="2">
        <v>45423</v>
      </c>
      <c r="E2479" s="1" t="s">
        <v>2276</v>
      </c>
      <c r="F2479" s="5">
        <f t="shared" si="153"/>
        <v>2847.18</v>
      </c>
      <c r="G2479" s="1">
        <v>115</v>
      </c>
      <c r="H2479" s="1" t="str">
        <f t="shared" si="154"/>
        <v>High</v>
      </c>
      <c r="I2479" s="1" t="str">
        <f t="shared" si="155"/>
        <v>Other</v>
      </c>
      <c r="J2479" s="1">
        <f t="shared" si="156"/>
        <v>172278.29000000004</v>
      </c>
    </row>
    <row r="2480" spans="1:10" ht="12.75">
      <c r="A2480" s="1" t="s">
        <v>2</v>
      </c>
      <c r="B2480" s="1" t="s">
        <v>59</v>
      </c>
      <c r="C2480" s="1" t="s">
        <v>63</v>
      </c>
      <c r="D2480" s="2">
        <v>45373</v>
      </c>
      <c r="E2480" s="1" t="s">
        <v>2277</v>
      </c>
      <c r="F2480" s="5">
        <f t="shared" si="153"/>
        <v>7511.77</v>
      </c>
      <c r="G2480" s="1">
        <v>49</v>
      </c>
      <c r="H2480" s="1" t="str">
        <f t="shared" si="154"/>
        <v>High</v>
      </c>
      <c r="I2480" s="1" t="str">
        <f t="shared" si="155"/>
        <v>Other</v>
      </c>
      <c r="J2480" s="1">
        <f t="shared" si="156"/>
        <v>169431.11000000004</v>
      </c>
    </row>
    <row r="2481" spans="1:10" ht="12.75">
      <c r="A2481" s="1" t="s">
        <v>6</v>
      </c>
      <c r="B2481" s="1" t="s">
        <v>62</v>
      </c>
      <c r="C2481" s="1" t="s">
        <v>76</v>
      </c>
      <c r="D2481" s="2">
        <v>45514</v>
      </c>
      <c r="E2481" s="1" t="s">
        <v>2278</v>
      </c>
      <c r="F2481" s="5">
        <f t="shared" si="153"/>
        <v>2711.58</v>
      </c>
      <c r="G2481" s="1">
        <v>216</v>
      </c>
      <c r="H2481" s="1" t="str">
        <f t="shared" si="154"/>
        <v>High</v>
      </c>
      <c r="I2481" s="1" t="str">
        <f t="shared" si="155"/>
        <v>Other</v>
      </c>
      <c r="J2481" s="1">
        <f t="shared" si="156"/>
        <v>161919.34000000003</v>
      </c>
    </row>
    <row r="2482" spans="1:10" ht="12.75">
      <c r="A2482" s="1" t="s">
        <v>6</v>
      </c>
      <c r="B2482" s="1" t="s">
        <v>59</v>
      </c>
      <c r="C2482" s="1" t="s">
        <v>81</v>
      </c>
      <c r="D2482" s="2">
        <v>45416</v>
      </c>
      <c r="E2482" s="1" t="s">
        <v>2279</v>
      </c>
      <c r="F2482" s="5">
        <f t="shared" si="153"/>
        <v>1673.44</v>
      </c>
      <c r="G2482" s="1">
        <v>314</v>
      </c>
      <c r="H2482" s="1" t="str">
        <f t="shared" si="154"/>
        <v>High</v>
      </c>
      <c r="I2482" s="1" t="str">
        <f t="shared" si="155"/>
        <v>Other</v>
      </c>
      <c r="J2482" s="1">
        <f t="shared" si="156"/>
        <v>161919.34000000003</v>
      </c>
    </row>
    <row r="2483" spans="1:10" ht="12.75">
      <c r="A2483" s="1" t="s">
        <v>12</v>
      </c>
      <c r="B2483" s="1" t="s">
        <v>59</v>
      </c>
      <c r="C2483" s="1" t="s">
        <v>51</v>
      </c>
      <c r="D2483" s="2">
        <v>45522</v>
      </c>
      <c r="E2483" s="1" t="s">
        <v>2280</v>
      </c>
      <c r="F2483" s="5">
        <f t="shared" si="153"/>
        <v>8853.16</v>
      </c>
      <c r="G2483" s="1">
        <v>261</v>
      </c>
      <c r="H2483" s="1" t="str">
        <f t="shared" si="154"/>
        <v>High</v>
      </c>
      <c r="I2483" s="1" t="str">
        <f t="shared" si="155"/>
        <v>Other</v>
      </c>
      <c r="J2483" s="1">
        <f t="shared" si="156"/>
        <v>161919.34000000003</v>
      </c>
    </row>
    <row r="2484" spans="1:10" ht="12.75">
      <c r="A2484" s="1" t="s">
        <v>21</v>
      </c>
      <c r="B2484" s="1" t="s">
        <v>62</v>
      </c>
      <c r="C2484" s="1" t="s">
        <v>100</v>
      </c>
      <c r="D2484" s="2">
        <v>45507</v>
      </c>
      <c r="E2484" s="1" t="s">
        <v>2281</v>
      </c>
      <c r="F2484" s="5">
        <f t="shared" si="153"/>
        <v>4722.3900000000003</v>
      </c>
      <c r="G2484" s="1">
        <v>258</v>
      </c>
      <c r="H2484" s="1" t="str">
        <f t="shared" si="154"/>
        <v>High</v>
      </c>
      <c r="I2484" s="1" t="str">
        <f t="shared" si="155"/>
        <v>Other</v>
      </c>
      <c r="J2484" s="1">
        <f t="shared" si="156"/>
        <v>161919.34000000003</v>
      </c>
    </row>
    <row r="2485" spans="1:10" ht="12.75">
      <c r="A2485" s="1" t="s">
        <v>14</v>
      </c>
      <c r="B2485" s="1" t="s">
        <v>54</v>
      </c>
      <c r="C2485" s="1" t="s">
        <v>72</v>
      </c>
      <c r="D2485" s="2">
        <v>45305</v>
      </c>
      <c r="E2485" s="1" t="s">
        <v>2282</v>
      </c>
      <c r="F2485" s="5">
        <f t="shared" si="153"/>
        <v>8408.1200000000008</v>
      </c>
      <c r="G2485" s="1">
        <v>318</v>
      </c>
      <c r="H2485" s="1" t="str">
        <f t="shared" si="154"/>
        <v>High</v>
      </c>
      <c r="I2485" s="1" t="str">
        <f t="shared" si="155"/>
        <v>Other</v>
      </c>
      <c r="J2485" s="1">
        <f t="shared" si="156"/>
        <v>161919.34000000003</v>
      </c>
    </row>
    <row r="2486" spans="1:10" ht="12.75">
      <c r="A2486" s="1" t="s">
        <v>9</v>
      </c>
      <c r="B2486" s="1" t="s">
        <v>5</v>
      </c>
      <c r="C2486" s="1" t="s">
        <v>102</v>
      </c>
      <c r="D2486" s="2">
        <v>45390</v>
      </c>
      <c r="E2486" s="1" t="s">
        <v>2283</v>
      </c>
      <c r="F2486" s="5">
        <f t="shared" si="153"/>
        <v>2442.36</v>
      </c>
      <c r="G2486" s="1">
        <v>78</v>
      </c>
      <c r="H2486" s="1" t="str">
        <f t="shared" si="154"/>
        <v>High</v>
      </c>
      <c r="I2486" s="1" t="str">
        <f t="shared" si="155"/>
        <v>Other</v>
      </c>
      <c r="J2486" s="1">
        <f t="shared" si="156"/>
        <v>161919.34000000003</v>
      </c>
    </row>
    <row r="2487" spans="1:10" ht="12.75">
      <c r="A2487" s="1" t="s">
        <v>12</v>
      </c>
      <c r="B2487" s="1" t="s">
        <v>39</v>
      </c>
      <c r="C2487" s="1" t="s">
        <v>60</v>
      </c>
      <c r="D2487" s="2">
        <v>45505</v>
      </c>
      <c r="E2487" s="1" t="s">
        <v>2284</v>
      </c>
      <c r="F2487" s="5">
        <f t="shared" si="153"/>
        <v>4010.08</v>
      </c>
      <c r="G2487" s="1">
        <v>3</v>
      </c>
      <c r="H2487" s="1" t="str">
        <f t="shared" si="154"/>
        <v>High</v>
      </c>
      <c r="I2487" s="1" t="str">
        <f t="shared" si="155"/>
        <v>Other</v>
      </c>
      <c r="J2487" s="1">
        <f t="shared" si="156"/>
        <v>161919.34000000003</v>
      </c>
    </row>
    <row r="2488" spans="1:10" ht="12.75">
      <c r="A2488" s="1" t="s">
        <v>6</v>
      </c>
      <c r="B2488" s="1" t="s">
        <v>62</v>
      </c>
      <c r="C2488" s="1" t="s">
        <v>63</v>
      </c>
      <c r="D2488" s="2">
        <v>45366</v>
      </c>
      <c r="E2488" s="1" t="s">
        <v>2285</v>
      </c>
      <c r="F2488" s="5">
        <f t="shared" si="153"/>
        <v>492.21</v>
      </c>
      <c r="G2488" s="1">
        <v>45</v>
      </c>
      <c r="H2488" s="1" t="str">
        <f t="shared" si="154"/>
        <v>Low</v>
      </c>
      <c r="I2488" s="1" t="str">
        <f t="shared" si="155"/>
        <v>Other</v>
      </c>
      <c r="J2488" s="1">
        <f t="shared" si="156"/>
        <v>161919.34000000003</v>
      </c>
    </row>
    <row r="2489" spans="1:10" ht="12.75">
      <c r="A2489" s="1" t="s">
        <v>18</v>
      </c>
      <c r="B2489" s="1" t="s">
        <v>42</v>
      </c>
      <c r="C2489" s="1" t="s">
        <v>40</v>
      </c>
      <c r="D2489" s="2">
        <v>45488</v>
      </c>
      <c r="E2489" s="1" t="s">
        <v>2286</v>
      </c>
      <c r="F2489" s="5">
        <f t="shared" si="153"/>
        <v>11650.88</v>
      </c>
      <c r="G2489" s="1">
        <v>192</v>
      </c>
      <c r="H2489" s="1" t="str">
        <f t="shared" si="154"/>
        <v>High</v>
      </c>
      <c r="I2489" s="1" t="str">
        <f t="shared" si="155"/>
        <v>Other</v>
      </c>
      <c r="J2489" s="1">
        <f t="shared" si="156"/>
        <v>161919.34000000003</v>
      </c>
    </row>
    <row r="2490" spans="1:10" ht="12.75">
      <c r="A2490" s="1" t="s">
        <v>16</v>
      </c>
      <c r="B2490" s="1" t="s">
        <v>54</v>
      </c>
      <c r="C2490" s="1" t="s">
        <v>91</v>
      </c>
      <c r="D2490" s="2">
        <v>45304</v>
      </c>
      <c r="E2490" s="1" t="s">
        <v>2287</v>
      </c>
      <c r="F2490" s="5">
        <f t="shared" si="153"/>
        <v>6426.04</v>
      </c>
      <c r="G2490" s="1">
        <v>132</v>
      </c>
      <c r="H2490" s="1" t="str">
        <f t="shared" si="154"/>
        <v>High</v>
      </c>
      <c r="I2490" s="1" t="str">
        <f t="shared" si="155"/>
        <v>Other</v>
      </c>
      <c r="J2490" s="1">
        <f t="shared" si="156"/>
        <v>161919.34000000003</v>
      </c>
    </row>
    <row r="2491" spans="1:10" ht="12.75">
      <c r="A2491" s="1" t="s">
        <v>2</v>
      </c>
      <c r="B2491" s="1" t="s">
        <v>5</v>
      </c>
      <c r="C2491" s="1" t="s">
        <v>43</v>
      </c>
      <c r="D2491" s="2">
        <v>45530</v>
      </c>
      <c r="E2491" s="1" t="s">
        <v>2288</v>
      </c>
      <c r="F2491" s="5">
        <f t="shared" si="153"/>
        <v>2665.28</v>
      </c>
      <c r="G2491" s="1">
        <v>54</v>
      </c>
      <c r="H2491" s="1" t="str">
        <f t="shared" si="154"/>
        <v>High</v>
      </c>
      <c r="I2491" s="1" t="str">
        <f t="shared" si="155"/>
        <v>Top Local</v>
      </c>
      <c r="J2491" s="1">
        <f t="shared" si="156"/>
        <v>161919.34000000003</v>
      </c>
    </row>
    <row r="2492" spans="1:10" ht="12.75">
      <c r="A2492" s="1" t="s">
        <v>17</v>
      </c>
      <c r="B2492" s="1" t="s">
        <v>62</v>
      </c>
      <c r="C2492" s="1" t="s">
        <v>63</v>
      </c>
      <c r="D2492" s="2">
        <v>45301</v>
      </c>
      <c r="E2492" s="1" t="s">
        <v>2289</v>
      </c>
      <c r="F2492" s="5">
        <f t="shared" si="153"/>
        <v>2048.58</v>
      </c>
      <c r="G2492" s="1">
        <v>170</v>
      </c>
      <c r="H2492" s="1" t="str">
        <f t="shared" si="154"/>
        <v>High</v>
      </c>
      <c r="I2492" s="1" t="str">
        <f t="shared" si="155"/>
        <v>Other</v>
      </c>
      <c r="J2492" s="1">
        <f t="shared" si="156"/>
        <v>159254.06000000003</v>
      </c>
    </row>
    <row r="2493" spans="1:10" ht="12.75">
      <c r="A2493" s="1" t="s">
        <v>20</v>
      </c>
      <c r="B2493" s="1" t="s">
        <v>5</v>
      </c>
      <c r="C2493" s="1" t="s">
        <v>84</v>
      </c>
      <c r="D2493" s="2">
        <v>45423</v>
      </c>
      <c r="E2493" s="1" t="s">
        <v>2290</v>
      </c>
      <c r="F2493" s="5">
        <f t="shared" si="153"/>
        <v>6267.19</v>
      </c>
      <c r="G2493" s="1">
        <v>83</v>
      </c>
      <c r="H2493" s="1" t="str">
        <f t="shared" si="154"/>
        <v>High</v>
      </c>
      <c r="I2493" s="1" t="str">
        <f t="shared" si="155"/>
        <v>Other</v>
      </c>
      <c r="J2493" s="1">
        <f t="shared" si="156"/>
        <v>159254.06000000003</v>
      </c>
    </row>
    <row r="2494" spans="1:10" ht="12.75">
      <c r="A2494" s="1" t="s">
        <v>28</v>
      </c>
      <c r="B2494" s="1" t="s">
        <v>54</v>
      </c>
      <c r="C2494" s="1" t="s">
        <v>43</v>
      </c>
      <c r="D2494" s="2">
        <v>45534</v>
      </c>
      <c r="E2494" s="1" t="s">
        <v>2291</v>
      </c>
      <c r="F2494" s="5">
        <f t="shared" si="153"/>
        <v>12886.26</v>
      </c>
      <c r="G2494" s="1">
        <v>21</v>
      </c>
      <c r="H2494" s="1" t="str">
        <f t="shared" si="154"/>
        <v>High</v>
      </c>
      <c r="I2494" s="1" t="str">
        <f t="shared" si="155"/>
        <v>Other</v>
      </c>
      <c r="J2494" s="1">
        <f t="shared" si="156"/>
        <v>159254.06000000003</v>
      </c>
    </row>
    <row r="2495" spans="1:10" ht="12.75">
      <c r="A2495" s="1" t="s">
        <v>8</v>
      </c>
      <c r="B2495" s="1" t="s">
        <v>59</v>
      </c>
      <c r="C2495" s="1" t="s">
        <v>126</v>
      </c>
      <c r="D2495" s="2">
        <v>45494</v>
      </c>
      <c r="E2495" s="1" t="s">
        <v>2292</v>
      </c>
      <c r="F2495" s="5">
        <f t="shared" si="153"/>
        <v>6143.64</v>
      </c>
      <c r="G2495" s="1">
        <v>117</v>
      </c>
      <c r="H2495" s="1" t="str">
        <f t="shared" si="154"/>
        <v>High</v>
      </c>
      <c r="I2495" s="1" t="str">
        <f t="shared" si="155"/>
        <v>Other</v>
      </c>
      <c r="J2495" s="1">
        <f t="shared" si="156"/>
        <v>159254.06000000003</v>
      </c>
    </row>
    <row r="2496" spans="1:10" ht="12.75">
      <c r="A2496" s="1" t="s">
        <v>2</v>
      </c>
      <c r="B2496" s="1" t="s">
        <v>5</v>
      </c>
      <c r="C2496" s="1" t="s">
        <v>91</v>
      </c>
      <c r="D2496" s="2">
        <v>45505</v>
      </c>
      <c r="E2496" s="1" t="s">
        <v>2293</v>
      </c>
      <c r="F2496" s="5">
        <f t="shared" si="153"/>
        <v>8273.83</v>
      </c>
      <c r="G2496" s="1">
        <v>130</v>
      </c>
      <c r="H2496" s="1" t="str">
        <f t="shared" si="154"/>
        <v>High</v>
      </c>
      <c r="I2496" s="1" t="str">
        <f t="shared" si="155"/>
        <v>Top Local</v>
      </c>
      <c r="J2496" s="1">
        <f t="shared" si="156"/>
        <v>159254.06000000003</v>
      </c>
    </row>
    <row r="2497" spans="1:10" ht="12.75">
      <c r="A2497" s="1" t="s">
        <v>7</v>
      </c>
      <c r="B2497" s="1" t="s">
        <v>62</v>
      </c>
      <c r="C2497" s="1" t="s">
        <v>43</v>
      </c>
      <c r="D2497" s="2">
        <v>45339</v>
      </c>
      <c r="E2497" s="1" t="s">
        <v>2294</v>
      </c>
      <c r="F2497" s="5">
        <f t="shared" si="153"/>
        <v>12163.59</v>
      </c>
      <c r="G2497" s="1">
        <v>264</v>
      </c>
      <c r="H2497" s="1" t="str">
        <f t="shared" si="154"/>
        <v>High</v>
      </c>
      <c r="I2497" s="1" t="str">
        <f t="shared" si="155"/>
        <v>Other</v>
      </c>
      <c r="J2497" s="1">
        <f t="shared" si="156"/>
        <v>150980.23000000001</v>
      </c>
    </row>
    <row r="2498" spans="1:10" ht="12.75">
      <c r="A2498" s="1" t="s">
        <v>7</v>
      </c>
      <c r="B2498" s="1" t="s">
        <v>5</v>
      </c>
      <c r="C2498" s="1" t="s">
        <v>65</v>
      </c>
      <c r="D2498" s="2">
        <v>45500</v>
      </c>
      <c r="E2498" s="1" t="s">
        <v>2295</v>
      </c>
      <c r="F2498" s="5">
        <f t="shared" ref="F2498:F2561" si="157">VALUE(SUBSTITUTE(E2498,"$",""))</f>
        <v>7192.41</v>
      </c>
      <c r="G2498" s="1">
        <v>159</v>
      </c>
      <c r="H2498" s="1" t="str">
        <f t="shared" ref="H2498:H2561" si="158">IF(F2498&gt;800,"High",IF(F2498&gt;500,"Medium","Low"))</f>
        <v>High</v>
      </c>
      <c r="I2498" s="1" t="str">
        <f t="shared" ref="I2498:I2561" si="159">IF(AND(B2498="Australia",A2498="Mallorie Waber"),"Top Local","Other")</f>
        <v>Other</v>
      </c>
      <c r="J2498" s="1">
        <f t="shared" ref="J2498:J2561" si="160">SUMIF(A2498:A5778,"Mallorie Waber",F2498:F5778)</f>
        <v>150980.23000000001</v>
      </c>
    </row>
    <row r="2499" spans="1:10" ht="12.75">
      <c r="A2499" s="1" t="s">
        <v>21</v>
      </c>
      <c r="B2499" s="1" t="s">
        <v>59</v>
      </c>
      <c r="C2499" s="1" t="s">
        <v>60</v>
      </c>
      <c r="D2499" s="2">
        <v>45345</v>
      </c>
      <c r="E2499" s="1" t="s">
        <v>2296</v>
      </c>
      <c r="F2499" s="5">
        <f t="shared" si="157"/>
        <v>1452.94</v>
      </c>
      <c r="G2499" s="1">
        <v>112</v>
      </c>
      <c r="H2499" s="1" t="str">
        <f t="shared" si="158"/>
        <v>High</v>
      </c>
      <c r="I2499" s="1" t="str">
        <f t="shared" si="159"/>
        <v>Other</v>
      </c>
      <c r="J2499" s="1">
        <f t="shared" si="160"/>
        <v>150980.23000000001</v>
      </c>
    </row>
    <row r="2500" spans="1:10" ht="12.75">
      <c r="A2500" s="1" t="s">
        <v>19</v>
      </c>
      <c r="B2500" s="1" t="s">
        <v>5</v>
      </c>
      <c r="C2500" s="1" t="s">
        <v>55</v>
      </c>
      <c r="D2500" s="2">
        <v>45373</v>
      </c>
      <c r="E2500" s="1" t="s">
        <v>2297</v>
      </c>
      <c r="F2500" s="5">
        <f t="shared" si="157"/>
        <v>3375.83</v>
      </c>
      <c r="G2500" s="1">
        <v>41</v>
      </c>
      <c r="H2500" s="1" t="str">
        <f t="shared" si="158"/>
        <v>High</v>
      </c>
      <c r="I2500" s="1" t="str">
        <f t="shared" si="159"/>
        <v>Other</v>
      </c>
      <c r="J2500" s="1">
        <f t="shared" si="160"/>
        <v>150980.23000000001</v>
      </c>
    </row>
    <row r="2501" spans="1:10" ht="12.75">
      <c r="A2501" s="1" t="s">
        <v>6</v>
      </c>
      <c r="B2501" s="1" t="s">
        <v>42</v>
      </c>
      <c r="C2501" s="1" t="s">
        <v>51</v>
      </c>
      <c r="D2501" s="2">
        <v>45466</v>
      </c>
      <c r="E2501" s="1" t="s">
        <v>2298</v>
      </c>
      <c r="F2501" s="5">
        <f t="shared" si="157"/>
        <v>8328.7999999999993</v>
      </c>
      <c r="G2501" s="1">
        <v>327</v>
      </c>
      <c r="H2501" s="1" t="str">
        <f t="shared" si="158"/>
        <v>High</v>
      </c>
      <c r="I2501" s="1" t="str">
        <f t="shared" si="159"/>
        <v>Other</v>
      </c>
      <c r="J2501" s="1">
        <f t="shared" si="160"/>
        <v>150980.23000000001</v>
      </c>
    </row>
    <row r="2502" spans="1:10" ht="12.75">
      <c r="A2502" s="1" t="s">
        <v>24</v>
      </c>
      <c r="B2502" s="1" t="s">
        <v>39</v>
      </c>
      <c r="C2502" s="1" t="s">
        <v>84</v>
      </c>
      <c r="D2502" s="2">
        <v>45323</v>
      </c>
      <c r="E2502" s="1" t="s">
        <v>2299</v>
      </c>
      <c r="F2502" s="5">
        <f t="shared" si="157"/>
        <v>1634.54</v>
      </c>
      <c r="G2502" s="1">
        <v>70</v>
      </c>
      <c r="H2502" s="1" t="str">
        <f t="shared" si="158"/>
        <v>High</v>
      </c>
      <c r="I2502" s="1" t="str">
        <f t="shared" si="159"/>
        <v>Other</v>
      </c>
      <c r="J2502" s="1">
        <f t="shared" si="160"/>
        <v>150980.23000000001</v>
      </c>
    </row>
    <row r="2503" spans="1:10" ht="12.75">
      <c r="A2503" s="1" t="s">
        <v>12</v>
      </c>
      <c r="B2503" s="1" t="s">
        <v>5</v>
      </c>
      <c r="C2503" s="1" t="s">
        <v>52</v>
      </c>
      <c r="D2503" s="2">
        <v>45353</v>
      </c>
      <c r="E2503" s="1" t="s">
        <v>2300</v>
      </c>
      <c r="F2503" s="5">
        <f t="shared" si="157"/>
        <v>8265.41</v>
      </c>
      <c r="G2503" s="1">
        <v>298</v>
      </c>
      <c r="H2503" s="1" t="str">
        <f t="shared" si="158"/>
        <v>High</v>
      </c>
      <c r="I2503" s="1" t="str">
        <f t="shared" si="159"/>
        <v>Other</v>
      </c>
      <c r="J2503" s="1">
        <f t="shared" si="160"/>
        <v>150980.23000000001</v>
      </c>
    </row>
    <row r="2504" spans="1:10" ht="12.75">
      <c r="A2504" s="1" t="s">
        <v>20</v>
      </c>
      <c r="B2504" s="1" t="s">
        <v>39</v>
      </c>
      <c r="C2504" s="1" t="s">
        <v>81</v>
      </c>
      <c r="D2504" s="2">
        <v>45388</v>
      </c>
      <c r="E2504" s="1" t="s">
        <v>2301</v>
      </c>
      <c r="F2504" s="5">
        <f t="shared" si="157"/>
        <v>1448.1</v>
      </c>
      <c r="G2504" s="1">
        <v>92</v>
      </c>
      <c r="H2504" s="1" t="str">
        <f t="shared" si="158"/>
        <v>High</v>
      </c>
      <c r="I2504" s="1" t="str">
        <f t="shared" si="159"/>
        <v>Other</v>
      </c>
      <c r="J2504" s="1">
        <f t="shared" si="160"/>
        <v>150980.23000000001</v>
      </c>
    </row>
    <row r="2505" spans="1:10" ht="12.75">
      <c r="A2505" s="1" t="s">
        <v>23</v>
      </c>
      <c r="B2505" s="1" t="s">
        <v>5</v>
      </c>
      <c r="C2505" s="1" t="s">
        <v>100</v>
      </c>
      <c r="D2505" s="2">
        <v>45368</v>
      </c>
      <c r="E2505" s="1" t="s">
        <v>2302</v>
      </c>
      <c r="F2505" s="5">
        <f t="shared" si="157"/>
        <v>709.53</v>
      </c>
      <c r="G2505" s="1">
        <v>77</v>
      </c>
      <c r="H2505" s="1" t="str">
        <f t="shared" si="158"/>
        <v>Medium</v>
      </c>
      <c r="I2505" s="1" t="str">
        <f t="shared" si="159"/>
        <v>Other</v>
      </c>
      <c r="J2505" s="1">
        <f t="shared" si="160"/>
        <v>150980.23000000001</v>
      </c>
    </row>
    <row r="2506" spans="1:10" ht="12.75">
      <c r="A2506" s="1" t="s">
        <v>24</v>
      </c>
      <c r="B2506" s="1" t="s">
        <v>39</v>
      </c>
      <c r="C2506" s="1" t="s">
        <v>81</v>
      </c>
      <c r="D2506" s="2">
        <v>45467</v>
      </c>
      <c r="E2506" s="1" t="s">
        <v>2303</v>
      </c>
      <c r="F2506" s="5">
        <f t="shared" si="157"/>
        <v>12197.19</v>
      </c>
      <c r="G2506" s="1">
        <v>135</v>
      </c>
      <c r="H2506" s="1" t="str">
        <f t="shared" si="158"/>
        <v>High</v>
      </c>
      <c r="I2506" s="1" t="str">
        <f t="shared" si="159"/>
        <v>Other</v>
      </c>
      <c r="J2506" s="1">
        <f t="shared" si="160"/>
        <v>150980.23000000001</v>
      </c>
    </row>
    <row r="2507" spans="1:10" ht="12.75">
      <c r="A2507" s="1" t="s">
        <v>16</v>
      </c>
      <c r="B2507" s="1" t="s">
        <v>62</v>
      </c>
      <c r="C2507" s="1" t="s">
        <v>55</v>
      </c>
      <c r="D2507" s="2">
        <v>45492</v>
      </c>
      <c r="E2507" s="1" t="s">
        <v>2304</v>
      </c>
      <c r="F2507" s="5">
        <f t="shared" si="157"/>
        <v>10917.59</v>
      </c>
      <c r="G2507" s="1">
        <v>302</v>
      </c>
      <c r="H2507" s="1" t="str">
        <f t="shared" si="158"/>
        <v>High</v>
      </c>
      <c r="I2507" s="1" t="str">
        <f t="shared" si="159"/>
        <v>Other</v>
      </c>
      <c r="J2507" s="1">
        <f t="shared" si="160"/>
        <v>150980.23000000001</v>
      </c>
    </row>
    <row r="2508" spans="1:10" ht="12.75">
      <c r="A2508" s="1" t="s">
        <v>24</v>
      </c>
      <c r="B2508" s="1" t="s">
        <v>59</v>
      </c>
      <c r="C2508" s="1" t="s">
        <v>76</v>
      </c>
      <c r="D2508" s="2">
        <v>45484</v>
      </c>
      <c r="E2508" s="1" t="s">
        <v>2305</v>
      </c>
      <c r="F2508" s="5">
        <f t="shared" si="157"/>
        <v>1679.89</v>
      </c>
      <c r="G2508" s="1">
        <v>287</v>
      </c>
      <c r="H2508" s="1" t="str">
        <f t="shared" si="158"/>
        <v>High</v>
      </c>
      <c r="I2508" s="1" t="str">
        <f t="shared" si="159"/>
        <v>Other</v>
      </c>
      <c r="J2508" s="1">
        <f t="shared" si="160"/>
        <v>150980.23000000001</v>
      </c>
    </row>
    <row r="2509" spans="1:10" ht="12.75">
      <c r="A2509" s="1" t="s">
        <v>7</v>
      </c>
      <c r="B2509" s="1" t="s">
        <v>42</v>
      </c>
      <c r="C2509" s="1" t="s">
        <v>91</v>
      </c>
      <c r="D2509" s="2">
        <v>45304</v>
      </c>
      <c r="E2509" s="1" t="s">
        <v>2306</v>
      </c>
      <c r="F2509" s="5">
        <f t="shared" si="157"/>
        <v>2303.17</v>
      </c>
      <c r="G2509" s="1">
        <v>225</v>
      </c>
      <c r="H2509" s="1" t="str">
        <f t="shared" si="158"/>
        <v>High</v>
      </c>
      <c r="I2509" s="1" t="str">
        <f t="shared" si="159"/>
        <v>Other</v>
      </c>
      <c r="J2509" s="1">
        <f t="shared" si="160"/>
        <v>150980.23000000001</v>
      </c>
    </row>
    <row r="2510" spans="1:10" ht="12.75">
      <c r="A2510" s="1" t="s">
        <v>22</v>
      </c>
      <c r="B2510" s="1" t="s">
        <v>54</v>
      </c>
      <c r="C2510" s="1" t="s">
        <v>49</v>
      </c>
      <c r="D2510" s="2">
        <v>45480</v>
      </c>
      <c r="E2510" s="1" t="s">
        <v>2307</v>
      </c>
      <c r="F2510" s="5">
        <f t="shared" si="157"/>
        <v>9261.26</v>
      </c>
      <c r="G2510" s="1">
        <v>65</v>
      </c>
      <c r="H2510" s="1" t="str">
        <f t="shared" si="158"/>
        <v>High</v>
      </c>
      <c r="I2510" s="1" t="str">
        <f t="shared" si="159"/>
        <v>Other</v>
      </c>
      <c r="J2510" s="1">
        <f t="shared" si="160"/>
        <v>150980.23000000001</v>
      </c>
    </row>
    <row r="2511" spans="1:10" ht="12.75">
      <c r="A2511" s="1" t="s">
        <v>15</v>
      </c>
      <c r="B2511" s="1" t="s">
        <v>42</v>
      </c>
      <c r="C2511" s="1" t="s">
        <v>43</v>
      </c>
      <c r="D2511" s="2">
        <v>45437</v>
      </c>
      <c r="E2511" s="1" t="s">
        <v>2308</v>
      </c>
      <c r="F2511" s="5">
        <f t="shared" si="157"/>
        <v>5252.8</v>
      </c>
      <c r="G2511" s="1">
        <v>415</v>
      </c>
      <c r="H2511" s="1" t="str">
        <f t="shared" si="158"/>
        <v>High</v>
      </c>
      <c r="I2511" s="1" t="str">
        <f t="shared" si="159"/>
        <v>Other</v>
      </c>
      <c r="J2511" s="1">
        <f t="shared" si="160"/>
        <v>150980.23000000001</v>
      </c>
    </row>
    <row r="2512" spans="1:10" ht="12.75">
      <c r="A2512" s="1" t="s">
        <v>14</v>
      </c>
      <c r="B2512" s="1" t="s">
        <v>42</v>
      </c>
      <c r="C2512" s="1" t="s">
        <v>81</v>
      </c>
      <c r="D2512" s="2">
        <v>45395</v>
      </c>
      <c r="E2512" s="1" t="s">
        <v>2309</v>
      </c>
      <c r="F2512" s="5">
        <f t="shared" si="157"/>
        <v>5385.55</v>
      </c>
      <c r="G2512" s="1">
        <v>161</v>
      </c>
      <c r="H2512" s="1" t="str">
        <f t="shared" si="158"/>
        <v>High</v>
      </c>
      <c r="I2512" s="1" t="str">
        <f t="shared" si="159"/>
        <v>Other</v>
      </c>
      <c r="J2512" s="1">
        <f t="shared" si="160"/>
        <v>150980.23000000001</v>
      </c>
    </row>
    <row r="2513" spans="1:10" ht="12.75">
      <c r="A2513" s="1" t="s">
        <v>27</v>
      </c>
      <c r="B2513" s="1" t="s">
        <v>54</v>
      </c>
      <c r="C2513" s="1" t="s">
        <v>55</v>
      </c>
      <c r="D2513" s="2">
        <v>45353</v>
      </c>
      <c r="E2513" s="1" t="s">
        <v>2310</v>
      </c>
      <c r="F2513" s="5">
        <f t="shared" si="157"/>
        <v>3741.19</v>
      </c>
      <c r="G2513" s="1">
        <v>222</v>
      </c>
      <c r="H2513" s="1" t="str">
        <f t="shared" si="158"/>
        <v>High</v>
      </c>
      <c r="I2513" s="1" t="str">
        <f t="shared" si="159"/>
        <v>Other</v>
      </c>
      <c r="J2513" s="1">
        <f t="shared" si="160"/>
        <v>150980.23000000001</v>
      </c>
    </row>
    <row r="2514" spans="1:10" ht="12.75">
      <c r="A2514" s="1" t="s">
        <v>23</v>
      </c>
      <c r="B2514" s="1" t="s">
        <v>62</v>
      </c>
      <c r="C2514" s="1" t="s">
        <v>100</v>
      </c>
      <c r="D2514" s="2">
        <v>45466</v>
      </c>
      <c r="E2514" s="1" t="s">
        <v>2311</v>
      </c>
      <c r="F2514" s="5">
        <f t="shared" si="157"/>
        <v>2223.4899999999998</v>
      </c>
      <c r="G2514" s="1">
        <v>127</v>
      </c>
      <c r="H2514" s="1" t="str">
        <f t="shared" si="158"/>
        <v>High</v>
      </c>
      <c r="I2514" s="1" t="str">
        <f t="shared" si="159"/>
        <v>Other</v>
      </c>
      <c r="J2514" s="1">
        <f t="shared" si="160"/>
        <v>150980.23000000001</v>
      </c>
    </row>
    <row r="2515" spans="1:10" ht="12.75">
      <c r="A2515" s="1" t="s">
        <v>12</v>
      </c>
      <c r="B2515" s="1" t="s">
        <v>59</v>
      </c>
      <c r="C2515" s="1" t="s">
        <v>65</v>
      </c>
      <c r="D2515" s="2">
        <v>45499</v>
      </c>
      <c r="E2515" s="1" t="s">
        <v>2312</v>
      </c>
      <c r="F2515" s="5">
        <f t="shared" si="157"/>
        <v>7720.37</v>
      </c>
      <c r="G2515" s="1">
        <v>156</v>
      </c>
      <c r="H2515" s="1" t="str">
        <f t="shared" si="158"/>
        <v>High</v>
      </c>
      <c r="I2515" s="1" t="str">
        <f t="shared" si="159"/>
        <v>Other</v>
      </c>
      <c r="J2515" s="1">
        <f t="shared" si="160"/>
        <v>150980.23000000001</v>
      </c>
    </row>
    <row r="2516" spans="1:10" ht="12.75">
      <c r="A2516" s="1" t="s">
        <v>10</v>
      </c>
      <c r="B2516" s="1" t="s">
        <v>62</v>
      </c>
      <c r="C2516" s="1" t="s">
        <v>84</v>
      </c>
      <c r="D2516" s="2">
        <v>45373</v>
      </c>
      <c r="E2516" s="1" t="s">
        <v>2313</v>
      </c>
      <c r="F2516" s="5">
        <f t="shared" si="157"/>
        <v>468.09</v>
      </c>
      <c r="G2516" s="1">
        <v>3</v>
      </c>
      <c r="H2516" s="1" t="str">
        <f t="shared" si="158"/>
        <v>Low</v>
      </c>
      <c r="I2516" s="1" t="str">
        <f t="shared" si="159"/>
        <v>Other</v>
      </c>
      <c r="J2516" s="1">
        <f t="shared" si="160"/>
        <v>150980.23000000001</v>
      </c>
    </row>
    <row r="2517" spans="1:10" ht="12.75">
      <c r="A2517" s="1" t="s">
        <v>19</v>
      </c>
      <c r="B2517" s="1" t="s">
        <v>59</v>
      </c>
      <c r="C2517" s="1" t="s">
        <v>122</v>
      </c>
      <c r="D2517" s="2">
        <v>45452</v>
      </c>
      <c r="E2517" s="1" t="s">
        <v>2314</v>
      </c>
      <c r="F2517" s="5">
        <f t="shared" si="157"/>
        <v>3083.39</v>
      </c>
      <c r="G2517" s="1">
        <v>55</v>
      </c>
      <c r="H2517" s="1" t="str">
        <f t="shared" si="158"/>
        <v>High</v>
      </c>
      <c r="I2517" s="1" t="str">
        <f t="shared" si="159"/>
        <v>Other</v>
      </c>
      <c r="J2517" s="1">
        <f t="shared" si="160"/>
        <v>150980.23000000001</v>
      </c>
    </row>
    <row r="2518" spans="1:10" ht="12.75">
      <c r="A2518" s="1" t="s">
        <v>10</v>
      </c>
      <c r="B2518" s="1" t="s">
        <v>5</v>
      </c>
      <c r="C2518" s="1" t="s">
        <v>126</v>
      </c>
      <c r="D2518" s="2">
        <v>45429</v>
      </c>
      <c r="E2518" s="1" t="s">
        <v>2315</v>
      </c>
      <c r="F2518" s="5">
        <f t="shared" si="157"/>
        <v>6898.94</v>
      </c>
      <c r="G2518" s="1">
        <v>58</v>
      </c>
      <c r="H2518" s="1" t="str">
        <f t="shared" si="158"/>
        <v>High</v>
      </c>
      <c r="I2518" s="1" t="str">
        <f t="shared" si="159"/>
        <v>Other</v>
      </c>
      <c r="J2518" s="1">
        <f t="shared" si="160"/>
        <v>150980.23000000001</v>
      </c>
    </row>
    <row r="2519" spans="1:10" ht="12.75">
      <c r="A2519" s="1" t="s">
        <v>17</v>
      </c>
      <c r="B2519" s="1" t="s">
        <v>54</v>
      </c>
      <c r="C2519" s="1" t="s">
        <v>45</v>
      </c>
      <c r="D2519" s="2">
        <v>45355</v>
      </c>
      <c r="E2519" s="1" t="s">
        <v>2316</v>
      </c>
      <c r="F2519" s="5">
        <f t="shared" si="157"/>
        <v>1036.05</v>
      </c>
      <c r="G2519" s="1">
        <v>291</v>
      </c>
      <c r="H2519" s="1" t="str">
        <f t="shared" si="158"/>
        <v>High</v>
      </c>
      <c r="I2519" s="1" t="str">
        <f t="shared" si="159"/>
        <v>Other</v>
      </c>
      <c r="J2519" s="1">
        <f t="shared" si="160"/>
        <v>150980.23000000001</v>
      </c>
    </row>
    <row r="2520" spans="1:10" ht="12.75">
      <c r="A2520" s="1" t="s">
        <v>12</v>
      </c>
      <c r="B2520" s="1" t="s">
        <v>62</v>
      </c>
      <c r="C2520" s="1" t="s">
        <v>72</v>
      </c>
      <c r="D2520" s="2">
        <v>45480</v>
      </c>
      <c r="E2520" s="1" t="s">
        <v>2317</v>
      </c>
      <c r="F2520" s="5">
        <f t="shared" si="157"/>
        <v>17518.04</v>
      </c>
      <c r="G2520" s="1">
        <v>28</v>
      </c>
      <c r="H2520" s="1" t="str">
        <f t="shared" si="158"/>
        <v>High</v>
      </c>
      <c r="I2520" s="1" t="str">
        <f t="shared" si="159"/>
        <v>Other</v>
      </c>
      <c r="J2520" s="1">
        <f t="shared" si="160"/>
        <v>150980.23000000001</v>
      </c>
    </row>
    <row r="2521" spans="1:10" ht="12.75">
      <c r="A2521" s="1" t="s">
        <v>6</v>
      </c>
      <c r="B2521" s="1" t="s">
        <v>62</v>
      </c>
      <c r="C2521" s="1" t="s">
        <v>102</v>
      </c>
      <c r="D2521" s="2">
        <v>45304</v>
      </c>
      <c r="E2521" s="1" t="s">
        <v>2318</v>
      </c>
      <c r="F2521" s="5">
        <f t="shared" si="157"/>
        <v>11691.86</v>
      </c>
      <c r="G2521" s="1">
        <v>128</v>
      </c>
      <c r="H2521" s="1" t="str">
        <f t="shared" si="158"/>
        <v>High</v>
      </c>
      <c r="I2521" s="1" t="str">
        <f t="shared" si="159"/>
        <v>Other</v>
      </c>
      <c r="J2521" s="1">
        <f t="shared" si="160"/>
        <v>150980.23000000001</v>
      </c>
    </row>
    <row r="2522" spans="1:10" ht="12.75">
      <c r="A2522" s="1" t="s">
        <v>24</v>
      </c>
      <c r="B2522" s="1" t="s">
        <v>5</v>
      </c>
      <c r="C2522" s="1" t="s">
        <v>91</v>
      </c>
      <c r="D2522" s="2">
        <v>45486</v>
      </c>
      <c r="E2522" s="1" t="s">
        <v>2319</v>
      </c>
      <c r="F2522" s="5">
        <f t="shared" si="157"/>
        <v>3136.53</v>
      </c>
      <c r="G2522" s="1">
        <v>74</v>
      </c>
      <c r="H2522" s="1" t="str">
        <f t="shared" si="158"/>
        <v>High</v>
      </c>
      <c r="I2522" s="1" t="str">
        <f t="shared" si="159"/>
        <v>Other</v>
      </c>
      <c r="J2522" s="1">
        <f t="shared" si="160"/>
        <v>150980.23000000001</v>
      </c>
    </row>
    <row r="2523" spans="1:10" ht="12.75">
      <c r="A2523" s="1" t="s">
        <v>9</v>
      </c>
      <c r="B2523" s="1" t="s">
        <v>5</v>
      </c>
      <c r="C2523" s="1" t="s">
        <v>43</v>
      </c>
      <c r="D2523" s="2">
        <v>45459</v>
      </c>
      <c r="E2523" s="1" t="s">
        <v>2320</v>
      </c>
      <c r="F2523" s="5">
        <f t="shared" si="157"/>
        <v>1677.71</v>
      </c>
      <c r="G2523" s="1">
        <v>325</v>
      </c>
      <c r="H2523" s="1" t="str">
        <f t="shared" si="158"/>
        <v>High</v>
      </c>
      <c r="I2523" s="1" t="str">
        <f t="shared" si="159"/>
        <v>Other</v>
      </c>
      <c r="J2523" s="1">
        <f t="shared" si="160"/>
        <v>150980.23000000001</v>
      </c>
    </row>
    <row r="2524" spans="1:10" ht="12.75">
      <c r="A2524" s="1" t="s">
        <v>20</v>
      </c>
      <c r="B2524" s="1" t="s">
        <v>39</v>
      </c>
      <c r="C2524" s="1" t="s">
        <v>55</v>
      </c>
      <c r="D2524" s="2">
        <v>45491</v>
      </c>
      <c r="E2524" s="1" t="s">
        <v>2321</v>
      </c>
      <c r="F2524" s="5">
        <f t="shared" si="157"/>
        <v>8937.3700000000008</v>
      </c>
      <c r="G2524" s="1">
        <v>66</v>
      </c>
      <c r="H2524" s="1" t="str">
        <f t="shared" si="158"/>
        <v>High</v>
      </c>
      <c r="I2524" s="1" t="str">
        <f t="shared" si="159"/>
        <v>Other</v>
      </c>
      <c r="J2524" s="1">
        <f t="shared" si="160"/>
        <v>150980.23000000001</v>
      </c>
    </row>
    <row r="2525" spans="1:10" ht="12.75">
      <c r="A2525" s="1" t="s">
        <v>17</v>
      </c>
      <c r="B2525" s="1" t="s">
        <v>39</v>
      </c>
      <c r="C2525" s="1" t="s">
        <v>86</v>
      </c>
      <c r="D2525" s="2">
        <v>45442</v>
      </c>
      <c r="E2525" s="1" t="s">
        <v>2322</v>
      </c>
      <c r="F2525" s="5">
        <f t="shared" si="157"/>
        <v>4761.38</v>
      </c>
      <c r="G2525" s="1">
        <v>406</v>
      </c>
      <c r="H2525" s="1" t="str">
        <f t="shared" si="158"/>
        <v>High</v>
      </c>
      <c r="I2525" s="1" t="str">
        <f t="shared" si="159"/>
        <v>Other</v>
      </c>
      <c r="J2525" s="1">
        <f t="shared" si="160"/>
        <v>150980.23000000001</v>
      </c>
    </row>
    <row r="2526" spans="1:10" ht="12.75">
      <c r="A2526" s="1" t="s">
        <v>20</v>
      </c>
      <c r="B2526" s="1" t="s">
        <v>39</v>
      </c>
      <c r="C2526" s="1" t="s">
        <v>147</v>
      </c>
      <c r="D2526" s="2">
        <v>45464</v>
      </c>
      <c r="E2526" s="1" t="s">
        <v>2323</v>
      </c>
      <c r="F2526" s="5">
        <f t="shared" si="157"/>
        <v>942.02</v>
      </c>
      <c r="G2526" s="1">
        <v>84</v>
      </c>
      <c r="H2526" s="1" t="str">
        <f t="shared" si="158"/>
        <v>High</v>
      </c>
      <c r="I2526" s="1" t="str">
        <f t="shared" si="159"/>
        <v>Other</v>
      </c>
      <c r="J2526" s="1">
        <f t="shared" si="160"/>
        <v>150980.23000000001</v>
      </c>
    </row>
    <row r="2527" spans="1:10" ht="12.75">
      <c r="A2527" s="1" t="s">
        <v>11</v>
      </c>
      <c r="B2527" s="1" t="s">
        <v>5</v>
      </c>
      <c r="C2527" s="1" t="s">
        <v>45</v>
      </c>
      <c r="D2527" s="2">
        <v>45467</v>
      </c>
      <c r="E2527" s="1" t="s">
        <v>2324</v>
      </c>
      <c r="F2527" s="5">
        <f t="shared" si="157"/>
        <v>6623.03</v>
      </c>
      <c r="G2527" s="1">
        <v>39</v>
      </c>
      <c r="H2527" s="1" t="str">
        <f t="shared" si="158"/>
        <v>High</v>
      </c>
      <c r="I2527" s="1" t="str">
        <f t="shared" si="159"/>
        <v>Other</v>
      </c>
      <c r="J2527" s="1">
        <f t="shared" si="160"/>
        <v>150980.23000000001</v>
      </c>
    </row>
    <row r="2528" spans="1:10" ht="12.75">
      <c r="A2528" s="1" t="s">
        <v>14</v>
      </c>
      <c r="B2528" s="1" t="s">
        <v>42</v>
      </c>
      <c r="C2528" s="1" t="s">
        <v>63</v>
      </c>
      <c r="D2528" s="2">
        <v>45304</v>
      </c>
      <c r="E2528" s="1" t="s">
        <v>2325</v>
      </c>
      <c r="F2528" s="5">
        <f t="shared" si="157"/>
        <v>4067.36</v>
      </c>
      <c r="G2528" s="1">
        <v>94</v>
      </c>
      <c r="H2528" s="1" t="str">
        <f t="shared" si="158"/>
        <v>High</v>
      </c>
      <c r="I2528" s="1" t="str">
        <f t="shared" si="159"/>
        <v>Other</v>
      </c>
      <c r="J2528" s="1">
        <f t="shared" si="160"/>
        <v>150980.23000000001</v>
      </c>
    </row>
    <row r="2529" spans="1:10" ht="12.75">
      <c r="A2529" s="1" t="s">
        <v>24</v>
      </c>
      <c r="B2529" s="1" t="s">
        <v>62</v>
      </c>
      <c r="C2529" s="1" t="s">
        <v>81</v>
      </c>
      <c r="D2529" s="2">
        <v>45386</v>
      </c>
      <c r="E2529" s="1" t="s">
        <v>2326</v>
      </c>
      <c r="F2529" s="5">
        <f t="shared" si="157"/>
        <v>4712.55</v>
      </c>
      <c r="G2529" s="1">
        <v>211</v>
      </c>
      <c r="H2529" s="1" t="str">
        <f t="shared" si="158"/>
        <v>High</v>
      </c>
      <c r="I2529" s="1" t="str">
        <f t="shared" si="159"/>
        <v>Other</v>
      </c>
      <c r="J2529" s="1">
        <f t="shared" si="160"/>
        <v>150980.23000000001</v>
      </c>
    </row>
    <row r="2530" spans="1:10" ht="12.75">
      <c r="A2530" s="1" t="s">
        <v>8</v>
      </c>
      <c r="B2530" s="1" t="s">
        <v>39</v>
      </c>
      <c r="C2530" s="1" t="s">
        <v>49</v>
      </c>
      <c r="D2530" s="2">
        <v>45451</v>
      </c>
      <c r="E2530" s="1" t="s">
        <v>2327</v>
      </c>
      <c r="F2530" s="5">
        <f t="shared" si="157"/>
        <v>9571.2999999999993</v>
      </c>
      <c r="G2530" s="1">
        <v>594</v>
      </c>
      <c r="H2530" s="1" t="str">
        <f t="shared" si="158"/>
        <v>High</v>
      </c>
      <c r="I2530" s="1" t="str">
        <f t="shared" si="159"/>
        <v>Other</v>
      </c>
      <c r="J2530" s="1">
        <f t="shared" si="160"/>
        <v>150980.23000000001</v>
      </c>
    </row>
    <row r="2531" spans="1:10" ht="12.75">
      <c r="A2531" s="1" t="s">
        <v>18</v>
      </c>
      <c r="B2531" s="1" t="s">
        <v>62</v>
      </c>
      <c r="C2531" s="1" t="s">
        <v>76</v>
      </c>
      <c r="D2531" s="2">
        <v>45506</v>
      </c>
      <c r="E2531" s="1" t="s">
        <v>2328</v>
      </c>
      <c r="F2531" s="5">
        <f t="shared" si="157"/>
        <v>6779.99</v>
      </c>
      <c r="G2531" s="1">
        <v>46</v>
      </c>
      <c r="H2531" s="1" t="str">
        <f t="shared" si="158"/>
        <v>High</v>
      </c>
      <c r="I2531" s="1" t="str">
        <f t="shared" si="159"/>
        <v>Other</v>
      </c>
      <c r="J2531" s="1">
        <f t="shared" si="160"/>
        <v>150980.23000000001</v>
      </c>
    </row>
    <row r="2532" spans="1:10" ht="12.75">
      <c r="A2532" s="1" t="s">
        <v>12</v>
      </c>
      <c r="B2532" s="1" t="s">
        <v>59</v>
      </c>
      <c r="C2532" s="1" t="s">
        <v>68</v>
      </c>
      <c r="D2532" s="2">
        <v>45494</v>
      </c>
      <c r="E2532" s="1" t="s">
        <v>2329</v>
      </c>
      <c r="F2532" s="5">
        <f t="shared" si="157"/>
        <v>10772.46</v>
      </c>
      <c r="G2532" s="1">
        <v>150</v>
      </c>
      <c r="H2532" s="1" t="str">
        <f t="shared" si="158"/>
        <v>High</v>
      </c>
      <c r="I2532" s="1" t="str">
        <f t="shared" si="159"/>
        <v>Other</v>
      </c>
      <c r="J2532" s="1">
        <f t="shared" si="160"/>
        <v>150980.23000000001</v>
      </c>
    </row>
    <row r="2533" spans="1:10" ht="12.75">
      <c r="A2533" s="1" t="s">
        <v>24</v>
      </c>
      <c r="B2533" s="1" t="s">
        <v>42</v>
      </c>
      <c r="C2533" s="1" t="s">
        <v>76</v>
      </c>
      <c r="D2533" s="2">
        <v>45463</v>
      </c>
      <c r="E2533" s="1" t="s">
        <v>2330</v>
      </c>
      <c r="F2533" s="5">
        <f t="shared" si="157"/>
        <v>189.34</v>
      </c>
      <c r="G2533" s="1">
        <v>140</v>
      </c>
      <c r="H2533" s="1" t="str">
        <f t="shared" si="158"/>
        <v>Low</v>
      </c>
      <c r="I2533" s="1" t="str">
        <f t="shared" si="159"/>
        <v>Other</v>
      </c>
      <c r="J2533" s="1">
        <f t="shared" si="160"/>
        <v>150980.23000000001</v>
      </c>
    </row>
    <row r="2534" spans="1:10" ht="12.75">
      <c r="A2534" s="1" t="s">
        <v>26</v>
      </c>
      <c r="B2534" s="1" t="s">
        <v>42</v>
      </c>
      <c r="C2534" s="1" t="s">
        <v>52</v>
      </c>
      <c r="D2534" s="2">
        <v>45465</v>
      </c>
      <c r="E2534" s="1" t="s">
        <v>2331</v>
      </c>
      <c r="F2534" s="5">
        <f t="shared" si="157"/>
        <v>3015.47</v>
      </c>
      <c r="G2534" s="1">
        <v>115</v>
      </c>
      <c r="H2534" s="1" t="str">
        <f t="shared" si="158"/>
        <v>High</v>
      </c>
      <c r="I2534" s="1" t="str">
        <f t="shared" si="159"/>
        <v>Other</v>
      </c>
      <c r="J2534" s="1">
        <f t="shared" si="160"/>
        <v>150980.23000000001</v>
      </c>
    </row>
    <row r="2535" spans="1:10" ht="12.75">
      <c r="A2535" s="1" t="s">
        <v>25</v>
      </c>
      <c r="B2535" s="1" t="s">
        <v>5</v>
      </c>
      <c r="C2535" s="1" t="s">
        <v>126</v>
      </c>
      <c r="D2535" s="2">
        <v>45414</v>
      </c>
      <c r="E2535" s="1" t="s">
        <v>2332</v>
      </c>
      <c r="F2535" s="5">
        <f t="shared" si="157"/>
        <v>3538.27</v>
      </c>
      <c r="G2535" s="1">
        <v>16</v>
      </c>
      <c r="H2535" s="1" t="str">
        <f t="shared" si="158"/>
        <v>High</v>
      </c>
      <c r="I2535" s="1" t="str">
        <f t="shared" si="159"/>
        <v>Other</v>
      </c>
      <c r="J2535" s="1">
        <f t="shared" si="160"/>
        <v>150980.23000000001</v>
      </c>
    </row>
    <row r="2536" spans="1:10" ht="12.75">
      <c r="A2536" s="1" t="s">
        <v>24</v>
      </c>
      <c r="B2536" s="1" t="s">
        <v>5</v>
      </c>
      <c r="C2536" s="1" t="s">
        <v>51</v>
      </c>
      <c r="D2536" s="2">
        <v>45298</v>
      </c>
      <c r="E2536" s="1" t="s">
        <v>2333</v>
      </c>
      <c r="F2536" s="5">
        <f t="shared" si="157"/>
        <v>5196.97</v>
      </c>
      <c r="G2536" s="1">
        <v>87</v>
      </c>
      <c r="H2536" s="1" t="str">
        <f t="shared" si="158"/>
        <v>High</v>
      </c>
      <c r="I2536" s="1" t="str">
        <f t="shared" si="159"/>
        <v>Other</v>
      </c>
      <c r="J2536" s="1">
        <f t="shared" si="160"/>
        <v>150980.23000000001</v>
      </c>
    </row>
    <row r="2537" spans="1:10" ht="12.75">
      <c r="A2537" s="1" t="s">
        <v>2</v>
      </c>
      <c r="B2537" s="1" t="s">
        <v>39</v>
      </c>
      <c r="C2537" s="1" t="s">
        <v>55</v>
      </c>
      <c r="D2537" s="2">
        <v>45343</v>
      </c>
      <c r="E2537" s="1" t="s">
        <v>2334</v>
      </c>
      <c r="F2537" s="5">
        <f t="shared" si="157"/>
        <v>6654.14</v>
      </c>
      <c r="G2537" s="1">
        <v>102</v>
      </c>
      <c r="H2537" s="1" t="str">
        <f t="shared" si="158"/>
        <v>High</v>
      </c>
      <c r="I2537" s="1" t="str">
        <f t="shared" si="159"/>
        <v>Other</v>
      </c>
      <c r="J2537" s="1">
        <f t="shared" si="160"/>
        <v>150980.23000000001</v>
      </c>
    </row>
    <row r="2538" spans="1:10" ht="12.75">
      <c r="A2538" s="1" t="s">
        <v>17</v>
      </c>
      <c r="B2538" s="1" t="s">
        <v>62</v>
      </c>
      <c r="C2538" s="1" t="s">
        <v>122</v>
      </c>
      <c r="D2538" s="2">
        <v>45372</v>
      </c>
      <c r="E2538" s="1" t="s">
        <v>2335</v>
      </c>
      <c r="F2538" s="5">
        <f t="shared" si="157"/>
        <v>8639.19</v>
      </c>
      <c r="G2538" s="1">
        <v>402</v>
      </c>
      <c r="H2538" s="1" t="str">
        <f t="shared" si="158"/>
        <v>High</v>
      </c>
      <c r="I2538" s="1" t="str">
        <f t="shared" si="159"/>
        <v>Other</v>
      </c>
      <c r="J2538" s="1">
        <f t="shared" si="160"/>
        <v>144326.09</v>
      </c>
    </row>
    <row r="2539" spans="1:10" ht="12.75">
      <c r="A2539" s="1" t="s">
        <v>10</v>
      </c>
      <c r="B2539" s="1" t="s">
        <v>39</v>
      </c>
      <c r="C2539" s="1" t="s">
        <v>65</v>
      </c>
      <c r="D2539" s="2">
        <v>45386</v>
      </c>
      <c r="E2539" s="1" t="s">
        <v>2336</v>
      </c>
      <c r="F2539" s="5">
        <f t="shared" si="157"/>
        <v>6397.05</v>
      </c>
      <c r="G2539" s="1">
        <v>136</v>
      </c>
      <c r="H2539" s="1" t="str">
        <f t="shared" si="158"/>
        <v>High</v>
      </c>
      <c r="I2539" s="1" t="str">
        <f t="shared" si="159"/>
        <v>Other</v>
      </c>
      <c r="J2539" s="1">
        <f t="shared" si="160"/>
        <v>144326.09</v>
      </c>
    </row>
    <row r="2540" spans="1:10" ht="12.75">
      <c r="A2540" s="1" t="s">
        <v>23</v>
      </c>
      <c r="B2540" s="1" t="s">
        <v>62</v>
      </c>
      <c r="C2540" s="1" t="s">
        <v>81</v>
      </c>
      <c r="D2540" s="2">
        <v>45375</v>
      </c>
      <c r="E2540" s="1" t="s">
        <v>2337</v>
      </c>
      <c r="F2540" s="5">
        <f t="shared" si="157"/>
        <v>14596.37</v>
      </c>
      <c r="G2540" s="1">
        <v>196</v>
      </c>
      <c r="H2540" s="1" t="str">
        <f t="shared" si="158"/>
        <v>High</v>
      </c>
      <c r="I2540" s="1" t="str">
        <f t="shared" si="159"/>
        <v>Other</v>
      </c>
      <c r="J2540" s="1">
        <f t="shared" si="160"/>
        <v>144326.09</v>
      </c>
    </row>
    <row r="2541" spans="1:10" ht="12.75">
      <c r="A2541" s="1" t="s">
        <v>23</v>
      </c>
      <c r="B2541" s="1" t="s">
        <v>54</v>
      </c>
      <c r="C2541" s="1" t="s">
        <v>76</v>
      </c>
      <c r="D2541" s="2">
        <v>45471</v>
      </c>
      <c r="E2541" s="1" t="s">
        <v>2338</v>
      </c>
      <c r="F2541" s="5">
        <f t="shared" si="157"/>
        <v>7712.91</v>
      </c>
      <c r="G2541" s="1">
        <v>192</v>
      </c>
      <c r="H2541" s="1" t="str">
        <f t="shared" si="158"/>
        <v>High</v>
      </c>
      <c r="I2541" s="1" t="str">
        <f t="shared" si="159"/>
        <v>Other</v>
      </c>
      <c r="J2541" s="1">
        <f t="shared" si="160"/>
        <v>144326.09</v>
      </c>
    </row>
    <row r="2542" spans="1:10" ht="12.75">
      <c r="A2542" s="1" t="s">
        <v>23</v>
      </c>
      <c r="B2542" s="1" t="s">
        <v>5</v>
      </c>
      <c r="C2542" s="1" t="s">
        <v>65</v>
      </c>
      <c r="D2542" s="2">
        <v>45305</v>
      </c>
      <c r="E2542" s="1" t="s">
        <v>2339</v>
      </c>
      <c r="F2542" s="5">
        <f t="shared" si="157"/>
        <v>2456.77</v>
      </c>
      <c r="G2542" s="1">
        <v>188</v>
      </c>
      <c r="H2542" s="1" t="str">
        <f t="shared" si="158"/>
        <v>High</v>
      </c>
      <c r="I2542" s="1" t="str">
        <f t="shared" si="159"/>
        <v>Other</v>
      </c>
      <c r="J2542" s="1">
        <f t="shared" si="160"/>
        <v>144326.09</v>
      </c>
    </row>
    <row r="2543" spans="1:10" ht="12.75">
      <c r="A2543" s="1" t="s">
        <v>18</v>
      </c>
      <c r="B2543" s="1" t="s">
        <v>54</v>
      </c>
      <c r="C2543" s="1" t="s">
        <v>81</v>
      </c>
      <c r="D2543" s="2">
        <v>45329</v>
      </c>
      <c r="E2543" s="1" t="s">
        <v>2340</v>
      </c>
      <c r="F2543" s="5">
        <f t="shared" si="157"/>
        <v>1435.27</v>
      </c>
      <c r="G2543" s="1">
        <v>138</v>
      </c>
      <c r="H2543" s="1" t="str">
        <f t="shared" si="158"/>
        <v>High</v>
      </c>
      <c r="I2543" s="1" t="str">
        <f t="shared" si="159"/>
        <v>Other</v>
      </c>
      <c r="J2543" s="1">
        <f t="shared" si="160"/>
        <v>144326.09</v>
      </c>
    </row>
    <row r="2544" spans="1:10" ht="12.75">
      <c r="A2544" s="1" t="s">
        <v>6</v>
      </c>
      <c r="B2544" s="1" t="s">
        <v>54</v>
      </c>
      <c r="C2544" s="1" t="s">
        <v>65</v>
      </c>
      <c r="D2544" s="2">
        <v>45302</v>
      </c>
      <c r="E2544" s="1" t="s">
        <v>2341</v>
      </c>
      <c r="F2544" s="5">
        <f t="shared" si="157"/>
        <v>4324.4799999999996</v>
      </c>
      <c r="G2544" s="1">
        <v>202</v>
      </c>
      <c r="H2544" s="1" t="str">
        <f t="shared" si="158"/>
        <v>High</v>
      </c>
      <c r="I2544" s="1" t="str">
        <f t="shared" si="159"/>
        <v>Other</v>
      </c>
      <c r="J2544" s="1">
        <f t="shared" si="160"/>
        <v>144326.09</v>
      </c>
    </row>
    <row r="2545" spans="1:10" ht="12.75">
      <c r="A2545" s="1" t="s">
        <v>11</v>
      </c>
      <c r="B2545" s="1" t="s">
        <v>42</v>
      </c>
      <c r="C2545" s="1" t="s">
        <v>51</v>
      </c>
      <c r="D2545" s="2">
        <v>45347</v>
      </c>
      <c r="E2545" s="1" t="s">
        <v>2342</v>
      </c>
      <c r="F2545" s="5">
        <f t="shared" si="157"/>
        <v>2207.7600000000002</v>
      </c>
      <c r="G2545" s="1">
        <v>247</v>
      </c>
      <c r="H2545" s="1" t="str">
        <f t="shared" si="158"/>
        <v>High</v>
      </c>
      <c r="I2545" s="1" t="str">
        <f t="shared" si="159"/>
        <v>Other</v>
      </c>
      <c r="J2545" s="1">
        <f t="shared" si="160"/>
        <v>144326.09</v>
      </c>
    </row>
    <row r="2546" spans="1:10" ht="12.75">
      <c r="A2546" s="1" t="s">
        <v>21</v>
      </c>
      <c r="B2546" s="1" t="s">
        <v>5</v>
      </c>
      <c r="C2546" s="1" t="s">
        <v>40</v>
      </c>
      <c r="D2546" s="2">
        <v>45505</v>
      </c>
      <c r="E2546" s="1" t="s">
        <v>2343</v>
      </c>
      <c r="F2546" s="5">
        <f t="shared" si="157"/>
        <v>7571.51</v>
      </c>
      <c r="G2546" s="1">
        <v>26</v>
      </c>
      <c r="H2546" s="1" t="str">
        <f t="shared" si="158"/>
        <v>High</v>
      </c>
      <c r="I2546" s="1" t="str">
        <f t="shared" si="159"/>
        <v>Other</v>
      </c>
      <c r="J2546" s="1">
        <f t="shared" si="160"/>
        <v>144326.09</v>
      </c>
    </row>
    <row r="2547" spans="1:10" ht="12.75">
      <c r="A2547" s="1" t="s">
        <v>26</v>
      </c>
      <c r="B2547" s="1" t="s">
        <v>5</v>
      </c>
      <c r="C2547" s="1" t="s">
        <v>40</v>
      </c>
      <c r="D2547" s="2">
        <v>45417</v>
      </c>
      <c r="E2547" s="1" t="s">
        <v>2344</v>
      </c>
      <c r="F2547" s="5">
        <f t="shared" si="157"/>
        <v>7189.76</v>
      </c>
      <c r="G2547" s="1">
        <v>262</v>
      </c>
      <c r="H2547" s="1" t="str">
        <f t="shared" si="158"/>
        <v>High</v>
      </c>
      <c r="I2547" s="1" t="str">
        <f t="shared" si="159"/>
        <v>Other</v>
      </c>
      <c r="J2547" s="1">
        <f t="shared" si="160"/>
        <v>144326.09</v>
      </c>
    </row>
    <row r="2548" spans="1:10" ht="12.75">
      <c r="A2548" s="1" t="s">
        <v>9</v>
      </c>
      <c r="B2548" s="1" t="s">
        <v>54</v>
      </c>
      <c r="C2548" s="1" t="s">
        <v>100</v>
      </c>
      <c r="D2548" s="2">
        <v>45430</v>
      </c>
      <c r="E2548" s="1" t="s">
        <v>2345</v>
      </c>
      <c r="F2548" s="5">
        <f t="shared" si="157"/>
        <v>10858.21</v>
      </c>
      <c r="G2548" s="1">
        <v>451</v>
      </c>
      <c r="H2548" s="1" t="str">
        <f t="shared" si="158"/>
        <v>High</v>
      </c>
      <c r="I2548" s="1" t="str">
        <f t="shared" si="159"/>
        <v>Other</v>
      </c>
      <c r="J2548" s="1">
        <f t="shared" si="160"/>
        <v>144326.09</v>
      </c>
    </row>
    <row r="2549" spans="1:10" ht="12.75">
      <c r="A2549" s="1" t="s">
        <v>21</v>
      </c>
      <c r="B2549" s="1" t="s">
        <v>54</v>
      </c>
      <c r="C2549" s="1" t="s">
        <v>102</v>
      </c>
      <c r="D2549" s="2">
        <v>45295</v>
      </c>
      <c r="E2549" s="1" t="s">
        <v>2346</v>
      </c>
      <c r="F2549" s="5">
        <f t="shared" si="157"/>
        <v>6524.65</v>
      </c>
      <c r="G2549" s="1">
        <v>369</v>
      </c>
      <c r="H2549" s="1" t="str">
        <f t="shared" si="158"/>
        <v>High</v>
      </c>
      <c r="I2549" s="1" t="str">
        <f t="shared" si="159"/>
        <v>Other</v>
      </c>
      <c r="J2549" s="1">
        <f t="shared" si="160"/>
        <v>144326.09</v>
      </c>
    </row>
    <row r="2550" spans="1:10" ht="12.75">
      <c r="A2550" s="1" t="s">
        <v>26</v>
      </c>
      <c r="B2550" s="1" t="s">
        <v>54</v>
      </c>
      <c r="C2550" s="1" t="s">
        <v>55</v>
      </c>
      <c r="D2550" s="2">
        <v>45421</v>
      </c>
      <c r="E2550" s="1" t="s">
        <v>2347</v>
      </c>
      <c r="F2550" s="5">
        <f t="shared" si="157"/>
        <v>4624.45</v>
      </c>
      <c r="G2550" s="1">
        <v>212</v>
      </c>
      <c r="H2550" s="1" t="str">
        <f t="shared" si="158"/>
        <v>High</v>
      </c>
      <c r="I2550" s="1" t="str">
        <f t="shared" si="159"/>
        <v>Other</v>
      </c>
      <c r="J2550" s="1">
        <f t="shared" si="160"/>
        <v>144326.09</v>
      </c>
    </row>
    <row r="2551" spans="1:10" ht="12.75">
      <c r="A2551" s="1" t="s">
        <v>19</v>
      </c>
      <c r="B2551" s="1" t="s">
        <v>42</v>
      </c>
      <c r="C2551" s="1" t="s">
        <v>49</v>
      </c>
      <c r="D2551" s="2">
        <v>45418</v>
      </c>
      <c r="E2551" s="1" t="s">
        <v>2348</v>
      </c>
      <c r="F2551" s="5">
        <f t="shared" si="157"/>
        <v>1961.82</v>
      </c>
      <c r="G2551" s="1">
        <v>80</v>
      </c>
      <c r="H2551" s="1" t="str">
        <f t="shared" si="158"/>
        <v>High</v>
      </c>
      <c r="I2551" s="1" t="str">
        <f t="shared" si="159"/>
        <v>Other</v>
      </c>
      <c r="J2551" s="1">
        <f t="shared" si="160"/>
        <v>144326.09</v>
      </c>
    </row>
    <row r="2552" spans="1:10" ht="12.75">
      <c r="A2552" s="1" t="s">
        <v>13</v>
      </c>
      <c r="B2552" s="1" t="s">
        <v>39</v>
      </c>
      <c r="C2552" s="1" t="s">
        <v>84</v>
      </c>
      <c r="D2552" s="2">
        <v>45304</v>
      </c>
      <c r="E2552" s="1" t="s">
        <v>2349</v>
      </c>
      <c r="F2552" s="5">
        <f t="shared" si="157"/>
        <v>12782.63</v>
      </c>
      <c r="G2552" s="1">
        <v>158</v>
      </c>
      <c r="H2552" s="1" t="str">
        <f t="shared" si="158"/>
        <v>High</v>
      </c>
      <c r="I2552" s="1" t="str">
        <f t="shared" si="159"/>
        <v>Other</v>
      </c>
      <c r="J2552" s="1">
        <f t="shared" si="160"/>
        <v>144326.09</v>
      </c>
    </row>
    <row r="2553" spans="1:10" ht="12.75">
      <c r="A2553" s="1" t="s">
        <v>26</v>
      </c>
      <c r="B2553" s="1" t="s">
        <v>5</v>
      </c>
      <c r="C2553" s="1" t="s">
        <v>91</v>
      </c>
      <c r="D2553" s="2">
        <v>45467</v>
      </c>
      <c r="E2553" s="1" t="s">
        <v>2350</v>
      </c>
      <c r="F2553" s="5">
        <f t="shared" si="157"/>
        <v>4928.3</v>
      </c>
      <c r="G2553" s="1">
        <v>71</v>
      </c>
      <c r="H2553" s="1" t="str">
        <f t="shared" si="158"/>
        <v>High</v>
      </c>
      <c r="I2553" s="1" t="str">
        <f t="shared" si="159"/>
        <v>Other</v>
      </c>
      <c r="J2553" s="1">
        <f t="shared" si="160"/>
        <v>144326.09</v>
      </c>
    </row>
    <row r="2554" spans="1:10" ht="12.75">
      <c r="A2554" s="1" t="s">
        <v>10</v>
      </c>
      <c r="B2554" s="1" t="s">
        <v>59</v>
      </c>
      <c r="C2554" s="1" t="s">
        <v>126</v>
      </c>
      <c r="D2554" s="2">
        <v>45336</v>
      </c>
      <c r="E2554" s="1" t="s">
        <v>2351</v>
      </c>
      <c r="F2554" s="5">
        <f t="shared" si="157"/>
        <v>1115.8399999999999</v>
      </c>
      <c r="G2554" s="1">
        <v>22</v>
      </c>
      <c r="H2554" s="1" t="str">
        <f t="shared" si="158"/>
        <v>High</v>
      </c>
      <c r="I2554" s="1" t="str">
        <f t="shared" si="159"/>
        <v>Other</v>
      </c>
      <c r="J2554" s="1">
        <f t="shared" si="160"/>
        <v>144326.09</v>
      </c>
    </row>
    <row r="2555" spans="1:10" ht="12.75">
      <c r="A2555" s="1" t="s">
        <v>25</v>
      </c>
      <c r="B2555" s="1" t="s">
        <v>5</v>
      </c>
      <c r="C2555" s="1" t="s">
        <v>51</v>
      </c>
      <c r="D2555" s="2">
        <v>45309</v>
      </c>
      <c r="E2555" s="1" t="s">
        <v>2352</v>
      </c>
      <c r="F2555" s="5">
        <f t="shared" si="157"/>
        <v>5346.62</v>
      </c>
      <c r="G2555" s="1">
        <v>109</v>
      </c>
      <c r="H2555" s="1" t="str">
        <f t="shared" si="158"/>
        <v>High</v>
      </c>
      <c r="I2555" s="1" t="str">
        <f t="shared" si="159"/>
        <v>Other</v>
      </c>
      <c r="J2555" s="1">
        <f t="shared" si="160"/>
        <v>144326.09</v>
      </c>
    </row>
    <row r="2556" spans="1:10" ht="12.75">
      <c r="A2556" s="1" t="s">
        <v>8</v>
      </c>
      <c r="B2556" s="1" t="s">
        <v>42</v>
      </c>
      <c r="C2556" s="1" t="s">
        <v>72</v>
      </c>
      <c r="D2556" s="2">
        <v>45414</v>
      </c>
      <c r="E2556" s="1" t="s">
        <v>2353</v>
      </c>
      <c r="F2556" s="5">
        <f t="shared" si="157"/>
        <v>3168.11</v>
      </c>
      <c r="G2556" s="1">
        <v>93</v>
      </c>
      <c r="H2556" s="1" t="str">
        <f t="shared" si="158"/>
        <v>High</v>
      </c>
      <c r="I2556" s="1" t="str">
        <f t="shared" si="159"/>
        <v>Other</v>
      </c>
      <c r="J2556" s="1">
        <f t="shared" si="160"/>
        <v>144326.09</v>
      </c>
    </row>
    <row r="2557" spans="1:10" ht="12.75">
      <c r="A2557" s="1" t="s">
        <v>17</v>
      </c>
      <c r="B2557" s="1" t="s">
        <v>5</v>
      </c>
      <c r="C2557" s="1" t="s">
        <v>49</v>
      </c>
      <c r="D2557" s="2">
        <v>45428</v>
      </c>
      <c r="E2557" s="1" t="s">
        <v>2354</v>
      </c>
      <c r="F2557" s="5">
        <f t="shared" si="157"/>
        <v>9007.92</v>
      </c>
      <c r="G2557" s="1">
        <v>52</v>
      </c>
      <c r="H2557" s="1" t="str">
        <f t="shared" si="158"/>
        <v>High</v>
      </c>
      <c r="I2557" s="1" t="str">
        <f t="shared" si="159"/>
        <v>Other</v>
      </c>
      <c r="J2557" s="1">
        <f t="shared" si="160"/>
        <v>144326.09</v>
      </c>
    </row>
    <row r="2558" spans="1:10" ht="12.75">
      <c r="A2558" s="1" t="s">
        <v>2</v>
      </c>
      <c r="B2558" s="1" t="s">
        <v>59</v>
      </c>
      <c r="C2558" s="1" t="s">
        <v>91</v>
      </c>
      <c r="D2558" s="2">
        <v>45319</v>
      </c>
      <c r="E2558" s="1" t="s">
        <v>2355</v>
      </c>
      <c r="F2558" s="5">
        <f t="shared" si="157"/>
        <v>7400.07</v>
      </c>
      <c r="G2558" s="1">
        <v>383</v>
      </c>
      <c r="H2558" s="1" t="str">
        <f t="shared" si="158"/>
        <v>High</v>
      </c>
      <c r="I2558" s="1" t="str">
        <f t="shared" si="159"/>
        <v>Other</v>
      </c>
      <c r="J2558" s="1">
        <f t="shared" si="160"/>
        <v>144326.09</v>
      </c>
    </row>
    <row r="2559" spans="1:10" ht="12.75">
      <c r="A2559" s="1" t="s">
        <v>8</v>
      </c>
      <c r="B2559" s="1" t="s">
        <v>62</v>
      </c>
      <c r="C2559" s="1" t="s">
        <v>51</v>
      </c>
      <c r="D2559" s="2">
        <v>45467</v>
      </c>
      <c r="E2559" s="1" t="s">
        <v>2356</v>
      </c>
      <c r="F2559" s="5">
        <f t="shared" si="157"/>
        <v>1420.22</v>
      </c>
      <c r="G2559" s="1">
        <v>422</v>
      </c>
      <c r="H2559" s="1" t="str">
        <f t="shared" si="158"/>
        <v>High</v>
      </c>
      <c r="I2559" s="1" t="str">
        <f t="shared" si="159"/>
        <v>Other</v>
      </c>
      <c r="J2559" s="1">
        <f t="shared" si="160"/>
        <v>136926.02000000002</v>
      </c>
    </row>
    <row r="2560" spans="1:10" ht="12.75">
      <c r="A2560" s="1" t="s">
        <v>22</v>
      </c>
      <c r="B2560" s="1" t="s">
        <v>39</v>
      </c>
      <c r="C2560" s="1" t="s">
        <v>52</v>
      </c>
      <c r="D2560" s="2">
        <v>45491</v>
      </c>
      <c r="E2560" s="1" t="s">
        <v>2357</v>
      </c>
      <c r="F2560" s="5">
        <f t="shared" si="157"/>
        <v>2555.9499999999998</v>
      </c>
      <c r="G2560" s="1">
        <v>109</v>
      </c>
      <c r="H2560" s="1" t="str">
        <f t="shared" si="158"/>
        <v>High</v>
      </c>
      <c r="I2560" s="1" t="str">
        <f t="shared" si="159"/>
        <v>Other</v>
      </c>
      <c r="J2560" s="1">
        <f t="shared" si="160"/>
        <v>136926.02000000002</v>
      </c>
    </row>
    <row r="2561" spans="1:10" ht="12.75">
      <c r="A2561" s="1" t="s">
        <v>23</v>
      </c>
      <c r="B2561" s="1" t="s">
        <v>39</v>
      </c>
      <c r="C2561" s="1" t="s">
        <v>63</v>
      </c>
      <c r="D2561" s="2">
        <v>45395</v>
      </c>
      <c r="E2561" s="1" t="s">
        <v>2358</v>
      </c>
      <c r="F2561" s="5">
        <f t="shared" si="157"/>
        <v>4059.65</v>
      </c>
      <c r="G2561" s="1">
        <v>175</v>
      </c>
      <c r="H2561" s="1" t="str">
        <f t="shared" si="158"/>
        <v>High</v>
      </c>
      <c r="I2561" s="1" t="str">
        <f t="shared" si="159"/>
        <v>Other</v>
      </c>
      <c r="J2561" s="1">
        <f t="shared" si="160"/>
        <v>136926.02000000002</v>
      </c>
    </row>
    <row r="2562" spans="1:10" ht="12.75">
      <c r="A2562" s="1" t="s">
        <v>21</v>
      </c>
      <c r="B2562" s="1" t="s">
        <v>59</v>
      </c>
      <c r="C2562" s="1" t="s">
        <v>126</v>
      </c>
      <c r="D2562" s="2">
        <v>45397</v>
      </c>
      <c r="E2562" s="1" t="s">
        <v>2359</v>
      </c>
      <c r="F2562" s="5">
        <f t="shared" ref="F2562:F2625" si="161">VALUE(SUBSTITUTE(E2562,"$",""))</f>
        <v>18581.37</v>
      </c>
      <c r="G2562" s="1">
        <v>83</v>
      </c>
      <c r="H2562" s="1" t="str">
        <f t="shared" ref="H2562:H2625" si="162">IF(F2562&gt;800,"High",IF(F2562&gt;500,"Medium","Low"))</f>
        <v>High</v>
      </c>
      <c r="I2562" s="1" t="str">
        <f t="shared" ref="I2562:I2625" si="163">IF(AND(B2562="Australia",A2562="Mallorie Waber"),"Top Local","Other")</f>
        <v>Other</v>
      </c>
      <c r="J2562" s="1">
        <f t="shared" ref="J2562:J2625" si="164">SUMIF(A2562:A5842,"Mallorie Waber",F2562:F5842)</f>
        <v>136926.02000000002</v>
      </c>
    </row>
    <row r="2563" spans="1:10" ht="12.75">
      <c r="A2563" s="1" t="s">
        <v>15</v>
      </c>
      <c r="B2563" s="1" t="s">
        <v>42</v>
      </c>
      <c r="C2563" s="1" t="s">
        <v>45</v>
      </c>
      <c r="D2563" s="2">
        <v>45295</v>
      </c>
      <c r="E2563" s="1" t="s">
        <v>2360</v>
      </c>
      <c r="F2563" s="5">
        <f t="shared" si="161"/>
        <v>8813.58</v>
      </c>
      <c r="G2563" s="1">
        <v>182</v>
      </c>
      <c r="H2563" s="1" t="str">
        <f t="shared" si="162"/>
        <v>High</v>
      </c>
      <c r="I2563" s="1" t="str">
        <f t="shared" si="163"/>
        <v>Other</v>
      </c>
      <c r="J2563" s="1">
        <f t="shared" si="164"/>
        <v>136926.02000000002</v>
      </c>
    </row>
    <row r="2564" spans="1:10" ht="12.75">
      <c r="A2564" s="1" t="s">
        <v>13</v>
      </c>
      <c r="B2564" s="1" t="s">
        <v>5</v>
      </c>
      <c r="C2564" s="1" t="s">
        <v>63</v>
      </c>
      <c r="D2564" s="2">
        <v>45477</v>
      </c>
      <c r="E2564" s="1" t="s">
        <v>2361</v>
      </c>
      <c r="F2564" s="5">
        <f t="shared" si="161"/>
        <v>7914.74</v>
      </c>
      <c r="G2564" s="1">
        <v>31</v>
      </c>
      <c r="H2564" s="1" t="str">
        <f t="shared" si="162"/>
        <v>High</v>
      </c>
      <c r="I2564" s="1" t="str">
        <f t="shared" si="163"/>
        <v>Other</v>
      </c>
      <c r="J2564" s="1">
        <f t="shared" si="164"/>
        <v>136926.02000000002</v>
      </c>
    </row>
    <row r="2565" spans="1:10" ht="12.75">
      <c r="A2565" s="1" t="s">
        <v>28</v>
      </c>
      <c r="B2565" s="1" t="s">
        <v>59</v>
      </c>
      <c r="C2565" s="1" t="s">
        <v>49</v>
      </c>
      <c r="D2565" s="2">
        <v>45375</v>
      </c>
      <c r="E2565" s="1" t="s">
        <v>2362</v>
      </c>
      <c r="F2565" s="5">
        <f t="shared" si="161"/>
        <v>2787.72</v>
      </c>
      <c r="G2565" s="1">
        <v>342</v>
      </c>
      <c r="H2565" s="1" t="str">
        <f t="shared" si="162"/>
        <v>High</v>
      </c>
      <c r="I2565" s="1" t="str">
        <f t="shared" si="163"/>
        <v>Other</v>
      </c>
      <c r="J2565" s="1">
        <f t="shared" si="164"/>
        <v>136926.02000000002</v>
      </c>
    </row>
    <row r="2566" spans="1:10" ht="12.75">
      <c r="A2566" s="1" t="s">
        <v>25</v>
      </c>
      <c r="B2566" s="1" t="s">
        <v>5</v>
      </c>
      <c r="C2566" s="1" t="s">
        <v>86</v>
      </c>
      <c r="D2566" s="2">
        <v>45368</v>
      </c>
      <c r="E2566" s="1" t="s">
        <v>2363</v>
      </c>
      <c r="F2566" s="5">
        <f t="shared" si="161"/>
        <v>681.71</v>
      </c>
      <c r="G2566" s="1">
        <v>170</v>
      </c>
      <c r="H2566" s="1" t="str">
        <f t="shared" si="162"/>
        <v>Medium</v>
      </c>
      <c r="I2566" s="1" t="str">
        <f t="shared" si="163"/>
        <v>Other</v>
      </c>
      <c r="J2566" s="1">
        <f t="shared" si="164"/>
        <v>136926.02000000002</v>
      </c>
    </row>
    <row r="2567" spans="1:10" ht="12.75">
      <c r="A2567" s="1" t="s">
        <v>22</v>
      </c>
      <c r="B2567" s="1" t="s">
        <v>5</v>
      </c>
      <c r="C2567" s="1" t="s">
        <v>91</v>
      </c>
      <c r="D2567" s="2">
        <v>45337</v>
      </c>
      <c r="E2567" s="1" t="s">
        <v>2364</v>
      </c>
      <c r="F2567" s="5">
        <f t="shared" si="161"/>
        <v>6827.53</v>
      </c>
      <c r="G2567" s="1">
        <v>241</v>
      </c>
      <c r="H2567" s="1" t="str">
        <f t="shared" si="162"/>
        <v>High</v>
      </c>
      <c r="I2567" s="1" t="str">
        <f t="shared" si="163"/>
        <v>Other</v>
      </c>
      <c r="J2567" s="1">
        <f t="shared" si="164"/>
        <v>136926.02000000002</v>
      </c>
    </row>
    <row r="2568" spans="1:10" ht="12.75">
      <c r="A2568" s="1" t="s">
        <v>15</v>
      </c>
      <c r="B2568" s="1" t="s">
        <v>59</v>
      </c>
      <c r="C2568" s="1" t="s">
        <v>60</v>
      </c>
      <c r="D2568" s="2">
        <v>45472</v>
      </c>
      <c r="E2568" s="1" t="s">
        <v>2365</v>
      </c>
      <c r="F2568" s="5">
        <f t="shared" si="161"/>
        <v>1082</v>
      </c>
      <c r="G2568" s="1">
        <v>158</v>
      </c>
      <c r="H2568" s="1" t="str">
        <f t="shared" si="162"/>
        <v>High</v>
      </c>
      <c r="I2568" s="1" t="str">
        <f t="shared" si="163"/>
        <v>Other</v>
      </c>
      <c r="J2568" s="1">
        <f t="shared" si="164"/>
        <v>136926.02000000002</v>
      </c>
    </row>
    <row r="2569" spans="1:10" ht="12.75">
      <c r="A2569" s="1" t="s">
        <v>20</v>
      </c>
      <c r="B2569" s="1" t="s">
        <v>59</v>
      </c>
      <c r="C2569" s="1" t="s">
        <v>81</v>
      </c>
      <c r="D2569" s="2">
        <v>45436</v>
      </c>
      <c r="E2569" s="1" t="s">
        <v>2366</v>
      </c>
      <c r="F2569" s="5">
        <f t="shared" si="161"/>
        <v>2966.98</v>
      </c>
      <c r="G2569" s="1">
        <v>121</v>
      </c>
      <c r="H2569" s="1" t="str">
        <f t="shared" si="162"/>
        <v>High</v>
      </c>
      <c r="I2569" s="1" t="str">
        <f t="shared" si="163"/>
        <v>Other</v>
      </c>
      <c r="J2569" s="1">
        <f t="shared" si="164"/>
        <v>136926.02000000002</v>
      </c>
    </row>
    <row r="2570" spans="1:10" ht="12.75">
      <c r="A2570" s="1" t="s">
        <v>2</v>
      </c>
      <c r="B2570" s="1" t="s">
        <v>39</v>
      </c>
      <c r="C2570" s="1" t="s">
        <v>72</v>
      </c>
      <c r="D2570" s="2">
        <v>45301</v>
      </c>
      <c r="E2570" s="1" t="s">
        <v>2367</v>
      </c>
      <c r="F2570" s="5">
        <f t="shared" si="161"/>
        <v>3951.74</v>
      </c>
      <c r="G2570" s="1">
        <v>287</v>
      </c>
      <c r="H2570" s="1" t="str">
        <f t="shared" si="162"/>
        <v>High</v>
      </c>
      <c r="I2570" s="1" t="str">
        <f t="shared" si="163"/>
        <v>Other</v>
      </c>
      <c r="J2570" s="1">
        <f t="shared" si="164"/>
        <v>136926.02000000002</v>
      </c>
    </row>
    <row r="2571" spans="1:10" ht="12.75">
      <c r="A2571" s="1" t="s">
        <v>24</v>
      </c>
      <c r="B2571" s="1" t="s">
        <v>59</v>
      </c>
      <c r="C2571" s="1" t="s">
        <v>100</v>
      </c>
      <c r="D2571" s="2">
        <v>45366</v>
      </c>
      <c r="E2571" s="1" t="s">
        <v>2368</v>
      </c>
      <c r="F2571" s="5">
        <f t="shared" si="161"/>
        <v>3151.23</v>
      </c>
      <c r="G2571" s="1">
        <v>144</v>
      </c>
      <c r="H2571" s="1" t="str">
        <f t="shared" si="162"/>
        <v>High</v>
      </c>
      <c r="I2571" s="1" t="str">
        <f t="shared" si="163"/>
        <v>Other</v>
      </c>
      <c r="J2571" s="1">
        <f t="shared" si="164"/>
        <v>132974.28000000003</v>
      </c>
    </row>
    <row r="2572" spans="1:10" ht="12.75">
      <c r="A2572" s="1" t="s">
        <v>14</v>
      </c>
      <c r="B2572" s="1" t="s">
        <v>62</v>
      </c>
      <c r="C2572" s="1" t="s">
        <v>72</v>
      </c>
      <c r="D2572" s="2">
        <v>45330</v>
      </c>
      <c r="E2572" s="1" t="s">
        <v>2369</v>
      </c>
      <c r="F2572" s="5">
        <f t="shared" si="161"/>
        <v>2672.67</v>
      </c>
      <c r="G2572" s="1">
        <v>317</v>
      </c>
      <c r="H2572" s="1" t="str">
        <f t="shared" si="162"/>
        <v>High</v>
      </c>
      <c r="I2572" s="1" t="str">
        <f t="shared" si="163"/>
        <v>Other</v>
      </c>
      <c r="J2572" s="1">
        <f t="shared" si="164"/>
        <v>132974.28000000003</v>
      </c>
    </row>
    <row r="2573" spans="1:10" ht="12.75">
      <c r="A2573" s="1" t="s">
        <v>7</v>
      </c>
      <c r="B2573" s="1" t="s">
        <v>42</v>
      </c>
      <c r="C2573" s="1" t="s">
        <v>126</v>
      </c>
      <c r="D2573" s="2">
        <v>45347</v>
      </c>
      <c r="E2573" s="1" t="s">
        <v>2370</v>
      </c>
      <c r="F2573" s="5">
        <f t="shared" si="161"/>
        <v>1742.37</v>
      </c>
      <c r="G2573" s="1">
        <v>106</v>
      </c>
      <c r="H2573" s="1" t="str">
        <f t="shared" si="162"/>
        <v>High</v>
      </c>
      <c r="I2573" s="1" t="str">
        <f t="shared" si="163"/>
        <v>Other</v>
      </c>
      <c r="J2573" s="1">
        <f t="shared" si="164"/>
        <v>132974.28000000003</v>
      </c>
    </row>
    <row r="2574" spans="1:10" ht="12.75">
      <c r="A2574" s="1" t="s">
        <v>23</v>
      </c>
      <c r="B2574" s="1" t="s">
        <v>59</v>
      </c>
      <c r="C2574" s="1" t="s">
        <v>63</v>
      </c>
      <c r="D2574" s="2">
        <v>45415</v>
      </c>
      <c r="E2574" s="1" t="s">
        <v>2371</v>
      </c>
      <c r="F2574" s="5">
        <f t="shared" si="161"/>
        <v>7301.31</v>
      </c>
      <c r="G2574" s="1">
        <v>42</v>
      </c>
      <c r="H2574" s="1" t="str">
        <f t="shared" si="162"/>
        <v>High</v>
      </c>
      <c r="I2574" s="1" t="str">
        <f t="shared" si="163"/>
        <v>Other</v>
      </c>
      <c r="J2574" s="1">
        <f t="shared" si="164"/>
        <v>132974.28000000003</v>
      </c>
    </row>
    <row r="2575" spans="1:10" ht="12.75">
      <c r="A2575" s="1" t="s">
        <v>26</v>
      </c>
      <c r="B2575" s="1" t="s">
        <v>59</v>
      </c>
      <c r="C2575" s="1" t="s">
        <v>81</v>
      </c>
      <c r="D2575" s="2">
        <v>45457</v>
      </c>
      <c r="E2575" s="1" t="s">
        <v>2372</v>
      </c>
      <c r="F2575" s="5">
        <f t="shared" si="161"/>
        <v>6322.14</v>
      </c>
      <c r="G2575" s="1">
        <v>26</v>
      </c>
      <c r="H2575" s="1" t="str">
        <f t="shared" si="162"/>
        <v>High</v>
      </c>
      <c r="I2575" s="1" t="str">
        <f t="shared" si="163"/>
        <v>Other</v>
      </c>
      <c r="J2575" s="1">
        <f t="shared" si="164"/>
        <v>132974.28000000003</v>
      </c>
    </row>
    <row r="2576" spans="1:10" ht="12.75">
      <c r="A2576" s="1" t="s">
        <v>23</v>
      </c>
      <c r="B2576" s="1" t="s">
        <v>42</v>
      </c>
      <c r="C2576" s="1" t="s">
        <v>55</v>
      </c>
      <c r="D2576" s="2">
        <v>45513</v>
      </c>
      <c r="E2576" s="1" t="s">
        <v>2373</v>
      </c>
      <c r="F2576" s="5">
        <f t="shared" si="161"/>
        <v>13731.44</v>
      </c>
      <c r="G2576" s="1">
        <v>82</v>
      </c>
      <c r="H2576" s="1" t="str">
        <f t="shared" si="162"/>
        <v>High</v>
      </c>
      <c r="I2576" s="1" t="str">
        <f t="shared" si="163"/>
        <v>Other</v>
      </c>
      <c r="J2576" s="1">
        <f t="shared" si="164"/>
        <v>132974.28000000003</v>
      </c>
    </row>
    <row r="2577" spans="1:10" ht="12.75">
      <c r="A2577" s="1" t="s">
        <v>29</v>
      </c>
      <c r="B2577" s="1" t="s">
        <v>54</v>
      </c>
      <c r="C2577" s="1" t="s">
        <v>86</v>
      </c>
      <c r="D2577" s="2">
        <v>45484</v>
      </c>
      <c r="E2577" s="1" t="s">
        <v>2374</v>
      </c>
      <c r="F2577" s="5">
        <f t="shared" si="161"/>
        <v>4051.88</v>
      </c>
      <c r="G2577" s="1">
        <v>253</v>
      </c>
      <c r="H2577" s="1" t="str">
        <f t="shared" si="162"/>
        <v>High</v>
      </c>
      <c r="I2577" s="1" t="str">
        <f t="shared" si="163"/>
        <v>Other</v>
      </c>
      <c r="J2577" s="1">
        <f t="shared" si="164"/>
        <v>132974.28000000003</v>
      </c>
    </row>
    <row r="2578" spans="1:10" ht="12.75">
      <c r="A2578" s="1" t="s">
        <v>8</v>
      </c>
      <c r="B2578" s="1" t="s">
        <v>39</v>
      </c>
      <c r="C2578" s="1" t="s">
        <v>86</v>
      </c>
      <c r="D2578" s="2">
        <v>45305</v>
      </c>
      <c r="E2578" s="1" t="s">
        <v>2375</v>
      </c>
      <c r="F2578" s="5">
        <f t="shared" si="161"/>
        <v>8474.69</v>
      </c>
      <c r="G2578" s="1">
        <v>115</v>
      </c>
      <c r="H2578" s="1" t="str">
        <f t="shared" si="162"/>
        <v>High</v>
      </c>
      <c r="I2578" s="1" t="str">
        <f t="shared" si="163"/>
        <v>Other</v>
      </c>
      <c r="J2578" s="1">
        <f t="shared" si="164"/>
        <v>132974.28000000003</v>
      </c>
    </row>
    <row r="2579" spans="1:10" ht="12.75">
      <c r="A2579" s="1" t="s">
        <v>10</v>
      </c>
      <c r="B2579" s="1" t="s">
        <v>62</v>
      </c>
      <c r="C2579" s="1" t="s">
        <v>86</v>
      </c>
      <c r="D2579" s="2">
        <v>45346</v>
      </c>
      <c r="E2579" s="1" t="s">
        <v>2376</v>
      </c>
      <c r="F2579" s="5">
        <f t="shared" si="161"/>
        <v>9426.56</v>
      </c>
      <c r="G2579" s="1">
        <v>49</v>
      </c>
      <c r="H2579" s="1" t="str">
        <f t="shared" si="162"/>
        <v>High</v>
      </c>
      <c r="I2579" s="1" t="str">
        <f t="shared" si="163"/>
        <v>Other</v>
      </c>
      <c r="J2579" s="1">
        <f t="shared" si="164"/>
        <v>132974.28000000003</v>
      </c>
    </row>
    <row r="2580" spans="1:10" ht="12.75">
      <c r="A2580" s="1" t="s">
        <v>29</v>
      </c>
      <c r="B2580" s="1" t="s">
        <v>54</v>
      </c>
      <c r="C2580" s="1" t="s">
        <v>91</v>
      </c>
      <c r="D2580" s="2">
        <v>45366</v>
      </c>
      <c r="E2580" s="1" t="s">
        <v>2377</v>
      </c>
      <c r="F2580" s="5">
        <f t="shared" si="161"/>
        <v>9770.2800000000007</v>
      </c>
      <c r="G2580" s="1">
        <v>154</v>
      </c>
      <c r="H2580" s="1" t="str">
        <f t="shared" si="162"/>
        <v>High</v>
      </c>
      <c r="I2580" s="1" t="str">
        <f t="shared" si="163"/>
        <v>Other</v>
      </c>
      <c r="J2580" s="1">
        <f t="shared" si="164"/>
        <v>132974.28000000003</v>
      </c>
    </row>
    <row r="2581" spans="1:10" ht="12.75">
      <c r="A2581" s="1" t="s">
        <v>22</v>
      </c>
      <c r="B2581" s="1" t="s">
        <v>54</v>
      </c>
      <c r="C2581" s="1" t="s">
        <v>122</v>
      </c>
      <c r="D2581" s="2">
        <v>45407</v>
      </c>
      <c r="E2581" s="1" t="s">
        <v>2378</v>
      </c>
      <c r="F2581" s="5">
        <f t="shared" si="161"/>
        <v>14234.61</v>
      </c>
      <c r="G2581" s="1">
        <v>45</v>
      </c>
      <c r="H2581" s="1" t="str">
        <f t="shared" si="162"/>
        <v>High</v>
      </c>
      <c r="I2581" s="1" t="str">
        <f t="shared" si="163"/>
        <v>Other</v>
      </c>
      <c r="J2581" s="1">
        <f t="shared" si="164"/>
        <v>132974.28000000003</v>
      </c>
    </row>
    <row r="2582" spans="1:10" ht="12.75">
      <c r="A2582" s="1" t="s">
        <v>6</v>
      </c>
      <c r="B2582" s="1" t="s">
        <v>5</v>
      </c>
      <c r="C2582" s="1" t="s">
        <v>68</v>
      </c>
      <c r="D2582" s="2">
        <v>45422</v>
      </c>
      <c r="E2582" s="1" t="s">
        <v>2379</v>
      </c>
      <c r="F2582" s="5">
        <f t="shared" si="161"/>
        <v>6885.01</v>
      </c>
      <c r="G2582" s="1">
        <v>40</v>
      </c>
      <c r="H2582" s="1" t="str">
        <f t="shared" si="162"/>
        <v>High</v>
      </c>
      <c r="I2582" s="1" t="str">
        <f t="shared" si="163"/>
        <v>Other</v>
      </c>
      <c r="J2582" s="1">
        <f t="shared" si="164"/>
        <v>132974.28000000003</v>
      </c>
    </row>
    <row r="2583" spans="1:10" ht="12.75">
      <c r="A2583" s="1" t="s">
        <v>14</v>
      </c>
      <c r="B2583" s="1" t="s">
        <v>5</v>
      </c>
      <c r="C2583" s="1" t="s">
        <v>76</v>
      </c>
      <c r="D2583" s="2">
        <v>45466</v>
      </c>
      <c r="E2583" s="1" t="s">
        <v>2380</v>
      </c>
      <c r="F2583" s="5">
        <f t="shared" si="161"/>
        <v>14687.62</v>
      </c>
      <c r="G2583" s="1">
        <v>293</v>
      </c>
      <c r="H2583" s="1" t="str">
        <f t="shared" si="162"/>
        <v>High</v>
      </c>
      <c r="I2583" s="1" t="str">
        <f t="shared" si="163"/>
        <v>Other</v>
      </c>
      <c r="J2583" s="1">
        <f t="shared" si="164"/>
        <v>132974.28000000003</v>
      </c>
    </row>
    <row r="2584" spans="1:10" ht="12.75">
      <c r="A2584" s="1" t="s">
        <v>28</v>
      </c>
      <c r="B2584" s="1" t="s">
        <v>62</v>
      </c>
      <c r="C2584" s="1" t="s">
        <v>49</v>
      </c>
      <c r="D2584" s="2">
        <v>45350</v>
      </c>
      <c r="E2584" s="1" t="s">
        <v>2381</v>
      </c>
      <c r="F2584" s="5">
        <f t="shared" si="161"/>
        <v>16585.43</v>
      </c>
      <c r="G2584" s="1">
        <v>388</v>
      </c>
      <c r="H2584" s="1" t="str">
        <f t="shared" si="162"/>
        <v>High</v>
      </c>
      <c r="I2584" s="1" t="str">
        <f t="shared" si="163"/>
        <v>Other</v>
      </c>
      <c r="J2584" s="1">
        <f t="shared" si="164"/>
        <v>132974.28000000003</v>
      </c>
    </row>
    <row r="2585" spans="1:10" ht="12.75">
      <c r="A2585" s="1" t="s">
        <v>7</v>
      </c>
      <c r="B2585" s="1" t="s">
        <v>59</v>
      </c>
      <c r="C2585" s="1" t="s">
        <v>68</v>
      </c>
      <c r="D2585" s="2">
        <v>45437</v>
      </c>
      <c r="E2585" s="1" t="s">
        <v>2382</v>
      </c>
      <c r="F2585" s="5">
        <f t="shared" si="161"/>
        <v>17415.669999999998</v>
      </c>
      <c r="G2585" s="1">
        <v>148</v>
      </c>
      <c r="H2585" s="1" t="str">
        <f t="shared" si="162"/>
        <v>High</v>
      </c>
      <c r="I2585" s="1" t="str">
        <f t="shared" si="163"/>
        <v>Other</v>
      </c>
      <c r="J2585" s="1">
        <f t="shared" si="164"/>
        <v>132974.28000000003</v>
      </c>
    </row>
    <row r="2586" spans="1:10" ht="12.75">
      <c r="A2586" s="1" t="s">
        <v>26</v>
      </c>
      <c r="B2586" s="1" t="s">
        <v>54</v>
      </c>
      <c r="C2586" s="1" t="s">
        <v>122</v>
      </c>
      <c r="D2586" s="2">
        <v>45344</v>
      </c>
      <c r="E2586" s="1" t="s">
        <v>2383</v>
      </c>
      <c r="F2586" s="5">
        <f t="shared" si="161"/>
        <v>5954.47</v>
      </c>
      <c r="G2586" s="1">
        <v>236</v>
      </c>
      <c r="H2586" s="1" t="str">
        <f t="shared" si="162"/>
        <v>High</v>
      </c>
      <c r="I2586" s="1" t="str">
        <f t="shared" si="163"/>
        <v>Other</v>
      </c>
      <c r="J2586" s="1">
        <f t="shared" si="164"/>
        <v>132974.28000000003</v>
      </c>
    </row>
    <row r="2587" spans="1:10" ht="12.75">
      <c r="A2587" s="1" t="s">
        <v>10</v>
      </c>
      <c r="B2587" s="1" t="s">
        <v>39</v>
      </c>
      <c r="C2587" s="1" t="s">
        <v>43</v>
      </c>
      <c r="D2587" s="2">
        <v>45484</v>
      </c>
      <c r="E2587" s="1" t="s">
        <v>2384</v>
      </c>
      <c r="F2587" s="5">
        <f t="shared" si="161"/>
        <v>4179.91</v>
      </c>
      <c r="G2587" s="1">
        <v>140</v>
      </c>
      <c r="H2587" s="1" t="str">
        <f t="shared" si="162"/>
        <v>High</v>
      </c>
      <c r="I2587" s="1" t="str">
        <f t="shared" si="163"/>
        <v>Other</v>
      </c>
      <c r="J2587" s="1">
        <f t="shared" si="164"/>
        <v>132974.28000000003</v>
      </c>
    </row>
    <row r="2588" spans="1:10" ht="12.75">
      <c r="A2588" s="1" t="s">
        <v>14</v>
      </c>
      <c r="B2588" s="1" t="s">
        <v>62</v>
      </c>
      <c r="C2588" s="1" t="s">
        <v>76</v>
      </c>
      <c r="D2588" s="2">
        <v>45294</v>
      </c>
      <c r="E2588" s="1" t="s">
        <v>2385</v>
      </c>
      <c r="F2588" s="5">
        <f t="shared" si="161"/>
        <v>3939.95</v>
      </c>
      <c r="G2588" s="1">
        <v>365</v>
      </c>
      <c r="H2588" s="1" t="str">
        <f t="shared" si="162"/>
        <v>High</v>
      </c>
      <c r="I2588" s="1" t="str">
        <f t="shared" si="163"/>
        <v>Other</v>
      </c>
      <c r="J2588" s="1">
        <f t="shared" si="164"/>
        <v>132974.28000000003</v>
      </c>
    </row>
    <row r="2589" spans="1:10" ht="12.75">
      <c r="A2589" s="1" t="s">
        <v>19</v>
      </c>
      <c r="B2589" s="1" t="s">
        <v>54</v>
      </c>
      <c r="C2589" s="1" t="s">
        <v>147</v>
      </c>
      <c r="D2589" s="2">
        <v>45528</v>
      </c>
      <c r="E2589" s="1" t="s">
        <v>2386</v>
      </c>
      <c r="F2589" s="5">
        <f t="shared" si="161"/>
        <v>791.19</v>
      </c>
      <c r="G2589" s="1">
        <v>280</v>
      </c>
      <c r="H2589" s="1" t="str">
        <f t="shared" si="162"/>
        <v>Medium</v>
      </c>
      <c r="I2589" s="1" t="str">
        <f t="shared" si="163"/>
        <v>Other</v>
      </c>
      <c r="J2589" s="1">
        <f t="shared" si="164"/>
        <v>132974.28000000003</v>
      </c>
    </row>
    <row r="2590" spans="1:10" ht="12.75">
      <c r="A2590" s="1" t="s">
        <v>28</v>
      </c>
      <c r="B2590" s="1" t="s">
        <v>59</v>
      </c>
      <c r="C2590" s="1" t="s">
        <v>55</v>
      </c>
      <c r="D2590" s="2">
        <v>45501</v>
      </c>
      <c r="E2590" s="1" t="s">
        <v>2387</v>
      </c>
      <c r="F2590" s="5">
        <f t="shared" si="161"/>
        <v>2941.65</v>
      </c>
      <c r="G2590" s="1">
        <v>360</v>
      </c>
      <c r="H2590" s="1" t="str">
        <f t="shared" si="162"/>
        <v>High</v>
      </c>
      <c r="I2590" s="1" t="str">
        <f t="shared" si="163"/>
        <v>Other</v>
      </c>
      <c r="J2590" s="1">
        <f t="shared" si="164"/>
        <v>132974.28000000003</v>
      </c>
    </row>
    <row r="2591" spans="1:10" ht="12.75">
      <c r="A2591" s="1" t="s">
        <v>7</v>
      </c>
      <c r="B2591" s="1" t="s">
        <v>59</v>
      </c>
      <c r="C2591" s="1" t="s">
        <v>40</v>
      </c>
      <c r="D2591" s="2">
        <v>45437</v>
      </c>
      <c r="E2591" s="1" t="s">
        <v>2388</v>
      </c>
      <c r="F2591" s="5">
        <f t="shared" si="161"/>
        <v>12476.68</v>
      </c>
      <c r="G2591" s="1">
        <v>162</v>
      </c>
      <c r="H2591" s="1" t="str">
        <f t="shared" si="162"/>
        <v>High</v>
      </c>
      <c r="I2591" s="1" t="str">
        <f t="shared" si="163"/>
        <v>Other</v>
      </c>
      <c r="J2591" s="1">
        <f t="shared" si="164"/>
        <v>132974.28000000003</v>
      </c>
    </row>
    <row r="2592" spans="1:10" ht="12.75">
      <c r="A2592" s="1" t="s">
        <v>18</v>
      </c>
      <c r="B2592" s="1" t="s">
        <v>54</v>
      </c>
      <c r="C2592" s="1" t="s">
        <v>63</v>
      </c>
      <c r="D2592" s="2">
        <v>45418</v>
      </c>
      <c r="E2592" s="1" t="s">
        <v>2389</v>
      </c>
      <c r="F2592" s="5">
        <f t="shared" si="161"/>
        <v>2817.14</v>
      </c>
      <c r="G2592" s="1">
        <v>191</v>
      </c>
      <c r="H2592" s="1" t="str">
        <f t="shared" si="162"/>
        <v>High</v>
      </c>
      <c r="I2592" s="1" t="str">
        <f t="shared" si="163"/>
        <v>Other</v>
      </c>
      <c r="J2592" s="1">
        <f t="shared" si="164"/>
        <v>132974.28000000003</v>
      </c>
    </row>
    <row r="2593" spans="1:10" ht="12.75">
      <c r="A2593" s="1" t="s">
        <v>16</v>
      </c>
      <c r="B2593" s="1" t="s">
        <v>42</v>
      </c>
      <c r="C2593" s="1" t="s">
        <v>65</v>
      </c>
      <c r="D2593" s="2">
        <v>45319</v>
      </c>
      <c r="E2593" s="1" t="s">
        <v>2390</v>
      </c>
      <c r="F2593" s="5">
        <f t="shared" si="161"/>
        <v>2411.52</v>
      </c>
      <c r="G2593" s="1">
        <v>144</v>
      </c>
      <c r="H2593" s="1" t="str">
        <f t="shared" si="162"/>
        <v>High</v>
      </c>
      <c r="I2593" s="1" t="str">
        <f t="shared" si="163"/>
        <v>Other</v>
      </c>
      <c r="J2593" s="1">
        <f t="shared" si="164"/>
        <v>132974.28000000003</v>
      </c>
    </row>
    <row r="2594" spans="1:10" ht="12.75">
      <c r="A2594" s="1" t="s">
        <v>14</v>
      </c>
      <c r="B2594" s="1" t="s">
        <v>39</v>
      </c>
      <c r="C2594" s="1" t="s">
        <v>60</v>
      </c>
      <c r="D2594" s="2">
        <v>45449</v>
      </c>
      <c r="E2594" s="1" t="s">
        <v>2391</v>
      </c>
      <c r="F2594" s="5">
        <f t="shared" si="161"/>
        <v>13072.74</v>
      </c>
      <c r="G2594" s="1">
        <v>11</v>
      </c>
      <c r="H2594" s="1" t="str">
        <f t="shared" si="162"/>
        <v>High</v>
      </c>
      <c r="I2594" s="1" t="str">
        <f t="shared" si="163"/>
        <v>Other</v>
      </c>
      <c r="J2594" s="1">
        <f t="shared" si="164"/>
        <v>132974.28000000003</v>
      </c>
    </row>
    <row r="2595" spans="1:10" ht="12.75">
      <c r="A2595" s="1" t="s">
        <v>7</v>
      </c>
      <c r="B2595" s="1" t="s">
        <v>54</v>
      </c>
      <c r="C2595" s="1" t="s">
        <v>122</v>
      </c>
      <c r="D2595" s="2">
        <v>45485</v>
      </c>
      <c r="E2595" s="1" t="s">
        <v>2392</v>
      </c>
      <c r="F2595" s="5">
        <f t="shared" si="161"/>
        <v>6790.41</v>
      </c>
      <c r="G2595" s="1">
        <v>26</v>
      </c>
      <c r="H2595" s="1" t="str">
        <f t="shared" si="162"/>
        <v>High</v>
      </c>
      <c r="I2595" s="1" t="str">
        <f t="shared" si="163"/>
        <v>Other</v>
      </c>
      <c r="J2595" s="1">
        <f t="shared" si="164"/>
        <v>132974.28000000003</v>
      </c>
    </row>
    <row r="2596" spans="1:10" ht="12.75">
      <c r="A2596" s="1" t="s">
        <v>17</v>
      </c>
      <c r="B2596" s="1" t="s">
        <v>62</v>
      </c>
      <c r="C2596" s="1" t="s">
        <v>76</v>
      </c>
      <c r="D2596" s="2">
        <v>45509</v>
      </c>
      <c r="E2596" s="1" t="s">
        <v>2393</v>
      </c>
      <c r="F2596" s="5">
        <f t="shared" si="161"/>
        <v>6092.47</v>
      </c>
      <c r="G2596" s="1">
        <v>201</v>
      </c>
      <c r="H2596" s="1" t="str">
        <f t="shared" si="162"/>
        <v>High</v>
      </c>
      <c r="I2596" s="1" t="str">
        <f t="shared" si="163"/>
        <v>Other</v>
      </c>
      <c r="J2596" s="1">
        <f t="shared" si="164"/>
        <v>132974.28000000003</v>
      </c>
    </row>
    <row r="2597" spans="1:10" ht="12.75">
      <c r="A2597" s="1" t="s">
        <v>7</v>
      </c>
      <c r="B2597" s="1" t="s">
        <v>59</v>
      </c>
      <c r="C2597" s="1" t="s">
        <v>60</v>
      </c>
      <c r="D2597" s="2">
        <v>45319</v>
      </c>
      <c r="E2597" s="1" t="s">
        <v>2394</v>
      </c>
      <c r="F2597" s="5">
        <f t="shared" si="161"/>
        <v>7185.5</v>
      </c>
      <c r="G2597" s="1">
        <v>152</v>
      </c>
      <c r="H2597" s="1" t="str">
        <f t="shared" si="162"/>
        <v>High</v>
      </c>
      <c r="I2597" s="1" t="str">
        <f t="shared" si="163"/>
        <v>Other</v>
      </c>
      <c r="J2597" s="1">
        <f t="shared" si="164"/>
        <v>132974.28000000003</v>
      </c>
    </row>
    <row r="2598" spans="1:10" ht="12.75">
      <c r="A2598" s="1" t="s">
        <v>8</v>
      </c>
      <c r="B2598" s="1" t="s">
        <v>42</v>
      </c>
      <c r="C2598" s="1" t="s">
        <v>76</v>
      </c>
      <c r="D2598" s="2">
        <v>45535</v>
      </c>
      <c r="E2598" s="1" t="s">
        <v>2395</v>
      </c>
      <c r="F2598" s="5">
        <f t="shared" si="161"/>
        <v>6170.8</v>
      </c>
      <c r="G2598" s="1">
        <v>138</v>
      </c>
      <c r="H2598" s="1" t="str">
        <f t="shared" si="162"/>
        <v>High</v>
      </c>
      <c r="I2598" s="1" t="str">
        <f t="shared" si="163"/>
        <v>Other</v>
      </c>
      <c r="J2598" s="1">
        <f t="shared" si="164"/>
        <v>132974.28000000003</v>
      </c>
    </row>
    <row r="2599" spans="1:10" ht="12.75">
      <c r="A2599" s="1" t="s">
        <v>2</v>
      </c>
      <c r="B2599" s="1" t="s">
        <v>59</v>
      </c>
      <c r="C2599" s="1" t="s">
        <v>55</v>
      </c>
      <c r="D2599" s="2">
        <v>45401</v>
      </c>
      <c r="E2599" s="1" t="s">
        <v>2396</v>
      </c>
      <c r="F2599" s="5">
        <f t="shared" si="161"/>
        <v>1945.05</v>
      </c>
      <c r="G2599" s="1">
        <v>14</v>
      </c>
      <c r="H2599" s="1" t="str">
        <f t="shared" si="162"/>
        <v>High</v>
      </c>
      <c r="I2599" s="1" t="str">
        <f t="shared" si="163"/>
        <v>Other</v>
      </c>
      <c r="J2599" s="1">
        <f t="shared" si="164"/>
        <v>132974.28000000003</v>
      </c>
    </row>
    <row r="2600" spans="1:10" ht="12.75">
      <c r="A2600" s="1" t="s">
        <v>2</v>
      </c>
      <c r="B2600" s="1" t="s">
        <v>39</v>
      </c>
      <c r="C2600" s="1" t="s">
        <v>40</v>
      </c>
      <c r="D2600" s="2">
        <v>45472</v>
      </c>
      <c r="E2600" s="1" t="s">
        <v>2397</v>
      </c>
      <c r="F2600" s="5">
        <f t="shared" si="161"/>
        <v>6767.42</v>
      </c>
      <c r="G2600" s="1">
        <v>2</v>
      </c>
      <c r="H2600" s="1" t="str">
        <f t="shared" si="162"/>
        <v>High</v>
      </c>
      <c r="I2600" s="1" t="str">
        <f t="shared" si="163"/>
        <v>Other</v>
      </c>
      <c r="J2600" s="1">
        <f t="shared" si="164"/>
        <v>131029.23000000001</v>
      </c>
    </row>
    <row r="2601" spans="1:10" ht="12.75">
      <c r="A2601" s="1" t="s">
        <v>28</v>
      </c>
      <c r="B2601" s="1" t="s">
        <v>42</v>
      </c>
      <c r="C2601" s="1" t="s">
        <v>102</v>
      </c>
      <c r="D2601" s="2">
        <v>45346</v>
      </c>
      <c r="E2601" s="1" t="s">
        <v>2398</v>
      </c>
      <c r="F2601" s="5">
        <f t="shared" si="161"/>
        <v>3911.69</v>
      </c>
      <c r="G2601" s="1">
        <v>254</v>
      </c>
      <c r="H2601" s="1" t="str">
        <f t="shared" si="162"/>
        <v>High</v>
      </c>
      <c r="I2601" s="1" t="str">
        <f t="shared" si="163"/>
        <v>Other</v>
      </c>
      <c r="J2601" s="1">
        <f t="shared" si="164"/>
        <v>124261.81</v>
      </c>
    </row>
    <row r="2602" spans="1:10" ht="12.75">
      <c r="A2602" s="1" t="s">
        <v>9</v>
      </c>
      <c r="B2602" s="1" t="s">
        <v>39</v>
      </c>
      <c r="C2602" s="1" t="s">
        <v>49</v>
      </c>
      <c r="D2602" s="2">
        <v>45355</v>
      </c>
      <c r="E2602" s="1" t="s">
        <v>2399</v>
      </c>
      <c r="F2602" s="5">
        <f t="shared" si="161"/>
        <v>16733.759999999998</v>
      </c>
      <c r="G2602" s="1">
        <v>88</v>
      </c>
      <c r="H2602" s="1" t="str">
        <f t="shared" si="162"/>
        <v>High</v>
      </c>
      <c r="I2602" s="1" t="str">
        <f t="shared" si="163"/>
        <v>Other</v>
      </c>
      <c r="J2602" s="1">
        <f t="shared" si="164"/>
        <v>124261.81</v>
      </c>
    </row>
    <row r="2603" spans="1:10" ht="12.75">
      <c r="A2603" s="1" t="s">
        <v>20</v>
      </c>
      <c r="B2603" s="1" t="s">
        <v>42</v>
      </c>
      <c r="C2603" s="1" t="s">
        <v>63</v>
      </c>
      <c r="D2603" s="2">
        <v>45464</v>
      </c>
      <c r="E2603" s="1" t="s">
        <v>2400</v>
      </c>
      <c r="F2603" s="5">
        <f t="shared" si="161"/>
        <v>3916.92</v>
      </c>
      <c r="G2603" s="1">
        <v>74</v>
      </c>
      <c r="H2603" s="1" t="str">
        <f t="shared" si="162"/>
        <v>High</v>
      </c>
      <c r="I2603" s="1" t="str">
        <f t="shared" si="163"/>
        <v>Other</v>
      </c>
      <c r="J2603" s="1">
        <f t="shared" si="164"/>
        <v>124261.81</v>
      </c>
    </row>
    <row r="2604" spans="1:10" ht="12.75">
      <c r="A2604" s="1" t="s">
        <v>19</v>
      </c>
      <c r="B2604" s="1" t="s">
        <v>5</v>
      </c>
      <c r="C2604" s="1" t="s">
        <v>68</v>
      </c>
      <c r="D2604" s="2">
        <v>45317</v>
      </c>
      <c r="E2604" s="1" t="s">
        <v>2401</v>
      </c>
      <c r="F2604" s="5">
        <f t="shared" si="161"/>
        <v>1082.69</v>
      </c>
      <c r="G2604" s="1">
        <v>106</v>
      </c>
      <c r="H2604" s="1" t="str">
        <f t="shared" si="162"/>
        <v>High</v>
      </c>
      <c r="I2604" s="1" t="str">
        <f t="shared" si="163"/>
        <v>Other</v>
      </c>
      <c r="J2604" s="1">
        <f t="shared" si="164"/>
        <v>124261.81</v>
      </c>
    </row>
    <row r="2605" spans="1:10" ht="12.75">
      <c r="A2605" s="1" t="s">
        <v>22</v>
      </c>
      <c r="B2605" s="1" t="s">
        <v>54</v>
      </c>
      <c r="C2605" s="1" t="s">
        <v>84</v>
      </c>
      <c r="D2605" s="2">
        <v>45453</v>
      </c>
      <c r="E2605" s="1" t="s">
        <v>2402</v>
      </c>
      <c r="F2605" s="5">
        <f t="shared" si="161"/>
        <v>4822.33</v>
      </c>
      <c r="G2605" s="1">
        <v>42</v>
      </c>
      <c r="H2605" s="1" t="str">
        <f t="shared" si="162"/>
        <v>High</v>
      </c>
      <c r="I2605" s="1" t="str">
        <f t="shared" si="163"/>
        <v>Other</v>
      </c>
      <c r="J2605" s="1">
        <f t="shared" si="164"/>
        <v>124261.81</v>
      </c>
    </row>
    <row r="2606" spans="1:10" ht="12.75">
      <c r="A2606" s="1" t="s">
        <v>27</v>
      </c>
      <c r="B2606" s="1" t="s">
        <v>39</v>
      </c>
      <c r="C2606" s="1" t="s">
        <v>65</v>
      </c>
      <c r="D2606" s="2">
        <v>45435</v>
      </c>
      <c r="E2606" s="1" t="s">
        <v>2403</v>
      </c>
      <c r="F2606" s="5">
        <f t="shared" si="161"/>
        <v>1827.45</v>
      </c>
      <c r="G2606" s="1">
        <v>66</v>
      </c>
      <c r="H2606" s="1" t="str">
        <f t="shared" si="162"/>
        <v>High</v>
      </c>
      <c r="I2606" s="1" t="str">
        <f t="shared" si="163"/>
        <v>Other</v>
      </c>
      <c r="J2606" s="1">
        <f t="shared" si="164"/>
        <v>124261.81</v>
      </c>
    </row>
    <row r="2607" spans="1:10" ht="12.75">
      <c r="A2607" s="1" t="s">
        <v>12</v>
      </c>
      <c r="B2607" s="1" t="s">
        <v>42</v>
      </c>
      <c r="C2607" s="1" t="s">
        <v>72</v>
      </c>
      <c r="D2607" s="2">
        <v>45397</v>
      </c>
      <c r="E2607" s="1" t="s">
        <v>2404</v>
      </c>
      <c r="F2607" s="5">
        <f t="shared" si="161"/>
        <v>1142.4100000000001</v>
      </c>
      <c r="G2607" s="1">
        <v>111</v>
      </c>
      <c r="H2607" s="1" t="str">
        <f t="shared" si="162"/>
        <v>High</v>
      </c>
      <c r="I2607" s="1" t="str">
        <f t="shared" si="163"/>
        <v>Other</v>
      </c>
      <c r="J2607" s="1">
        <f t="shared" si="164"/>
        <v>124261.81</v>
      </c>
    </row>
    <row r="2608" spans="1:10" ht="12.75">
      <c r="A2608" s="1" t="s">
        <v>18</v>
      </c>
      <c r="B2608" s="1" t="s">
        <v>54</v>
      </c>
      <c r="C2608" s="1" t="s">
        <v>126</v>
      </c>
      <c r="D2608" s="2">
        <v>45322</v>
      </c>
      <c r="E2608" s="1" t="s">
        <v>2405</v>
      </c>
      <c r="F2608" s="5">
        <f t="shared" si="161"/>
        <v>6290.89</v>
      </c>
      <c r="G2608" s="1">
        <v>232</v>
      </c>
      <c r="H2608" s="1" t="str">
        <f t="shared" si="162"/>
        <v>High</v>
      </c>
      <c r="I2608" s="1" t="str">
        <f t="shared" si="163"/>
        <v>Other</v>
      </c>
      <c r="J2608" s="1">
        <f t="shared" si="164"/>
        <v>124261.81</v>
      </c>
    </row>
    <row r="2609" spans="1:10" ht="12.75">
      <c r="A2609" s="1" t="s">
        <v>27</v>
      </c>
      <c r="B2609" s="1" t="s">
        <v>54</v>
      </c>
      <c r="C2609" s="1" t="s">
        <v>68</v>
      </c>
      <c r="D2609" s="2">
        <v>45355</v>
      </c>
      <c r="E2609" s="1" t="s">
        <v>2406</v>
      </c>
      <c r="F2609" s="5">
        <f t="shared" si="161"/>
        <v>5616.01</v>
      </c>
      <c r="G2609" s="1">
        <v>43</v>
      </c>
      <c r="H2609" s="1" t="str">
        <f t="shared" si="162"/>
        <v>High</v>
      </c>
      <c r="I2609" s="1" t="str">
        <f t="shared" si="163"/>
        <v>Other</v>
      </c>
      <c r="J2609" s="1">
        <f t="shared" si="164"/>
        <v>124261.81</v>
      </c>
    </row>
    <row r="2610" spans="1:10" ht="12.75">
      <c r="A2610" s="1" t="s">
        <v>16</v>
      </c>
      <c r="B2610" s="1" t="s">
        <v>54</v>
      </c>
      <c r="C2610" s="1" t="s">
        <v>52</v>
      </c>
      <c r="D2610" s="2">
        <v>45401</v>
      </c>
      <c r="E2610" s="1" t="s">
        <v>2407</v>
      </c>
      <c r="F2610" s="5">
        <f t="shared" si="161"/>
        <v>11250.69</v>
      </c>
      <c r="G2610" s="1">
        <v>91</v>
      </c>
      <c r="H2610" s="1" t="str">
        <f t="shared" si="162"/>
        <v>High</v>
      </c>
      <c r="I2610" s="1" t="str">
        <f t="shared" si="163"/>
        <v>Other</v>
      </c>
      <c r="J2610" s="1">
        <f t="shared" si="164"/>
        <v>124261.81</v>
      </c>
    </row>
    <row r="2611" spans="1:10" ht="12.75">
      <c r="A2611" s="1" t="s">
        <v>28</v>
      </c>
      <c r="B2611" s="1" t="s">
        <v>39</v>
      </c>
      <c r="C2611" s="1" t="s">
        <v>91</v>
      </c>
      <c r="D2611" s="2">
        <v>45428</v>
      </c>
      <c r="E2611" s="1" t="s">
        <v>2408</v>
      </c>
      <c r="F2611" s="5">
        <f t="shared" si="161"/>
        <v>2799.42</v>
      </c>
      <c r="G2611" s="1">
        <v>104</v>
      </c>
      <c r="H2611" s="1" t="str">
        <f t="shared" si="162"/>
        <v>High</v>
      </c>
      <c r="I2611" s="1" t="str">
        <f t="shared" si="163"/>
        <v>Other</v>
      </c>
      <c r="J2611" s="1">
        <f t="shared" si="164"/>
        <v>124261.81</v>
      </c>
    </row>
    <row r="2612" spans="1:10" ht="12.75">
      <c r="A2612" s="1" t="s">
        <v>22</v>
      </c>
      <c r="B2612" s="1" t="s">
        <v>5</v>
      </c>
      <c r="C2612" s="1" t="s">
        <v>100</v>
      </c>
      <c r="D2612" s="2">
        <v>45339</v>
      </c>
      <c r="E2612" s="1" t="s">
        <v>2409</v>
      </c>
      <c r="F2612" s="5">
        <f t="shared" si="161"/>
        <v>1157.8800000000001</v>
      </c>
      <c r="G2612" s="1">
        <v>114</v>
      </c>
      <c r="H2612" s="1" t="str">
        <f t="shared" si="162"/>
        <v>High</v>
      </c>
      <c r="I2612" s="1" t="str">
        <f t="shared" si="163"/>
        <v>Other</v>
      </c>
      <c r="J2612" s="1">
        <f t="shared" si="164"/>
        <v>124261.81</v>
      </c>
    </row>
    <row r="2613" spans="1:10" ht="12.75">
      <c r="A2613" s="1" t="s">
        <v>6</v>
      </c>
      <c r="B2613" s="1" t="s">
        <v>59</v>
      </c>
      <c r="C2613" s="1" t="s">
        <v>100</v>
      </c>
      <c r="D2613" s="2">
        <v>45309</v>
      </c>
      <c r="E2613" s="1" t="s">
        <v>2410</v>
      </c>
      <c r="F2613" s="5">
        <f t="shared" si="161"/>
        <v>7049.32</v>
      </c>
      <c r="G2613" s="1">
        <v>273</v>
      </c>
      <c r="H2613" s="1" t="str">
        <f t="shared" si="162"/>
        <v>High</v>
      </c>
      <c r="I2613" s="1" t="str">
        <f t="shared" si="163"/>
        <v>Other</v>
      </c>
      <c r="J2613" s="1">
        <f t="shared" si="164"/>
        <v>124261.81</v>
      </c>
    </row>
    <row r="2614" spans="1:10" ht="12.75">
      <c r="A2614" s="1" t="s">
        <v>26</v>
      </c>
      <c r="B2614" s="1" t="s">
        <v>62</v>
      </c>
      <c r="C2614" s="1" t="s">
        <v>60</v>
      </c>
      <c r="D2614" s="2">
        <v>45331</v>
      </c>
      <c r="E2614" s="1" t="s">
        <v>2411</v>
      </c>
      <c r="F2614" s="5">
        <f t="shared" si="161"/>
        <v>9460.5</v>
      </c>
      <c r="G2614" s="1">
        <v>84</v>
      </c>
      <c r="H2614" s="1" t="str">
        <f t="shared" si="162"/>
        <v>High</v>
      </c>
      <c r="I2614" s="1" t="str">
        <f t="shared" si="163"/>
        <v>Other</v>
      </c>
      <c r="J2614" s="1">
        <f t="shared" si="164"/>
        <v>124261.81</v>
      </c>
    </row>
    <row r="2615" spans="1:10" ht="12.75">
      <c r="A2615" s="1" t="s">
        <v>2</v>
      </c>
      <c r="B2615" s="1" t="s">
        <v>62</v>
      </c>
      <c r="C2615" s="1" t="s">
        <v>60</v>
      </c>
      <c r="D2615" s="2">
        <v>45374</v>
      </c>
      <c r="E2615" s="1" t="s">
        <v>2412</v>
      </c>
      <c r="F2615" s="5">
        <f t="shared" si="161"/>
        <v>4173.7299999999996</v>
      </c>
      <c r="G2615" s="1">
        <v>175</v>
      </c>
      <c r="H2615" s="1" t="str">
        <f t="shared" si="162"/>
        <v>High</v>
      </c>
      <c r="I2615" s="1" t="str">
        <f t="shared" si="163"/>
        <v>Other</v>
      </c>
      <c r="J2615" s="1">
        <f t="shared" si="164"/>
        <v>124261.81</v>
      </c>
    </row>
    <row r="2616" spans="1:10" ht="12.75">
      <c r="A2616" s="1" t="s">
        <v>9</v>
      </c>
      <c r="B2616" s="1" t="s">
        <v>54</v>
      </c>
      <c r="C2616" s="1" t="s">
        <v>126</v>
      </c>
      <c r="D2616" s="2">
        <v>45323</v>
      </c>
      <c r="E2616" s="1" t="s">
        <v>2413</v>
      </c>
      <c r="F2616" s="5">
        <f t="shared" si="161"/>
        <v>4005.08</v>
      </c>
      <c r="G2616" s="1">
        <v>150</v>
      </c>
      <c r="H2616" s="1" t="str">
        <f t="shared" si="162"/>
        <v>High</v>
      </c>
      <c r="I2616" s="1" t="str">
        <f t="shared" si="163"/>
        <v>Other</v>
      </c>
      <c r="J2616" s="1">
        <f t="shared" si="164"/>
        <v>120088.07999999999</v>
      </c>
    </row>
    <row r="2617" spans="1:10" ht="12.75">
      <c r="A2617" s="1" t="s">
        <v>2</v>
      </c>
      <c r="B2617" s="1" t="s">
        <v>42</v>
      </c>
      <c r="C2617" s="1" t="s">
        <v>65</v>
      </c>
      <c r="D2617" s="2">
        <v>45358</v>
      </c>
      <c r="E2617" s="1" t="s">
        <v>2414</v>
      </c>
      <c r="F2617" s="5">
        <f t="shared" si="161"/>
        <v>4650.58</v>
      </c>
      <c r="G2617" s="1">
        <v>143</v>
      </c>
      <c r="H2617" s="1" t="str">
        <f t="shared" si="162"/>
        <v>High</v>
      </c>
      <c r="I2617" s="1" t="str">
        <f t="shared" si="163"/>
        <v>Other</v>
      </c>
      <c r="J2617" s="1">
        <f t="shared" si="164"/>
        <v>120088.07999999999</v>
      </c>
    </row>
    <row r="2618" spans="1:10" ht="12.75">
      <c r="A2618" s="1" t="s">
        <v>17</v>
      </c>
      <c r="B2618" s="1" t="s">
        <v>39</v>
      </c>
      <c r="C2618" s="1" t="s">
        <v>84</v>
      </c>
      <c r="D2618" s="2">
        <v>45294</v>
      </c>
      <c r="E2618" s="1" t="s">
        <v>2415</v>
      </c>
      <c r="F2618" s="5">
        <f t="shared" si="161"/>
        <v>3814.56</v>
      </c>
      <c r="G2618" s="1">
        <v>220</v>
      </c>
      <c r="H2618" s="1" t="str">
        <f t="shared" si="162"/>
        <v>High</v>
      </c>
      <c r="I2618" s="1" t="str">
        <f t="shared" si="163"/>
        <v>Other</v>
      </c>
      <c r="J2618" s="1">
        <f t="shared" si="164"/>
        <v>115437.5</v>
      </c>
    </row>
    <row r="2619" spans="1:10" ht="12.75">
      <c r="A2619" s="1" t="s">
        <v>17</v>
      </c>
      <c r="B2619" s="1" t="s">
        <v>59</v>
      </c>
      <c r="C2619" s="1" t="s">
        <v>84</v>
      </c>
      <c r="D2619" s="2">
        <v>45333</v>
      </c>
      <c r="E2619" s="1" t="s">
        <v>2416</v>
      </c>
      <c r="F2619" s="5">
        <f t="shared" si="161"/>
        <v>6321.35</v>
      </c>
      <c r="G2619" s="1">
        <v>325</v>
      </c>
      <c r="H2619" s="1" t="str">
        <f t="shared" si="162"/>
        <v>High</v>
      </c>
      <c r="I2619" s="1" t="str">
        <f t="shared" si="163"/>
        <v>Other</v>
      </c>
      <c r="J2619" s="1">
        <f t="shared" si="164"/>
        <v>115437.5</v>
      </c>
    </row>
    <row r="2620" spans="1:10" ht="12.75">
      <c r="A2620" s="1" t="s">
        <v>6</v>
      </c>
      <c r="B2620" s="1" t="s">
        <v>54</v>
      </c>
      <c r="C2620" s="1" t="s">
        <v>60</v>
      </c>
      <c r="D2620" s="2">
        <v>45367</v>
      </c>
      <c r="E2620" s="1" t="s">
        <v>2417</v>
      </c>
      <c r="F2620" s="5">
        <f t="shared" si="161"/>
        <v>5245.53</v>
      </c>
      <c r="G2620" s="1">
        <v>144</v>
      </c>
      <c r="H2620" s="1" t="str">
        <f t="shared" si="162"/>
        <v>High</v>
      </c>
      <c r="I2620" s="1" t="str">
        <f t="shared" si="163"/>
        <v>Other</v>
      </c>
      <c r="J2620" s="1">
        <f t="shared" si="164"/>
        <v>115437.5</v>
      </c>
    </row>
    <row r="2621" spans="1:10" ht="12.75">
      <c r="A2621" s="1" t="s">
        <v>21</v>
      </c>
      <c r="B2621" s="1" t="s">
        <v>42</v>
      </c>
      <c r="C2621" s="1" t="s">
        <v>84</v>
      </c>
      <c r="D2621" s="2">
        <v>45519</v>
      </c>
      <c r="E2621" s="1" t="s">
        <v>2418</v>
      </c>
      <c r="F2621" s="5">
        <f t="shared" si="161"/>
        <v>12998.67</v>
      </c>
      <c r="G2621" s="1">
        <v>317</v>
      </c>
      <c r="H2621" s="1" t="str">
        <f t="shared" si="162"/>
        <v>High</v>
      </c>
      <c r="I2621" s="1" t="str">
        <f t="shared" si="163"/>
        <v>Other</v>
      </c>
      <c r="J2621" s="1">
        <f t="shared" si="164"/>
        <v>115437.5</v>
      </c>
    </row>
    <row r="2622" spans="1:10" ht="12.75">
      <c r="A2622" s="1" t="s">
        <v>20</v>
      </c>
      <c r="B2622" s="1" t="s">
        <v>42</v>
      </c>
      <c r="C2622" s="1" t="s">
        <v>86</v>
      </c>
      <c r="D2622" s="2">
        <v>45424</v>
      </c>
      <c r="E2622" s="1" t="s">
        <v>2419</v>
      </c>
      <c r="F2622" s="5">
        <f t="shared" si="161"/>
        <v>5932.12</v>
      </c>
      <c r="G2622" s="1">
        <v>79</v>
      </c>
      <c r="H2622" s="1" t="str">
        <f t="shared" si="162"/>
        <v>High</v>
      </c>
      <c r="I2622" s="1" t="str">
        <f t="shared" si="163"/>
        <v>Other</v>
      </c>
      <c r="J2622" s="1">
        <f t="shared" si="164"/>
        <v>115437.5</v>
      </c>
    </row>
    <row r="2623" spans="1:10" ht="12.75">
      <c r="A2623" s="1" t="s">
        <v>10</v>
      </c>
      <c r="B2623" s="1" t="s">
        <v>42</v>
      </c>
      <c r="C2623" s="1" t="s">
        <v>76</v>
      </c>
      <c r="D2623" s="2">
        <v>45393</v>
      </c>
      <c r="E2623" s="1" t="s">
        <v>2420</v>
      </c>
      <c r="F2623" s="5">
        <f t="shared" si="161"/>
        <v>6811.55</v>
      </c>
      <c r="G2623" s="1">
        <v>4</v>
      </c>
      <c r="H2623" s="1" t="str">
        <f t="shared" si="162"/>
        <v>High</v>
      </c>
      <c r="I2623" s="1" t="str">
        <f t="shared" si="163"/>
        <v>Other</v>
      </c>
      <c r="J2623" s="1">
        <f t="shared" si="164"/>
        <v>115437.5</v>
      </c>
    </row>
    <row r="2624" spans="1:10" ht="12.75">
      <c r="A2624" s="1" t="s">
        <v>15</v>
      </c>
      <c r="B2624" s="1" t="s">
        <v>54</v>
      </c>
      <c r="C2624" s="1" t="s">
        <v>40</v>
      </c>
      <c r="D2624" s="2">
        <v>45473</v>
      </c>
      <c r="E2624" s="1" t="s">
        <v>2421</v>
      </c>
      <c r="F2624" s="5">
        <f t="shared" si="161"/>
        <v>21381.14</v>
      </c>
      <c r="G2624" s="1">
        <v>311</v>
      </c>
      <c r="H2624" s="1" t="str">
        <f t="shared" si="162"/>
        <v>High</v>
      </c>
      <c r="I2624" s="1" t="str">
        <f t="shared" si="163"/>
        <v>Other</v>
      </c>
      <c r="J2624" s="1">
        <f t="shared" si="164"/>
        <v>115437.5</v>
      </c>
    </row>
    <row r="2625" spans="1:10" ht="12.75">
      <c r="A2625" s="1" t="s">
        <v>21</v>
      </c>
      <c r="B2625" s="1" t="s">
        <v>54</v>
      </c>
      <c r="C2625" s="1" t="s">
        <v>84</v>
      </c>
      <c r="D2625" s="2">
        <v>45458</v>
      </c>
      <c r="E2625" s="1" t="s">
        <v>2422</v>
      </c>
      <c r="F2625" s="5">
        <f t="shared" si="161"/>
        <v>8423.36</v>
      </c>
      <c r="G2625" s="1">
        <v>63</v>
      </c>
      <c r="H2625" s="1" t="str">
        <f t="shared" si="162"/>
        <v>High</v>
      </c>
      <c r="I2625" s="1" t="str">
        <f t="shared" si="163"/>
        <v>Other</v>
      </c>
      <c r="J2625" s="1">
        <f t="shared" si="164"/>
        <v>115437.5</v>
      </c>
    </row>
    <row r="2626" spans="1:10" ht="12.75">
      <c r="A2626" s="1" t="s">
        <v>19</v>
      </c>
      <c r="B2626" s="1" t="s">
        <v>62</v>
      </c>
      <c r="C2626" s="1" t="s">
        <v>126</v>
      </c>
      <c r="D2626" s="2">
        <v>45505</v>
      </c>
      <c r="E2626" s="1" t="s">
        <v>2423</v>
      </c>
      <c r="F2626" s="5">
        <f t="shared" ref="F2626:F2689" si="165">VALUE(SUBSTITUTE(E2626,"$",""))</f>
        <v>7951.43</v>
      </c>
      <c r="G2626" s="1">
        <v>109</v>
      </c>
      <c r="H2626" s="1" t="str">
        <f t="shared" ref="H2626:H2689" si="166">IF(F2626&gt;800,"High",IF(F2626&gt;500,"Medium","Low"))</f>
        <v>High</v>
      </c>
      <c r="I2626" s="1" t="str">
        <f t="shared" ref="I2626:I2689" si="167">IF(AND(B2626="Australia",A2626="Mallorie Waber"),"Top Local","Other")</f>
        <v>Other</v>
      </c>
      <c r="J2626" s="1">
        <f t="shared" ref="J2626:J2689" si="168">SUMIF(A2626:A5906,"Mallorie Waber",F2626:F5906)</f>
        <v>115437.5</v>
      </c>
    </row>
    <row r="2627" spans="1:10" ht="12.75">
      <c r="A2627" s="1" t="s">
        <v>8</v>
      </c>
      <c r="B2627" s="1" t="s">
        <v>59</v>
      </c>
      <c r="C2627" s="1" t="s">
        <v>72</v>
      </c>
      <c r="D2627" s="2">
        <v>45458</v>
      </c>
      <c r="E2627" s="1" t="s">
        <v>2424</v>
      </c>
      <c r="F2627" s="5">
        <f t="shared" si="165"/>
        <v>18389.099999999999</v>
      </c>
      <c r="G2627" s="1">
        <v>62</v>
      </c>
      <c r="H2627" s="1" t="str">
        <f t="shared" si="166"/>
        <v>High</v>
      </c>
      <c r="I2627" s="1" t="str">
        <f t="shared" si="167"/>
        <v>Other</v>
      </c>
      <c r="J2627" s="1">
        <f t="shared" si="168"/>
        <v>115437.5</v>
      </c>
    </row>
    <row r="2628" spans="1:10" ht="12.75">
      <c r="A2628" s="1" t="s">
        <v>7</v>
      </c>
      <c r="B2628" s="1" t="s">
        <v>42</v>
      </c>
      <c r="C2628" s="1" t="s">
        <v>52</v>
      </c>
      <c r="D2628" s="2">
        <v>45459</v>
      </c>
      <c r="E2628" s="1" t="s">
        <v>2425</v>
      </c>
      <c r="F2628" s="5">
        <f t="shared" si="165"/>
        <v>6555.46</v>
      </c>
      <c r="G2628" s="1">
        <v>45</v>
      </c>
      <c r="H2628" s="1" t="str">
        <f t="shared" si="166"/>
        <v>High</v>
      </c>
      <c r="I2628" s="1" t="str">
        <f t="shared" si="167"/>
        <v>Other</v>
      </c>
      <c r="J2628" s="1">
        <f t="shared" si="168"/>
        <v>115437.5</v>
      </c>
    </row>
    <row r="2629" spans="1:10" ht="12.75">
      <c r="A2629" s="1" t="s">
        <v>22</v>
      </c>
      <c r="B2629" s="1" t="s">
        <v>54</v>
      </c>
      <c r="C2629" s="1" t="s">
        <v>100</v>
      </c>
      <c r="D2629" s="2">
        <v>45425</v>
      </c>
      <c r="E2629" s="1" t="s">
        <v>2426</v>
      </c>
      <c r="F2629" s="5">
        <f t="shared" si="165"/>
        <v>5129.71</v>
      </c>
      <c r="G2629" s="1">
        <v>270</v>
      </c>
      <c r="H2629" s="1" t="str">
        <f t="shared" si="166"/>
        <v>High</v>
      </c>
      <c r="I2629" s="1" t="str">
        <f t="shared" si="167"/>
        <v>Other</v>
      </c>
      <c r="J2629" s="1">
        <f t="shared" si="168"/>
        <v>115437.5</v>
      </c>
    </row>
    <row r="2630" spans="1:10" ht="12.75">
      <c r="A2630" s="1" t="s">
        <v>6</v>
      </c>
      <c r="B2630" s="1" t="s">
        <v>59</v>
      </c>
      <c r="C2630" s="1" t="s">
        <v>65</v>
      </c>
      <c r="D2630" s="2">
        <v>45422</v>
      </c>
      <c r="E2630" s="1" t="s">
        <v>2427</v>
      </c>
      <c r="F2630" s="5">
        <f t="shared" si="165"/>
        <v>2399.02</v>
      </c>
      <c r="G2630" s="1">
        <v>149</v>
      </c>
      <c r="H2630" s="1" t="str">
        <f t="shared" si="166"/>
        <v>High</v>
      </c>
      <c r="I2630" s="1" t="str">
        <f t="shared" si="167"/>
        <v>Other</v>
      </c>
      <c r="J2630" s="1">
        <f t="shared" si="168"/>
        <v>115437.5</v>
      </c>
    </row>
    <row r="2631" spans="1:10" ht="12.75">
      <c r="A2631" s="1" t="s">
        <v>22</v>
      </c>
      <c r="B2631" s="1" t="s">
        <v>42</v>
      </c>
      <c r="C2631" s="1" t="s">
        <v>63</v>
      </c>
      <c r="D2631" s="2">
        <v>45529</v>
      </c>
      <c r="E2631" s="1" t="s">
        <v>2428</v>
      </c>
      <c r="F2631" s="5">
        <f t="shared" si="165"/>
        <v>6096.53</v>
      </c>
      <c r="G2631" s="1">
        <v>344</v>
      </c>
      <c r="H2631" s="1" t="str">
        <f t="shared" si="166"/>
        <v>High</v>
      </c>
      <c r="I2631" s="1" t="str">
        <f t="shared" si="167"/>
        <v>Other</v>
      </c>
      <c r="J2631" s="1">
        <f t="shared" si="168"/>
        <v>115437.5</v>
      </c>
    </row>
    <row r="2632" spans="1:10" ht="12.75">
      <c r="A2632" s="1" t="s">
        <v>17</v>
      </c>
      <c r="B2632" s="1" t="s">
        <v>54</v>
      </c>
      <c r="C2632" s="1" t="s">
        <v>68</v>
      </c>
      <c r="D2632" s="2">
        <v>45488</v>
      </c>
      <c r="E2632" s="1" t="s">
        <v>2429</v>
      </c>
      <c r="F2632" s="5">
        <f t="shared" si="165"/>
        <v>8134.67</v>
      </c>
      <c r="G2632" s="1">
        <v>83</v>
      </c>
      <c r="H2632" s="1" t="str">
        <f t="shared" si="166"/>
        <v>High</v>
      </c>
      <c r="I2632" s="1" t="str">
        <f t="shared" si="167"/>
        <v>Other</v>
      </c>
      <c r="J2632" s="1">
        <f t="shared" si="168"/>
        <v>115437.5</v>
      </c>
    </row>
    <row r="2633" spans="1:10" ht="12.75">
      <c r="A2633" s="1" t="s">
        <v>20</v>
      </c>
      <c r="B2633" s="1" t="s">
        <v>39</v>
      </c>
      <c r="C2633" s="1" t="s">
        <v>122</v>
      </c>
      <c r="D2633" s="2">
        <v>45428</v>
      </c>
      <c r="E2633" s="1" t="s">
        <v>2430</v>
      </c>
      <c r="F2633" s="5">
        <f t="shared" si="165"/>
        <v>9969.65</v>
      </c>
      <c r="G2633" s="1">
        <v>449</v>
      </c>
      <c r="H2633" s="1" t="str">
        <f t="shared" si="166"/>
        <v>High</v>
      </c>
      <c r="I2633" s="1" t="str">
        <f t="shared" si="167"/>
        <v>Other</v>
      </c>
      <c r="J2633" s="1">
        <f t="shared" si="168"/>
        <v>115437.5</v>
      </c>
    </row>
    <row r="2634" spans="1:10" ht="12.75">
      <c r="A2634" s="1" t="s">
        <v>15</v>
      </c>
      <c r="B2634" s="1" t="s">
        <v>5</v>
      </c>
      <c r="C2634" s="1" t="s">
        <v>55</v>
      </c>
      <c r="D2634" s="2">
        <v>45457</v>
      </c>
      <c r="E2634" s="1" t="s">
        <v>2431</v>
      </c>
      <c r="F2634" s="5">
        <f t="shared" si="165"/>
        <v>3894.16</v>
      </c>
      <c r="G2634" s="1">
        <v>173</v>
      </c>
      <c r="H2634" s="1" t="str">
        <f t="shared" si="166"/>
        <v>High</v>
      </c>
      <c r="I2634" s="1" t="str">
        <f t="shared" si="167"/>
        <v>Other</v>
      </c>
      <c r="J2634" s="1">
        <f t="shared" si="168"/>
        <v>115437.5</v>
      </c>
    </row>
    <row r="2635" spans="1:10" ht="12.75">
      <c r="A2635" s="1" t="s">
        <v>28</v>
      </c>
      <c r="B2635" s="1" t="s">
        <v>5</v>
      </c>
      <c r="C2635" s="1" t="s">
        <v>49</v>
      </c>
      <c r="D2635" s="2">
        <v>45316</v>
      </c>
      <c r="E2635" s="1" t="s">
        <v>2432</v>
      </c>
      <c r="F2635" s="5">
        <f t="shared" si="165"/>
        <v>11533.35</v>
      </c>
      <c r="G2635" s="1">
        <v>491</v>
      </c>
      <c r="H2635" s="1" t="str">
        <f t="shared" si="166"/>
        <v>High</v>
      </c>
      <c r="I2635" s="1" t="str">
        <f t="shared" si="167"/>
        <v>Other</v>
      </c>
      <c r="J2635" s="1">
        <f t="shared" si="168"/>
        <v>115437.5</v>
      </c>
    </row>
    <row r="2636" spans="1:10" ht="12.75">
      <c r="A2636" s="1" t="s">
        <v>17</v>
      </c>
      <c r="B2636" s="1" t="s">
        <v>59</v>
      </c>
      <c r="C2636" s="1" t="s">
        <v>68</v>
      </c>
      <c r="D2636" s="2">
        <v>45501</v>
      </c>
      <c r="E2636" s="1" t="s">
        <v>2433</v>
      </c>
      <c r="F2636" s="5">
        <f t="shared" si="165"/>
        <v>8754.31</v>
      </c>
      <c r="G2636" s="1">
        <v>14</v>
      </c>
      <c r="H2636" s="1" t="str">
        <f t="shared" si="166"/>
        <v>High</v>
      </c>
      <c r="I2636" s="1" t="str">
        <f t="shared" si="167"/>
        <v>Other</v>
      </c>
      <c r="J2636" s="1">
        <f t="shared" si="168"/>
        <v>115437.5</v>
      </c>
    </row>
    <row r="2637" spans="1:10" ht="12.75">
      <c r="A2637" s="1" t="s">
        <v>7</v>
      </c>
      <c r="B2637" s="1" t="s">
        <v>62</v>
      </c>
      <c r="C2637" s="1" t="s">
        <v>40</v>
      </c>
      <c r="D2637" s="2">
        <v>45319</v>
      </c>
      <c r="E2637" s="1" t="s">
        <v>2434</v>
      </c>
      <c r="F2637" s="5">
        <f t="shared" si="165"/>
        <v>5475.65</v>
      </c>
      <c r="G2637" s="1">
        <v>194</v>
      </c>
      <c r="H2637" s="1" t="str">
        <f t="shared" si="166"/>
        <v>High</v>
      </c>
      <c r="I2637" s="1" t="str">
        <f t="shared" si="167"/>
        <v>Other</v>
      </c>
      <c r="J2637" s="1">
        <f t="shared" si="168"/>
        <v>115437.5</v>
      </c>
    </row>
    <row r="2638" spans="1:10" ht="12.75">
      <c r="A2638" s="1" t="s">
        <v>8</v>
      </c>
      <c r="B2638" s="1" t="s">
        <v>39</v>
      </c>
      <c r="C2638" s="1" t="s">
        <v>60</v>
      </c>
      <c r="D2638" s="2">
        <v>45472</v>
      </c>
      <c r="E2638" s="1" t="s">
        <v>2435</v>
      </c>
      <c r="F2638" s="5">
        <f t="shared" si="165"/>
        <v>2252.94</v>
      </c>
      <c r="G2638" s="1">
        <v>196</v>
      </c>
      <c r="H2638" s="1" t="str">
        <f t="shared" si="166"/>
        <v>High</v>
      </c>
      <c r="I2638" s="1" t="str">
        <f t="shared" si="167"/>
        <v>Other</v>
      </c>
      <c r="J2638" s="1">
        <f t="shared" si="168"/>
        <v>115437.5</v>
      </c>
    </row>
    <row r="2639" spans="1:10" ht="12.75">
      <c r="A2639" s="1" t="s">
        <v>18</v>
      </c>
      <c r="B2639" s="1" t="s">
        <v>5</v>
      </c>
      <c r="C2639" s="1" t="s">
        <v>147</v>
      </c>
      <c r="D2639" s="2">
        <v>45467</v>
      </c>
      <c r="E2639" s="1" t="s">
        <v>2436</v>
      </c>
      <c r="F2639" s="5">
        <f t="shared" si="165"/>
        <v>278.77999999999997</v>
      </c>
      <c r="G2639" s="1">
        <v>332</v>
      </c>
      <c r="H2639" s="1" t="str">
        <f t="shared" si="166"/>
        <v>Low</v>
      </c>
      <c r="I2639" s="1" t="str">
        <f t="shared" si="167"/>
        <v>Other</v>
      </c>
      <c r="J2639" s="1">
        <f t="shared" si="168"/>
        <v>115437.5</v>
      </c>
    </row>
    <row r="2640" spans="1:10" ht="12.75">
      <c r="A2640" s="1" t="s">
        <v>23</v>
      </c>
      <c r="B2640" s="1" t="s">
        <v>62</v>
      </c>
      <c r="C2640" s="1" t="s">
        <v>40</v>
      </c>
      <c r="D2640" s="2">
        <v>45474</v>
      </c>
      <c r="E2640" s="1" t="s">
        <v>2437</v>
      </c>
      <c r="F2640" s="5">
        <f t="shared" si="165"/>
        <v>8936.91</v>
      </c>
      <c r="G2640" s="1">
        <v>442</v>
      </c>
      <c r="H2640" s="1" t="str">
        <f t="shared" si="166"/>
        <v>High</v>
      </c>
      <c r="I2640" s="1" t="str">
        <f t="shared" si="167"/>
        <v>Other</v>
      </c>
      <c r="J2640" s="1">
        <f t="shared" si="168"/>
        <v>115437.5</v>
      </c>
    </row>
    <row r="2641" spans="1:10" ht="12.75">
      <c r="A2641" s="1" t="s">
        <v>26</v>
      </c>
      <c r="B2641" s="1" t="s">
        <v>59</v>
      </c>
      <c r="C2641" s="1" t="s">
        <v>45</v>
      </c>
      <c r="D2641" s="2">
        <v>45347</v>
      </c>
      <c r="E2641" s="1" t="s">
        <v>2438</v>
      </c>
      <c r="F2641" s="5">
        <f t="shared" si="165"/>
        <v>2010.22</v>
      </c>
      <c r="G2641" s="1">
        <v>144</v>
      </c>
      <c r="H2641" s="1" t="str">
        <f t="shared" si="166"/>
        <v>High</v>
      </c>
      <c r="I2641" s="1" t="str">
        <f t="shared" si="167"/>
        <v>Other</v>
      </c>
      <c r="J2641" s="1">
        <f t="shared" si="168"/>
        <v>115437.5</v>
      </c>
    </row>
    <row r="2642" spans="1:10" ht="12.75">
      <c r="A2642" s="1" t="s">
        <v>24</v>
      </c>
      <c r="B2642" s="1" t="s">
        <v>62</v>
      </c>
      <c r="C2642" s="1" t="s">
        <v>49</v>
      </c>
      <c r="D2642" s="2">
        <v>45505</v>
      </c>
      <c r="E2642" s="1" t="s">
        <v>2439</v>
      </c>
      <c r="F2642" s="5">
        <f t="shared" si="165"/>
        <v>2901.91</v>
      </c>
      <c r="G2642" s="1">
        <v>12</v>
      </c>
      <c r="H2642" s="1" t="str">
        <f t="shared" si="166"/>
        <v>High</v>
      </c>
      <c r="I2642" s="1" t="str">
        <f t="shared" si="167"/>
        <v>Other</v>
      </c>
      <c r="J2642" s="1">
        <f t="shared" si="168"/>
        <v>115437.5</v>
      </c>
    </row>
    <row r="2643" spans="1:10" ht="12.75">
      <c r="A2643" s="1" t="s">
        <v>22</v>
      </c>
      <c r="B2643" s="1" t="s">
        <v>5</v>
      </c>
      <c r="C2643" s="1" t="s">
        <v>72</v>
      </c>
      <c r="D2643" s="2">
        <v>45464</v>
      </c>
      <c r="E2643" s="1" t="s">
        <v>2440</v>
      </c>
      <c r="F2643" s="5">
        <f t="shared" si="165"/>
        <v>9231.31</v>
      </c>
      <c r="G2643" s="1">
        <v>278</v>
      </c>
      <c r="H2643" s="1" t="str">
        <f t="shared" si="166"/>
        <v>High</v>
      </c>
      <c r="I2643" s="1" t="str">
        <f t="shared" si="167"/>
        <v>Other</v>
      </c>
      <c r="J2643" s="1">
        <f t="shared" si="168"/>
        <v>115437.5</v>
      </c>
    </row>
    <row r="2644" spans="1:10" ht="12.75">
      <c r="A2644" s="1" t="s">
        <v>25</v>
      </c>
      <c r="B2644" s="1" t="s">
        <v>54</v>
      </c>
      <c r="C2644" s="1" t="s">
        <v>76</v>
      </c>
      <c r="D2644" s="2">
        <v>45316</v>
      </c>
      <c r="E2644" s="1" t="s">
        <v>2441</v>
      </c>
      <c r="F2644" s="5">
        <f t="shared" si="165"/>
        <v>12744.67</v>
      </c>
      <c r="G2644" s="1">
        <v>26</v>
      </c>
      <c r="H2644" s="1" t="str">
        <f t="shared" si="166"/>
        <v>High</v>
      </c>
      <c r="I2644" s="1" t="str">
        <f t="shared" si="167"/>
        <v>Other</v>
      </c>
      <c r="J2644" s="1">
        <f t="shared" si="168"/>
        <v>115437.5</v>
      </c>
    </row>
    <row r="2645" spans="1:10" ht="12.75">
      <c r="A2645" s="1" t="s">
        <v>20</v>
      </c>
      <c r="B2645" s="1" t="s">
        <v>39</v>
      </c>
      <c r="C2645" s="1" t="s">
        <v>72</v>
      </c>
      <c r="D2645" s="2">
        <v>45429</v>
      </c>
      <c r="E2645" s="1" t="s">
        <v>2442</v>
      </c>
      <c r="F2645" s="5">
        <f t="shared" si="165"/>
        <v>1436.97</v>
      </c>
      <c r="G2645" s="1">
        <v>248</v>
      </c>
      <c r="H2645" s="1" t="str">
        <f t="shared" si="166"/>
        <v>High</v>
      </c>
      <c r="I2645" s="1" t="str">
        <f t="shared" si="167"/>
        <v>Other</v>
      </c>
      <c r="J2645" s="1">
        <f t="shared" si="168"/>
        <v>115437.5</v>
      </c>
    </row>
    <row r="2646" spans="1:10" ht="12.75">
      <c r="A2646" s="1" t="s">
        <v>27</v>
      </c>
      <c r="B2646" s="1" t="s">
        <v>5</v>
      </c>
      <c r="C2646" s="1" t="s">
        <v>43</v>
      </c>
      <c r="D2646" s="2">
        <v>45527</v>
      </c>
      <c r="E2646" s="1" t="s">
        <v>2443</v>
      </c>
      <c r="F2646" s="5">
        <f t="shared" si="165"/>
        <v>4900.32</v>
      </c>
      <c r="G2646" s="1">
        <v>254</v>
      </c>
      <c r="H2646" s="1" t="str">
        <f t="shared" si="166"/>
        <v>High</v>
      </c>
      <c r="I2646" s="1" t="str">
        <f t="shared" si="167"/>
        <v>Other</v>
      </c>
      <c r="J2646" s="1">
        <f t="shared" si="168"/>
        <v>115437.5</v>
      </c>
    </row>
    <row r="2647" spans="1:10" ht="12.75">
      <c r="A2647" s="1" t="s">
        <v>25</v>
      </c>
      <c r="B2647" s="1" t="s">
        <v>5</v>
      </c>
      <c r="C2647" s="1" t="s">
        <v>49</v>
      </c>
      <c r="D2647" s="2">
        <v>45354</v>
      </c>
      <c r="E2647" s="1" t="s">
        <v>2444</v>
      </c>
      <c r="F2647" s="5">
        <f t="shared" si="165"/>
        <v>8263.11</v>
      </c>
      <c r="G2647" s="1">
        <v>129</v>
      </c>
      <c r="H2647" s="1" t="str">
        <f t="shared" si="166"/>
        <v>High</v>
      </c>
      <c r="I2647" s="1" t="str">
        <f t="shared" si="167"/>
        <v>Other</v>
      </c>
      <c r="J2647" s="1">
        <f t="shared" si="168"/>
        <v>115437.5</v>
      </c>
    </row>
    <row r="2648" spans="1:10" ht="12.75">
      <c r="A2648" s="1" t="s">
        <v>26</v>
      </c>
      <c r="B2648" s="1" t="s">
        <v>42</v>
      </c>
      <c r="C2648" s="1" t="s">
        <v>126</v>
      </c>
      <c r="D2648" s="2">
        <v>45442</v>
      </c>
      <c r="E2648" s="1" t="s">
        <v>2445</v>
      </c>
      <c r="F2648" s="5">
        <f t="shared" si="165"/>
        <v>10139.68</v>
      </c>
      <c r="G2648" s="1">
        <v>552</v>
      </c>
      <c r="H2648" s="1" t="str">
        <f t="shared" si="166"/>
        <v>High</v>
      </c>
      <c r="I2648" s="1" t="str">
        <f t="shared" si="167"/>
        <v>Other</v>
      </c>
      <c r="J2648" s="1">
        <f t="shared" si="168"/>
        <v>115437.5</v>
      </c>
    </row>
    <row r="2649" spans="1:10" ht="12.75">
      <c r="A2649" s="1" t="s">
        <v>18</v>
      </c>
      <c r="B2649" s="1" t="s">
        <v>59</v>
      </c>
      <c r="C2649" s="1" t="s">
        <v>65</v>
      </c>
      <c r="D2649" s="2">
        <v>45472</v>
      </c>
      <c r="E2649" s="1" t="s">
        <v>2446</v>
      </c>
      <c r="F2649" s="5">
        <f t="shared" si="165"/>
        <v>132.68</v>
      </c>
      <c r="G2649" s="1">
        <v>243</v>
      </c>
      <c r="H2649" s="1" t="str">
        <f t="shared" si="166"/>
        <v>Low</v>
      </c>
      <c r="I2649" s="1" t="str">
        <f t="shared" si="167"/>
        <v>Other</v>
      </c>
      <c r="J2649" s="1">
        <f t="shared" si="168"/>
        <v>115437.5</v>
      </c>
    </row>
    <row r="2650" spans="1:10" ht="12.75">
      <c r="A2650" s="1" t="s">
        <v>27</v>
      </c>
      <c r="B2650" s="1" t="s">
        <v>62</v>
      </c>
      <c r="C2650" s="1" t="s">
        <v>68</v>
      </c>
      <c r="D2650" s="2">
        <v>45295</v>
      </c>
      <c r="E2650" s="1" t="s">
        <v>2447</v>
      </c>
      <c r="F2650" s="5">
        <f t="shared" si="165"/>
        <v>9479.6299999999992</v>
      </c>
      <c r="G2650" s="1">
        <v>217</v>
      </c>
      <c r="H2650" s="1" t="str">
        <f t="shared" si="166"/>
        <v>High</v>
      </c>
      <c r="I2650" s="1" t="str">
        <f t="shared" si="167"/>
        <v>Other</v>
      </c>
      <c r="J2650" s="1">
        <f t="shared" si="168"/>
        <v>115437.5</v>
      </c>
    </row>
    <row r="2651" spans="1:10" ht="12.75">
      <c r="A2651" s="1" t="s">
        <v>11</v>
      </c>
      <c r="B2651" s="1" t="s">
        <v>5</v>
      </c>
      <c r="C2651" s="1" t="s">
        <v>65</v>
      </c>
      <c r="D2651" s="2">
        <v>45305</v>
      </c>
      <c r="E2651" s="1" t="s">
        <v>2448</v>
      </c>
      <c r="F2651" s="5">
        <f t="shared" si="165"/>
        <v>3114.84</v>
      </c>
      <c r="G2651" s="1">
        <v>65</v>
      </c>
      <c r="H2651" s="1" t="str">
        <f t="shared" si="166"/>
        <v>High</v>
      </c>
      <c r="I2651" s="1" t="str">
        <f t="shared" si="167"/>
        <v>Other</v>
      </c>
      <c r="J2651" s="1">
        <f t="shared" si="168"/>
        <v>115437.5</v>
      </c>
    </row>
    <row r="2652" spans="1:10" ht="12.75">
      <c r="A2652" s="1" t="s">
        <v>18</v>
      </c>
      <c r="B2652" s="1" t="s">
        <v>59</v>
      </c>
      <c r="C2652" s="1" t="s">
        <v>40</v>
      </c>
      <c r="D2652" s="2">
        <v>45337</v>
      </c>
      <c r="E2652" s="1" t="s">
        <v>2449</v>
      </c>
      <c r="F2652" s="5">
        <f t="shared" si="165"/>
        <v>17866.48</v>
      </c>
      <c r="G2652" s="1">
        <v>58</v>
      </c>
      <c r="H2652" s="1" t="str">
        <f t="shared" si="166"/>
        <v>High</v>
      </c>
      <c r="I2652" s="1" t="str">
        <f t="shared" si="167"/>
        <v>Other</v>
      </c>
      <c r="J2652" s="1">
        <f t="shared" si="168"/>
        <v>115437.5</v>
      </c>
    </row>
    <row r="2653" spans="1:10" ht="12.75">
      <c r="A2653" s="1" t="s">
        <v>24</v>
      </c>
      <c r="B2653" s="1" t="s">
        <v>54</v>
      </c>
      <c r="C2653" s="1" t="s">
        <v>76</v>
      </c>
      <c r="D2653" s="2">
        <v>45301</v>
      </c>
      <c r="E2653" s="1" t="s">
        <v>2450</v>
      </c>
      <c r="F2653" s="5">
        <f t="shared" si="165"/>
        <v>4651.03</v>
      </c>
      <c r="G2653" s="1">
        <v>494</v>
      </c>
      <c r="H2653" s="1" t="str">
        <f t="shared" si="166"/>
        <v>High</v>
      </c>
      <c r="I2653" s="1" t="str">
        <f t="shared" si="167"/>
        <v>Other</v>
      </c>
      <c r="J2653" s="1">
        <f t="shared" si="168"/>
        <v>115437.5</v>
      </c>
    </row>
    <row r="2654" spans="1:10" ht="12.75">
      <c r="A2654" s="1" t="s">
        <v>9</v>
      </c>
      <c r="B2654" s="1" t="s">
        <v>59</v>
      </c>
      <c r="C2654" s="1" t="s">
        <v>84</v>
      </c>
      <c r="D2654" s="2">
        <v>45416</v>
      </c>
      <c r="E2654" s="1" t="s">
        <v>2451</v>
      </c>
      <c r="F2654" s="5">
        <f t="shared" si="165"/>
        <v>14360.42</v>
      </c>
      <c r="G2654" s="1">
        <v>218</v>
      </c>
      <c r="H2654" s="1" t="str">
        <f t="shared" si="166"/>
        <v>High</v>
      </c>
      <c r="I2654" s="1" t="str">
        <f t="shared" si="167"/>
        <v>Other</v>
      </c>
      <c r="J2654" s="1">
        <f t="shared" si="168"/>
        <v>115437.5</v>
      </c>
    </row>
    <row r="2655" spans="1:10" ht="12.75">
      <c r="A2655" s="1" t="s">
        <v>27</v>
      </c>
      <c r="B2655" s="1" t="s">
        <v>59</v>
      </c>
      <c r="C2655" s="1" t="s">
        <v>76</v>
      </c>
      <c r="D2655" s="2">
        <v>45435</v>
      </c>
      <c r="E2655" s="1" t="s">
        <v>2452</v>
      </c>
      <c r="F2655" s="5">
        <f t="shared" si="165"/>
        <v>2595.52</v>
      </c>
      <c r="G2655" s="1">
        <v>5</v>
      </c>
      <c r="H2655" s="1" t="str">
        <f t="shared" si="166"/>
        <v>High</v>
      </c>
      <c r="I2655" s="1" t="str">
        <f t="shared" si="167"/>
        <v>Other</v>
      </c>
      <c r="J2655" s="1">
        <f t="shared" si="168"/>
        <v>115437.5</v>
      </c>
    </row>
    <row r="2656" spans="1:10" ht="12.75">
      <c r="A2656" s="1" t="s">
        <v>16</v>
      </c>
      <c r="B2656" s="1" t="s">
        <v>54</v>
      </c>
      <c r="C2656" s="1" t="s">
        <v>81</v>
      </c>
      <c r="D2656" s="2">
        <v>45408</v>
      </c>
      <c r="E2656" s="1" t="s">
        <v>2453</v>
      </c>
      <c r="F2656" s="5">
        <f t="shared" si="165"/>
        <v>1853.03</v>
      </c>
      <c r="G2656" s="1">
        <v>153</v>
      </c>
      <c r="H2656" s="1" t="str">
        <f t="shared" si="166"/>
        <v>High</v>
      </c>
      <c r="I2656" s="1" t="str">
        <f t="shared" si="167"/>
        <v>Other</v>
      </c>
      <c r="J2656" s="1">
        <f t="shared" si="168"/>
        <v>115437.5</v>
      </c>
    </row>
    <row r="2657" spans="1:10" ht="12.75">
      <c r="A2657" s="1" t="s">
        <v>22</v>
      </c>
      <c r="B2657" s="1" t="s">
        <v>62</v>
      </c>
      <c r="C2657" s="1" t="s">
        <v>68</v>
      </c>
      <c r="D2657" s="2">
        <v>45478</v>
      </c>
      <c r="E2657" s="1" t="s">
        <v>2454</v>
      </c>
      <c r="F2657" s="5">
        <f t="shared" si="165"/>
        <v>1392.99</v>
      </c>
      <c r="G2657" s="1">
        <v>70</v>
      </c>
      <c r="H2657" s="1" t="str">
        <f t="shared" si="166"/>
        <v>High</v>
      </c>
      <c r="I2657" s="1" t="str">
        <f t="shared" si="167"/>
        <v>Other</v>
      </c>
      <c r="J2657" s="1">
        <f t="shared" si="168"/>
        <v>115437.5</v>
      </c>
    </row>
    <row r="2658" spans="1:10" ht="12.75">
      <c r="A2658" s="1" t="s">
        <v>9</v>
      </c>
      <c r="B2658" s="1" t="s">
        <v>39</v>
      </c>
      <c r="C2658" s="1" t="s">
        <v>68</v>
      </c>
      <c r="D2658" s="2">
        <v>45494</v>
      </c>
      <c r="E2658" s="1" t="s">
        <v>2455</v>
      </c>
      <c r="F2658" s="5">
        <f t="shared" si="165"/>
        <v>7943.17</v>
      </c>
      <c r="G2658" s="1">
        <v>174</v>
      </c>
      <c r="H2658" s="1" t="str">
        <f t="shared" si="166"/>
        <v>High</v>
      </c>
      <c r="I2658" s="1" t="str">
        <f t="shared" si="167"/>
        <v>Other</v>
      </c>
      <c r="J2658" s="1">
        <f t="shared" si="168"/>
        <v>115437.5</v>
      </c>
    </row>
    <row r="2659" spans="1:10" ht="12.75">
      <c r="A2659" s="1" t="s">
        <v>21</v>
      </c>
      <c r="B2659" s="1" t="s">
        <v>59</v>
      </c>
      <c r="C2659" s="1" t="s">
        <v>40</v>
      </c>
      <c r="D2659" s="2">
        <v>45343</v>
      </c>
      <c r="E2659" s="1" t="s">
        <v>2456</v>
      </c>
      <c r="F2659" s="5">
        <f t="shared" si="165"/>
        <v>5552.79</v>
      </c>
      <c r="G2659" s="1">
        <v>272</v>
      </c>
      <c r="H2659" s="1" t="str">
        <f t="shared" si="166"/>
        <v>High</v>
      </c>
      <c r="I2659" s="1" t="str">
        <f t="shared" si="167"/>
        <v>Other</v>
      </c>
      <c r="J2659" s="1">
        <f t="shared" si="168"/>
        <v>115437.5</v>
      </c>
    </row>
    <row r="2660" spans="1:10" ht="12.75">
      <c r="A2660" s="1" t="s">
        <v>12</v>
      </c>
      <c r="B2660" s="1" t="s">
        <v>59</v>
      </c>
      <c r="C2660" s="1" t="s">
        <v>60</v>
      </c>
      <c r="D2660" s="2">
        <v>45325</v>
      </c>
      <c r="E2660" s="1" t="s">
        <v>2457</v>
      </c>
      <c r="F2660" s="5">
        <f t="shared" si="165"/>
        <v>1539.14</v>
      </c>
      <c r="G2660" s="1">
        <v>143</v>
      </c>
      <c r="H2660" s="1" t="str">
        <f t="shared" si="166"/>
        <v>High</v>
      </c>
      <c r="I2660" s="1" t="str">
        <f t="shared" si="167"/>
        <v>Other</v>
      </c>
      <c r="J2660" s="1">
        <f t="shared" si="168"/>
        <v>115437.5</v>
      </c>
    </row>
    <row r="2661" spans="1:10" ht="12.75">
      <c r="A2661" s="1" t="s">
        <v>20</v>
      </c>
      <c r="B2661" s="1" t="s">
        <v>5</v>
      </c>
      <c r="C2661" s="1" t="s">
        <v>126</v>
      </c>
      <c r="D2661" s="2">
        <v>45481</v>
      </c>
      <c r="E2661" s="1" t="s">
        <v>2458</v>
      </c>
      <c r="F2661" s="5">
        <f t="shared" si="165"/>
        <v>9117.77</v>
      </c>
      <c r="G2661" s="1">
        <v>154</v>
      </c>
      <c r="H2661" s="1" t="str">
        <f t="shared" si="166"/>
        <v>High</v>
      </c>
      <c r="I2661" s="1" t="str">
        <f t="shared" si="167"/>
        <v>Other</v>
      </c>
      <c r="J2661" s="1">
        <f t="shared" si="168"/>
        <v>115437.5</v>
      </c>
    </row>
    <row r="2662" spans="1:10" ht="12.75">
      <c r="A2662" s="1" t="s">
        <v>2</v>
      </c>
      <c r="B2662" s="1" t="s">
        <v>42</v>
      </c>
      <c r="C2662" s="1" t="s">
        <v>55</v>
      </c>
      <c r="D2662" s="2">
        <v>45443</v>
      </c>
      <c r="E2662" s="1" t="s">
        <v>2459</v>
      </c>
      <c r="F2662" s="5">
        <f t="shared" si="165"/>
        <v>631.02</v>
      </c>
      <c r="G2662" s="1">
        <v>140</v>
      </c>
      <c r="H2662" s="1" t="str">
        <f t="shared" si="166"/>
        <v>Medium</v>
      </c>
      <c r="I2662" s="1" t="str">
        <f t="shared" si="167"/>
        <v>Other</v>
      </c>
      <c r="J2662" s="1">
        <f t="shared" si="168"/>
        <v>115437.5</v>
      </c>
    </row>
    <row r="2663" spans="1:10" ht="12.75">
      <c r="A2663" s="1" t="s">
        <v>10</v>
      </c>
      <c r="B2663" s="1" t="s">
        <v>54</v>
      </c>
      <c r="C2663" s="1" t="s">
        <v>40</v>
      </c>
      <c r="D2663" s="2">
        <v>45470</v>
      </c>
      <c r="E2663" s="1" t="s">
        <v>2460</v>
      </c>
      <c r="F2663" s="5">
        <f t="shared" si="165"/>
        <v>4486.37</v>
      </c>
      <c r="G2663" s="1">
        <v>104</v>
      </c>
      <c r="H2663" s="1" t="str">
        <f t="shared" si="166"/>
        <v>High</v>
      </c>
      <c r="I2663" s="1" t="str">
        <f t="shared" si="167"/>
        <v>Other</v>
      </c>
      <c r="J2663" s="1">
        <f t="shared" si="168"/>
        <v>114806.47999999998</v>
      </c>
    </row>
    <row r="2664" spans="1:10" ht="12.75">
      <c r="A2664" s="1" t="s">
        <v>10</v>
      </c>
      <c r="B2664" s="1" t="s">
        <v>42</v>
      </c>
      <c r="C2664" s="1" t="s">
        <v>55</v>
      </c>
      <c r="D2664" s="2">
        <v>45425</v>
      </c>
      <c r="E2664" s="1" t="s">
        <v>2461</v>
      </c>
      <c r="F2664" s="5">
        <f t="shared" si="165"/>
        <v>5591.29</v>
      </c>
      <c r="G2664" s="1">
        <v>132</v>
      </c>
      <c r="H2664" s="1" t="str">
        <f t="shared" si="166"/>
        <v>High</v>
      </c>
      <c r="I2664" s="1" t="str">
        <f t="shared" si="167"/>
        <v>Other</v>
      </c>
      <c r="J2664" s="1">
        <f t="shared" si="168"/>
        <v>114806.47999999998</v>
      </c>
    </row>
    <row r="2665" spans="1:10" ht="12.75">
      <c r="A2665" s="1" t="s">
        <v>10</v>
      </c>
      <c r="B2665" s="1" t="s">
        <v>59</v>
      </c>
      <c r="C2665" s="1" t="s">
        <v>86</v>
      </c>
      <c r="D2665" s="2">
        <v>45443</v>
      </c>
      <c r="E2665" s="1" t="s">
        <v>2462</v>
      </c>
      <c r="F2665" s="5">
        <f t="shared" si="165"/>
        <v>2662.54</v>
      </c>
      <c r="G2665" s="1">
        <v>102</v>
      </c>
      <c r="H2665" s="1" t="str">
        <f t="shared" si="166"/>
        <v>High</v>
      </c>
      <c r="I2665" s="1" t="str">
        <f t="shared" si="167"/>
        <v>Other</v>
      </c>
      <c r="J2665" s="1">
        <f t="shared" si="168"/>
        <v>114806.47999999998</v>
      </c>
    </row>
    <row r="2666" spans="1:10" ht="12.75">
      <c r="A2666" s="1" t="s">
        <v>29</v>
      </c>
      <c r="B2666" s="1" t="s">
        <v>59</v>
      </c>
      <c r="C2666" s="1" t="s">
        <v>60</v>
      </c>
      <c r="D2666" s="2">
        <v>45350</v>
      </c>
      <c r="E2666" s="1" t="s">
        <v>2463</v>
      </c>
      <c r="F2666" s="5">
        <f t="shared" si="165"/>
        <v>7481.93</v>
      </c>
      <c r="G2666" s="1">
        <v>38</v>
      </c>
      <c r="H2666" s="1" t="str">
        <f t="shared" si="166"/>
        <v>High</v>
      </c>
      <c r="I2666" s="1" t="str">
        <f t="shared" si="167"/>
        <v>Other</v>
      </c>
      <c r="J2666" s="1">
        <f t="shared" si="168"/>
        <v>114806.47999999998</v>
      </c>
    </row>
    <row r="2667" spans="1:10" ht="12.75">
      <c r="A2667" s="1" t="s">
        <v>16</v>
      </c>
      <c r="B2667" s="1" t="s">
        <v>54</v>
      </c>
      <c r="C2667" s="1" t="s">
        <v>63</v>
      </c>
      <c r="D2667" s="2">
        <v>45379</v>
      </c>
      <c r="E2667" s="1" t="s">
        <v>2464</v>
      </c>
      <c r="F2667" s="5">
        <f t="shared" si="165"/>
        <v>7418.41</v>
      </c>
      <c r="G2667" s="1">
        <v>31</v>
      </c>
      <c r="H2667" s="1" t="str">
        <f t="shared" si="166"/>
        <v>High</v>
      </c>
      <c r="I2667" s="1" t="str">
        <f t="shared" si="167"/>
        <v>Other</v>
      </c>
      <c r="J2667" s="1">
        <f t="shared" si="168"/>
        <v>114806.47999999998</v>
      </c>
    </row>
    <row r="2668" spans="1:10" ht="12.75">
      <c r="A2668" s="1" t="s">
        <v>20</v>
      </c>
      <c r="B2668" s="1" t="s">
        <v>59</v>
      </c>
      <c r="C2668" s="1" t="s">
        <v>52</v>
      </c>
      <c r="D2668" s="2">
        <v>45305</v>
      </c>
      <c r="E2668" s="1" t="s">
        <v>2465</v>
      </c>
      <c r="F2668" s="5">
        <f t="shared" si="165"/>
        <v>1969.06</v>
      </c>
      <c r="G2668" s="1">
        <v>235</v>
      </c>
      <c r="H2668" s="1" t="str">
        <f t="shared" si="166"/>
        <v>High</v>
      </c>
      <c r="I2668" s="1" t="str">
        <f t="shared" si="167"/>
        <v>Other</v>
      </c>
      <c r="J2668" s="1">
        <f t="shared" si="168"/>
        <v>114806.47999999998</v>
      </c>
    </row>
    <row r="2669" spans="1:10" ht="12.75">
      <c r="A2669" s="1" t="s">
        <v>16</v>
      </c>
      <c r="B2669" s="1" t="s">
        <v>54</v>
      </c>
      <c r="C2669" s="1" t="s">
        <v>40</v>
      </c>
      <c r="D2669" s="2">
        <v>45343</v>
      </c>
      <c r="E2669" s="1" t="s">
        <v>2466</v>
      </c>
      <c r="F2669" s="5">
        <f t="shared" si="165"/>
        <v>7197.75</v>
      </c>
      <c r="G2669" s="1">
        <v>159</v>
      </c>
      <c r="H2669" s="1" t="str">
        <f t="shared" si="166"/>
        <v>High</v>
      </c>
      <c r="I2669" s="1" t="str">
        <f t="shared" si="167"/>
        <v>Other</v>
      </c>
      <c r="J2669" s="1">
        <f t="shared" si="168"/>
        <v>114806.47999999998</v>
      </c>
    </row>
    <row r="2670" spans="1:10" ht="12.75">
      <c r="A2670" s="1" t="s">
        <v>6</v>
      </c>
      <c r="B2670" s="1" t="s">
        <v>62</v>
      </c>
      <c r="C2670" s="1" t="s">
        <v>43</v>
      </c>
      <c r="D2670" s="2">
        <v>45505</v>
      </c>
      <c r="E2670" s="1" t="s">
        <v>2467</v>
      </c>
      <c r="F2670" s="5">
        <f t="shared" si="165"/>
        <v>11719.06</v>
      </c>
      <c r="G2670" s="1">
        <v>87</v>
      </c>
      <c r="H2670" s="1" t="str">
        <f t="shared" si="166"/>
        <v>High</v>
      </c>
      <c r="I2670" s="1" t="str">
        <f t="shared" si="167"/>
        <v>Other</v>
      </c>
      <c r="J2670" s="1">
        <f t="shared" si="168"/>
        <v>114806.47999999998</v>
      </c>
    </row>
    <row r="2671" spans="1:10" ht="12.75">
      <c r="A2671" s="1" t="s">
        <v>28</v>
      </c>
      <c r="B2671" s="1" t="s">
        <v>54</v>
      </c>
      <c r="C2671" s="1" t="s">
        <v>49</v>
      </c>
      <c r="D2671" s="2">
        <v>45431</v>
      </c>
      <c r="E2671" s="1" t="s">
        <v>2468</v>
      </c>
      <c r="F2671" s="5">
        <f t="shared" si="165"/>
        <v>2755.14</v>
      </c>
      <c r="G2671" s="1">
        <v>63</v>
      </c>
      <c r="H2671" s="1" t="str">
        <f t="shared" si="166"/>
        <v>High</v>
      </c>
      <c r="I2671" s="1" t="str">
        <f t="shared" si="167"/>
        <v>Other</v>
      </c>
      <c r="J2671" s="1">
        <f t="shared" si="168"/>
        <v>114806.47999999998</v>
      </c>
    </row>
    <row r="2672" spans="1:10" ht="12.75">
      <c r="A2672" s="1" t="s">
        <v>13</v>
      </c>
      <c r="B2672" s="1" t="s">
        <v>59</v>
      </c>
      <c r="C2672" s="1" t="s">
        <v>84</v>
      </c>
      <c r="D2672" s="2">
        <v>45486</v>
      </c>
      <c r="E2672" s="1" t="s">
        <v>2469</v>
      </c>
      <c r="F2672" s="5">
        <f t="shared" si="165"/>
        <v>2438.56</v>
      </c>
      <c r="G2672" s="1">
        <v>61</v>
      </c>
      <c r="H2672" s="1" t="str">
        <f t="shared" si="166"/>
        <v>High</v>
      </c>
      <c r="I2672" s="1" t="str">
        <f t="shared" si="167"/>
        <v>Other</v>
      </c>
      <c r="J2672" s="1">
        <f t="shared" si="168"/>
        <v>114806.47999999998</v>
      </c>
    </row>
    <row r="2673" spans="1:10" ht="12.75">
      <c r="A2673" s="1" t="s">
        <v>27</v>
      </c>
      <c r="B2673" s="1" t="s">
        <v>5</v>
      </c>
      <c r="C2673" s="1" t="s">
        <v>45</v>
      </c>
      <c r="D2673" s="2">
        <v>45402</v>
      </c>
      <c r="E2673" s="1" t="s">
        <v>2470</v>
      </c>
      <c r="F2673" s="5">
        <f t="shared" si="165"/>
        <v>7661.86</v>
      </c>
      <c r="G2673" s="1">
        <v>144</v>
      </c>
      <c r="H2673" s="1" t="str">
        <f t="shared" si="166"/>
        <v>High</v>
      </c>
      <c r="I2673" s="1" t="str">
        <f t="shared" si="167"/>
        <v>Other</v>
      </c>
      <c r="J2673" s="1">
        <f t="shared" si="168"/>
        <v>114806.47999999998</v>
      </c>
    </row>
    <row r="2674" spans="1:10" ht="12.75">
      <c r="A2674" s="1" t="s">
        <v>6</v>
      </c>
      <c r="B2674" s="1" t="s">
        <v>42</v>
      </c>
      <c r="C2674" s="1" t="s">
        <v>43</v>
      </c>
      <c r="D2674" s="2">
        <v>45473</v>
      </c>
      <c r="E2674" s="1" t="s">
        <v>2471</v>
      </c>
      <c r="F2674" s="5">
        <f t="shared" si="165"/>
        <v>4886.1499999999996</v>
      </c>
      <c r="G2674" s="1">
        <v>23</v>
      </c>
      <c r="H2674" s="1" t="str">
        <f t="shared" si="166"/>
        <v>High</v>
      </c>
      <c r="I2674" s="1" t="str">
        <f t="shared" si="167"/>
        <v>Other</v>
      </c>
      <c r="J2674" s="1">
        <f t="shared" si="168"/>
        <v>114806.47999999998</v>
      </c>
    </row>
    <row r="2675" spans="1:10" ht="12.75">
      <c r="A2675" s="1" t="s">
        <v>24</v>
      </c>
      <c r="B2675" s="1" t="s">
        <v>39</v>
      </c>
      <c r="C2675" s="1" t="s">
        <v>55</v>
      </c>
      <c r="D2675" s="2">
        <v>45359</v>
      </c>
      <c r="E2675" s="1" t="s">
        <v>2472</v>
      </c>
      <c r="F2675" s="5">
        <f t="shared" si="165"/>
        <v>3572.26</v>
      </c>
      <c r="G2675" s="1">
        <v>156</v>
      </c>
      <c r="H2675" s="1" t="str">
        <f t="shared" si="166"/>
        <v>High</v>
      </c>
      <c r="I2675" s="1" t="str">
        <f t="shared" si="167"/>
        <v>Other</v>
      </c>
      <c r="J2675" s="1">
        <f t="shared" si="168"/>
        <v>114806.47999999998</v>
      </c>
    </row>
    <row r="2676" spans="1:10" ht="12.75">
      <c r="A2676" s="1" t="s">
        <v>23</v>
      </c>
      <c r="B2676" s="1" t="s">
        <v>59</v>
      </c>
      <c r="C2676" s="1" t="s">
        <v>81</v>
      </c>
      <c r="D2676" s="2">
        <v>45360</v>
      </c>
      <c r="E2676" s="1" t="s">
        <v>2473</v>
      </c>
      <c r="F2676" s="5">
        <f t="shared" si="165"/>
        <v>6937.75</v>
      </c>
      <c r="G2676" s="1">
        <v>94</v>
      </c>
      <c r="H2676" s="1" t="str">
        <f t="shared" si="166"/>
        <v>High</v>
      </c>
      <c r="I2676" s="1" t="str">
        <f t="shared" si="167"/>
        <v>Other</v>
      </c>
      <c r="J2676" s="1">
        <f t="shared" si="168"/>
        <v>114806.47999999998</v>
      </c>
    </row>
    <row r="2677" spans="1:10" ht="12.75">
      <c r="A2677" s="1" t="s">
        <v>22</v>
      </c>
      <c r="B2677" s="1" t="s">
        <v>62</v>
      </c>
      <c r="C2677" s="1" t="s">
        <v>100</v>
      </c>
      <c r="D2677" s="2">
        <v>45459</v>
      </c>
      <c r="E2677" s="1" t="s">
        <v>2474</v>
      </c>
      <c r="F2677" s="5">
        <f t="shared" si="165"/>
        <v>1941.25</v>
      </c>
      <c r="G2677" s="1">
        <v>221</v>
      </c>
      <c r="H2677" s="1" t="str">
        <f t="shared" si="166"/>
        <v>High</v>
      </c>
      <c r="I2677" s="1" t="str">
        <f t="shared" si="167"/>
        <v>Other</v>
      </c>
      <c r="J2677" s="1">
        <f t="shared" si="168"/>
        <v>114806.47999999998</v>
      </c>
    </row>
    <row r="2678" spans="1:10" ht="12.75">
      <c r="A2678" s="1" t="s">
        <v>20</v>
      </c>
      <c r="B2678" s="1" t="s">
        <v>39</v>
      </c>
      <c r="C2678" s="1" t="s">
        <v>65</v>
      </c>
      <c r="D2678" s="2">
        <v>45473</v>
      </c>
      <c r="E2678" s="1" t="s">
        <v>2475</v>
      </c>
      <c r="F2678" s="5">
        <f t="shared" si="165"/>
        <v>6173.15</v>
      </c>
      <c r="G2678" s="1">
        <v>46</v>
      </c>
      <c r="H2678" s="1" t="str">
        <f t="shared" si="166"/>
        <v>High</v>
      </c>
      <c r="I2678" s="1" t="str">
        <f t="shared" si="167"/>
        <v>Other</v>
      </c>
      <c r="J2678" s="1">
        <f t="shared" si="168"/>
        <v>114806.47999999998</v>
      </c>
    </row>
    <row r="2679" spans="1:10" ht="12.75">
      <c r="A2679" s="1" t="s">
        <v>12</v>
      </c>
      <c r="B2679" s="1" t="s">
        <v>42</v>
      </c>
      <c r="C2679" s="1" t="s">
        <v>40</v>
      </c>
      <c r="D2679" s="2">
        <v>45501</v>
      </c>
      <c r="E2679" s="1" t="s">
        <v>2476</v>
      </c>
      <c r="F2679" s="5">
        <f t="shared" si="165"/>
        <v>3105.45</v>
      </c>
      <c r="G2679" s="1">
        <v>116</v>
      </c>
      <c r="H2679" s="1" t="str">
        <f t="shared" si="166"/>
        <v>High</v>
      </c>
      <c r="I2679" s="1" t="str">
        <f t="shared" si="167"/>
        <v>Other</v>
      </c>
      <c r="J2679" s="1">
        <f t="shared" si="168"/>
        <v>114806.47999999998</v>
      </c>
    </row>
    <row r="2680" spans="1:10" ht="12.75">
      <c r="A2680" s="1" t="s">
        <v>18</v>
      </c>
      <c r="B2680" s="1" t="s">
        <v>62</v>
      </c>
      <c r="C2680" s="1" t="s">
        <v>45</v>
      </c>
      <c r="D2680" s="2">
        <v>45516</v>
      </c>
      <c r="E2680" s="1" t="s">
        <v>2477</v>
      </c>
      <c r="F2680" s="5">
        <f t="shared" si="165"/>
        <v>3691.6</v>
      </c>
      <c r="G2680" s="1">
        <v>154</v>
      </c>
      <c r="H2680" s="1" t="str">
        <f t="shared" si="166"/>
        <v>High</v>
      </c>
      <c r="I2680" s="1" t="str">
        <f t="shared" si="167"/>
        <v>Other</v>
      </c>
      <c r="J2680" s="1">
        <f t="shared" si="168"/>
        <v>114806.47999999998</v>
      </c>
    </row>
    <row r="2681" spans="1:10" ht="12.75">
      <c r="A2681" s="1" t="s">
        <v>16</v>
      </c>
      <c r="B2681" s="1" t="s">
        <v>39</v>
      </c>
      <c r="C2681" s="1" t="s">
        <v>40</v>
      </c>
      <c r="D2681" s="2">
        <v>45480</v>
      </c>
      <c r="E2681" s="1" t="s">
        <v>2478</v>
      </c>
      <c r="F2681" s="5">
        <f t="shared" si="165"/>
        <v>3950.65</v>
      </c>
      <c r="G2681" s="1">
        <v>324</v>
      </c>
      <c r="H2681" s="1" t="str">
        <f t="shared" si="166"/>
        <v>High</v>
      </c>
      <c r="I2681" s="1" t="str">
        <f t="shared" si="167"/>
        <v>Other</v>
      </c>
      <c r="J2681" s="1">
        <f t="shared" si="168"/>
        <v>114806.47999999998</v>
      </c>
    </row>
    <row r="2682" spans="1:10" ht="12.75">
      <c r="A2682" s="1" t="s">
        <v>16</v>
      </c>
      <c r="B2682" s="1" t="s">
        <v>59</v>
      </c>
      <c r="C2682" s="1" t="s">
        <v>43</v>
      </c>
      <c r="D2682" s="2">
        <v>45529</v>
      </c>
      <c r="E2682" s="1" t="s">
        <v>2479</v>
      </c>
      <c r="F2682" s="5">
        <f t="shared" si="165"/>
        <v>13497.17</v>
      </c>
      <c r="G2682" s="1">
        <v>49</v>
      </c>
      <c r="H2682" s="1" t="str">
        <f t="shared" si="166"/>
        <v>High</v>
      </c>
      <c r="I2682" s="1" t="str">
        <f t="shared" si="167"/>
        <v>Other</v>
      </c>
      <c r="J2682" s="1">
        <f t="shared" si="168"/>
        <v>114806.47999999998</v>
      </c>
    </row>
    <row r="2683" spans="1:10" ht="12.75">
      <c r="A2683" s="1" t="s">
        <v>13</v>
      </c>
      <c r="B2683" s="1" t="s">
        <v>62</v>
      </c>
      <c r="C2683" s="1" t="s">
        <v>63</v>
      </c>
      <c r="D2683" s="2">
        <v>45308</v>
      </c>
      <c r="E2683" s="1" t="s">
        <v>2480</v>
      </c>
      <c r="F2683" s="5">
        <f t="shared" si="165"/>
        <v>4389.2299999999996</v>
      </c>
      <c r="G2683" s="1">
        <v>241</v>
      </c>
      <c r="H2683" s="1" t="str">
        <f t="shared" si="166"/>
        <v>High</v>
      </c>
      <c r="I2683" s="1" t="str">
        <f t="shared" si="167"/>
        <v>Other</v>
      </c>
      <c r="J2683" s="1">
        <f t="shared" si="168"/>
        <v>114806.47999999998</v>
      </c>
    </row>
    <row r="2684" spans="1:10" ht="12.75">
      <c r="A2684" s="1" t="s">
        <v>15</v>
      </c>
      <c r="B2684" s="1" t="s">
        <v>5</v>
      </c>
      <c r="C2684" s="1" t="s">
        <v>147</v>
      </c>
      <c r="D2684" s="2">
        <v>45355</v>
      </c>
      <c r="E2684" s="1" t="s">
        <v>2481</v>
      </c>
      <c r="F2684" s="5">
        <f t="shared" si="165"/>
        <v>6310.98</v>
      </c>
      <c r="G2684" s="1">
        <v>366</v>
      </c>
      <c r="H2684" s="1" t="str">
        <f t="shared" si="166"/>
        <v>High</v>
      </c>
      <c r="I2684" s="1" t="str">
        <f t="shared" si="167"/>
        <v>Other</v>
      </c>
      <c r="J2684" s="1">
        <f t="shared" si="168"/>
        <v>114806.47999999998</v>
      </c>
    </row>
    <row r="2685" spans="1:10" ht="12.75">
      <c r="A2685" s="1" t="s">
        <v>14</v>
      </c>
      <c r="B2685" s="1" t="s">
        <v>54</v>
      </c>
      <c r="C2685" s="1" t="s">
        <v>81</v>
      </c>
      <c r="D2685" s="2">
        <v>45529</v>
      </c>
      <c r="E2685" s="1" t="s">
        <v>2482</v>
      </c>
      <c r="F2685" s="5">
        <f t="shared" si="165"/>
        <v>9693.3700000000008</v>
      </c>
      <c r="G2685" s="1">
        <v>4</v>
      </c>
      <c r="H2685" s="1" t="str">
        <f t="shared" si="166"/>
        <v>High</v>
      </c>
      <c r="I2685" s="1" t="str">
        <f t="shared" si="167"/>
        <v>Other</v>
      </c>
      <c r="J2685" s="1">
        <f t="shared" si="168"/>
        <v>114806.47999999998</v>
      </c>
    </row>
    <row r="2686" spans="1:10" ht="12.75">
      <c r="A2686" s="1" t="s">
        <v>17</v>
      </c>
      <c r="B2686" s="1" t="s">
        <v>39</v>
      </c>
      <c r="C2686" s="1" t="s">
        <v>45</v>
      </c>
      <c r="D2686" s="2">
        <v>45397</v>
      </c>
      <c r="E2686" s="1" t="s">
        <v>2483</v>
      </c>
      <c r="F2686" s="5">
        <f t="shared" si="165"/>
        <v>2348.1999999999998</v>
      </c>
      <c r="G2686" s="1">
        <v>266</v>
      </c>
      <c r="H2686" s="1" t="str">
        <f t="shared" si="166"/>
        <v>High</v>
      </c>
      <c r="I2686" s="1" t="str">
        <f t="shared" si="167"/>
        <v>Other</v>
      </c>
      <c r="J2686" s="1">
        <f t="shared" si="168"/>
        <v>114806.47999999998</v>
      </c>
    </row>
    <row r="2687" spans="1:10" ht="12.75">
      <c r="A2687" s="1" t="s">
        <v>8</v>
      </c>
      <c r="B2687" s="1" t="s">
        <v>59</v>
      </c>
      <c r="C2687" s="1" t="s">
        <v>68</v>
      </c>
      <c r="D2687" s="2">
        <v>45362</v>
      </c>
      <c r="E2687" s="1" t="s">
        <v>1868</v>
      </c>
      <c r="F2687" s="5">
        <f t="shared" si="165"/>
        <v>2518.5</v>
      </c>
      <c r="G2687" s="1">
        <v>24</v>
      </c>
      <c r="H2687" s="1" t="str">
        <f t="shared" si="166"/>
        <v>High</v>
      </c>
      <c r="I2687" s="1" t="str">
        <f t="shared" si="167"/>
        <v>Other</v>
      </c>
      <c r="J2687" s="1">
        <f t="shared" si="168"/>
        <v>114806.47999999998</v>
      </c>
    </row>
    <row r="2688" spans="1:10" ht="12.75">
      <c r="A2688" s="1" t="s">
        <v>25</v>
      </c>
      <c r="B2688" s="1" t="s">
        <v>59</v>
      </c>
      <c r="C2688" s="1" t="s">
        <v>100</v>
      </c>
      <c r="D2688" s="2">
        <v>45432</v>
      </c>
      <c r="E2688" s="1" t="s">
        <v>2484</v>
      </c>
      <c r="F2688" s="5">
        <f t="shared" si="165"/>
        <v>3516.72</v>
      </c>
      <c r="G2688" s="1">
        <v>17</v>
      </c>
      <c r="H2688" s="1" t="str">
        <f t="shared" si="166"/>
        <v>High</v>
      </c>
      <c r="I2688" s="1" t="str">
        <f t="shared" si="167"/>
        <v>Other</v>
      </c>
      <c r="J2688" s="1">
        <f t="shared" si="168"/>
        <v>114806.47999999998</v>
      </c>
    </row>
    <row r="2689" spans="1:10" ht="12.75">
      <c r="A2689" s="1" t="s">
        <v>7</v>
      </c>
      <c r="B2689" s="1" t="s">
        <v>54</v>
      </c>
      <c r="C2689" s="1" t="s">
        <v>86</v>
      </c>
      <c r="D2689" s="2">
        <v>45457</v>
      </c>
      <c r="E2689" s="1" t="s">
        <v>2485</v>
      </c>
      <c r="F2689" s="5">
        <f t="shared" si="165"/>
        <v>16807.37</v>
      </c>
      <c r="G2689" s="1">
        <v>44</v>
      </c>
      <c r="H2689" s="1" t="str">
        <f t="shared" si="166"/>
        <v>High</v>
      </c>
      <c r="I2689" s="1" t="str">
        <f t="shared" si="167"/>
        <v>Other</v>
      </c>
      <c r="J2689" s="1">
        <f t="shared" si="168"/>
        <v>114806.47999999998</v>
      </c>
    </row>
    <row r="2690" spans="1:10" ht="12.75">
      <c r="A2690" s="1" t="s">
        <v>11</v>
      </c>
      <c r="B2690" s="1" t="s">
        <v>54</v>
      </c>
      <c r="C2690" s="1" t="s">
        <v>52</v>
      </c>
      <c r="D2690" s="2">
        <v>45396</v>
      </c>
      <c r="E2690" s="1" t="s">
        <v>2486</v>
      </c>
      <c r="F2690" s="5">
        <f t="shared" ref="F2690:F2753" si="169">VALUE(SUBSTITUTE(E2690,"$",""))</f>
        <v>1736.59</v>
      </c>
      <c r="G2690" s="1">
        <v>70</v>
      </c>
      <c r="H2690" s="1" t="str">
        <f t="shared" ref="H2690:H2753" si="170">IF(F2690&gt;800,"High",IF(F2690&gt;500,"Medium","Low"))</f>
        <v>High</v>
      </c>
      <c r="I2690" s="1" t="str">
        <f t="shared" ref="I2690:I2753" si="171">IF(AND(B2690="Australia",A2690="Mallorie Waber"),"Top Local","Other")</f>
        <v>Other</v>
      </c>
      <c r="J2690" s="1">
        <f t="shared" ref="J2690:J2753" si="172">SUMIF(A2690:A5970,"Mallorie Waber",F2690:F5970)</f>
        <v>114806.47999999998</v>
      </c>
    </row>
    <row r="2691" spans="1:10" ht="12.75">
      <c r="A2691" s="1" t="s">
        <v>11</v>
      </c>
      <c r="B2691" s="1" t="s">
        <v>59</v>
      </c>
      <c r="C2691" s="1" t="s">
        <v>49</v>
      </c>
      <c r="D2691" s="2">
        <v>45480</v>
      </c>
      <c r="E2691" s="1" t="s">
        <v>2487</v>
      </c>
      <c r="F2691" s="5">
        <f t="shared" si="169"/>
        <v>7900.11</v>
      </c>
      <c r="G2691" s="1">
        <v>168</v>
      </c>
      <c r="H2691" s="1" t="str">
        <f t="shared" si="170"/>
        <v>High</v>
      </c>
      <c r="I2691" s="1" t="str">
        <f t="shared" si="171"/>
        <v>Other</v>
      </c>
      <c r="J2691" s="1">
        <f t="shared" si="172"/>
        <v>114806.47999999998</v>
      </c>
    </row>
    <row r="2692" spans="1:10" ht="12.75">
      <c r="A2692" s="1" t="s">
        <v>9</v>
      </c>
      <c r="B2692" s="1" t="s">
        <v>42</v>
      </c>
      <c r="C2692" s="1" t="s">
        <v>40</v>
      </c>
      <c r="D2692" s="2">
        <v>45528</v>
      </c>
      <c r="E2692" s="1" t="s">
        <v>2488</v>
      </c>
      <c r="F2692" s="5">
        <f t="shared" si="169"/>
        <v>4016.89</v>
      </c>
      <c r="G2692" s="1">
        <v>71</v>
      </c>
      <c r="H2692" s="1" t="str">
        <f t="shared" si="170"/>
        <v>High</v>
      </c>
      <c r="I2692" s="1" t="str">
        <f t="shared" si="171"/>
        <v>Other</v>
      </c>
      <c r="J2692" s="1">
        <f t="shared" si="172"/>
        <v>114806.47999999998</v>
      </c>
    </row>
    <row r="2693" spans="1:10" ht="12.75">
      <c r="A2693" s="1" t="s">
        <v>11</v>
      </c>
      <c r="B2693" s="1" t="s">
        <v>42</v>
      </c>
      <c r="C2693" s="1" t="s">
        <v>63</v>
      </c>
      <c r="D2693" s="2">
        <v>45346</v>
      </c>
      <c r="E2693" s="1" t="s">
        <v>2489</v>
      </c>
      <c r="F2693" s="5">
        <f t="shared" si="169"/>
        <v>9642.6200000000008</v>
      </c>
      <c r="G2693" s="1">
        <v>140</v>
      </c>
      <c r="H2693" s="1" t="str">
        <f t="shared" si="170"/>
        <v>High</v>
      </c>
      <c r="I2693" s="1" t="str">
        <f t="shared" si="171"/>
        <v>Other</v>
      </c>
      <c r="J2693" s="1">
        <f t="shared" si="172"/>
        <v>114806.47999999998</v>
      </c>
    </row>
    <row r="2694" spans="1:10" ht="12.75">
      <c r="A2694" s="1" t="s">
        <v>18</v>
      </c>
      <c r="B2694" s="1" t="s">
        <v>62</v>
      </c>
      <c r="C2694" s="1" t="s">
        <v>100</v>
      </c>
      <c r="D2694" s="2">
        <v>45421</v>
      </c>
      <c r="E2694" s="1" t="s">
        <v>2490</v>
      </c>
      <c r="F2694" s="5">
        <f t="shared" si="169"/>
        <v>773.7</v>
      </c>
      <c r="G2694" s="1">
        <v>217</v>
      </c>
      <c r="H2694" s="1" t="str">
        <f t="shared" si="170"/>
        <v>Medium</v>
      </c>
      <c r="I2694" s="1" t="str">
        <f t="shared" si="171"/>
        <v>Other</v>
      </c>
      <c r="J2694" s="1">
        <f t="shared" si="172"/>
        <v>114806.47999999998</v>
      </c>
    </row>
    <row r="2695" spans="1:10" ht="12.75">
      <c r="A2695" s="1" t="s">
        <v>8</v>
      </c>
      <c r="B2695" s="1" t="s">
        <v>5</v>
      </c>
      <c r="C2695" s="1" t="s">
        <v>147</v>
      </c>
      <c r="D2695" s="2">
        <v>45330</v>
      </c>
      <c r="E2695" s="1" t="s">
        <v>2491</v>
      </c>
      <c r="F2695" s="5">
        <f t="shared" si="169"/>
        <v>7852.03</v>
      </c>
      <c r="G2695" s="1">
        <v>240</v>
      </c>
      <c r="H2695" s="1" t="str">
        <f t="shared" si="170"/>
        <v>High</v>
      </c>
      <c r="I2695" s="1" t="str">
        <f t="shared" si="171"/>
        <v>Other</v>
      </c>
      <c r="J2695" s="1">
        <f t="shared" si="172"/>
        <v>114806.47999999998</v>
      </c>
    </row>
    <row r="2696" spans="1:10" ht="12.75">
      <c r="A2696" s="1" t="s">
        <v>26</v>
      </c>
      <c r="B2696" s="1" t="s">
        <v>39</v>
      </c>
      <c r="C2696" s="1" t="s">
        <v>147</v>
      </c>
      <c r="D2696" s="2">
        <v>45375</v>
      </c>
      <c r="E2696" s="1" t="s">
        <v>2492</v>
      </c>
      <c r="F2696" s="5">
        <f t="shared" si="169"/>
        <v>1649.57</v>
      </c>
      <c r="G2696" s="1">
        <v>293</v>
      </c>
      <c r="H2696" s="1" t="str">
        <f t="shared" si="170"/>
        <v>High</v>
      </c>
      <c r="I2696" s="1" t="str">
        <f t="shared" si="171"/>
        <v>Other</v>
      </c>
      <c r="J2696" s="1">
        <f t="shared" si="172"/>
        <v>114806.47999999998</v>
      </c>
    </row>
    <row r="2697" spans="1:10" ht="12.75">
      <c r="A2697" s="1" t="s">
        <v>19</v>
      </c>
      <c r="B2697" s="1" t="s">
        <v>59</v>
      </c>
      <c r="C2697" s="1" t="s">
        <v>65</v>
      </c>
      <c r="D2697" s="2">
        <v>45463</v>
      </c>
      <c r="E2697" s="1" t="s">
        <v>2493</v>
      </c>
      <c r="F2697" s="5">
        <f t="shared" si="169"/>
        <v>9333.4500000000007</v>
      </c>
      <c r="G2697" s="1">
        <v>78</v>
      </c>
      <c r="H2697" s="1" t="str">
        <f t="shared" si="170"/>
        <v>High</v>
      </c>
      <c r="I2697" s="1" t="str">
        <f t="shared" si="171"/>
        <v>Other</v>
      </c>
      <c r="J2697" s="1">
        <f t="shared" si="172"/>
        <v>114806.47999999998</v>
      </c>
    </row>
    <row r="2698" spans="1:10" ht="12.75">
      <c r="A2698" s="1" t="s">
        <v>2</v>
      </c>
      <c r="B2698" s="1" t="s">
        <v>62</v>
      </c>
      <c r="C2698" s="1" t="s">
        <v>86</v>
      </c>
      <c r="D2698" s="2">
        <v>45358</v>
      </c>
      <c r="E2698" s="1" t="s">
        <v>2494</v>
      </c>
      <c r="F2698" s="5">
        <f t="shared" si="169"/>
        <v>1540.11</v>
      </c>
      <c r="G2698" s="1">
        <v>117</v>
      </c>
      <c r="H2698" s="1" t="str">
        <f t="shared" si="170"/>
        <v>High</v>
      </c>
      <c r="I2698" s="1" t="str">
        <f t="shared" si="171"/>
        <v>Other</v>
      </c>
      <c r="J2698" s="1">
        <f t="shared" si="172"/>
        <v>114806.47999999998</v>
      </c>
    </row>
    <row r="2699" spans="1:10" ht="12.75">
      <c r="A2699" s="1" t="s">
        <v>8</v>
      </c>
      <c r="B2699" s="1" t="s">
        <v>5</v>
      </c>
      <c r="C2699" s="1" t="s">
        <v>81</v>
      </c>
      <c r="D2699" s="2">
        <v>45463</v>
      </c>
      <c r="E2699" s="1" t="s">
        <v>2495</v>
      </c>
      <c r="F2699" s="5">
        <f t="shared" si="169"/>
        <v>7840.94</v>
      </c>
      <c r="G2699" s="1">
        <v>82</v>
      </c>
      <c r="H2699" s="1" t="str">
        <f t="shared" si="170"/>
        <v>High</v>
      </c>
      <c r="I2699" s="1" t="str">
        <f t="shared" si="171"/>
        <v>Other</v>
      </c>
      <c r="J2699" s="1">
        <f t="shared" si="172"/>
        <v>113266.37</v>
      </c>
    </row>
    <row r="2700" spans="1:10" ht="12.75">
      <c r="A2700" s="1" t="s">
        <v>22</v>
      </c>
      <c r="B2700" s="1" t="s">
        <v>54</v>
      </c>
      <c r="C2700" s="1" t="s">
        <v>68</v>
      </c>
      <c r="D2700" s="2">
        <v>45339</v>
      </c>
      <c r="E2700" s="1" t="s">
        <v>2496</v>
      </c>
      <c r="F2700" s="5">
        <f t="shared" si="169"/>
        <v>17102.97</v>
      </c>
      <c r="G2700" s="1">
        <v>267</v>
      </c>
      <c r="H2700" s="1" t="str">
        <f t="shared" si="170"/>
        <v>High</v>
      </c>
      <c r="I2700" s="1" t="str">
        <f t="shared" si="171"/>
        <v>Other</v>
      </c>
      <c r="J2700" s="1">
        <f t="shared" si="172"/>
        <v>113266.37</v>
      </c>
    </row>
    <row r="2701" spans="1:10" ht="12.75">
      <c r="A2701" s="1" t="s">
        <v>9</v>
      </c>
      <c r="B2701" s="1" t="s">
        <v>39</v>
      </c>
      <c r="C2701" s="1" t="s">
        <v>51</v>
      </c>
      <c r="D2701" s="2">
        <v>45317</v>
      </c>
      <c r="E2701" s="1" t="s">
        <v>2497</v>
      </c>
      <c r="F2701" s="5">
        <f t="shared" si="169"/>
        <v>11496.42</v>
      </c>
      <c r="G2701" s="1">
        <v>49</v>
      </c>
      <c r="H2701" s="1" t="str">
        <f t="shared" si="170"/>
        <v>High</v>
      </c>
      <c r="I2701" s="1" t="str">
        <f t="shared" si="171"/>
        <v>Other</v>
      </c>
      <c r="J2701" s="1">
        <f t="shared" si="172"/>
        <v>113266.37</v>
      </c>
    </row>
    <row r="2702" spans="1:10" ht="12.75">
      <c r="A2702" s="1" t="s">
        <v>9</v>
      </c>
      <c r="B2702" s="1" t="s">
        <v>5</v>
      </c>
      <c r="C2702" s="1" t="s">
        <v>40</v>
      </c>
      <c r="D2702" s="2">
        <v>45414</v>
      </c>
      <c r="E2702" s="1" t="s">
        <v>2498</v>
      </c>
      <c r="F2702" s="5">
        <f t="shared" si="169"/>
        <v>3072.89</v>
      </c>
      <c r="G2702" s="1">
        <v>166</v>
      </c>
      <c r="H2702" s="1" t="str">
        <f t="shared" si="170"/>
        <v>High</v>
      </c>
      <c r="I2702" s="1" t="str">
        <f t="shared" si="171"/>
        <v>Other</v>
      </c>
      <c r="J2702" s="1">
        <f t="shared" si="172"/>
        <v>113266.37</v>
      </c>
    </row>
    <row r="2703" spans="1:10" ht="12.75">
      <c r="A2703" s="1" t="s">
        <v>24</v>
      </c>
      <c r="B2703" s="1" t="s">
        <v>62</v>
      </c>
      <c r="C2703" s="1" t="s">
        <v>51</v>
      </c>
      <c r="D2703" s="2">
        <v>45480</v>
      </c>
      <c r="E2703" s="1" t="s">
        <v>2499</v>
      </c>
      <c r="F2703" s="5">
        <f t="shared" si="169"/>
        <v>14990.79</v>
      </c>
      <c r="G2703" s="1">
        <v>7</v>
      </c>
      <c r="H2703" s="1" t="str">
        <f t="shared" si="170"/>
        <v>High</v>
      </c>
      <c r="I2703" s="1" t="str">
        <f t="shared" si="171"/>
        <v>Other</v>
      </c>
      <c r="J2703" s="1">
        <f t="shared" si="172"/>
        <v>113266.37</v>
      </c>
    </row>
    <row r="2704" spans="1:10" ht="12.75">
      <c r="A2704" s="1" t="s">
        <v>19</v>
      </c>
      <c r="B2704" s="1" t="s">
        <v>5</v>
      </c>
      <c r="C2704" s="1" t="s">
        <v>122</v>
      </c>
      <c r="D2704" s="2">
        <v>45526</v>
      </c>
      <c r="E2704" s="1" t="s">
        <v>2500</v>
      </c>
      <c r="F2704" s="5">
        <f t="shared" si="169"/>
        <v>3170.18</v>
      </c>
      <c r="G2704" s="1">
        <v>49</v>
      </c>
      <c r="H2704" s="1" t="str">
        <f t="shared" si="170"/>
        <v>High</v>
      </c>
      <c r="I2704" s="1" t="str">
        <f t="shared" si="171"/>
        <v>Other</v>
      </c>
      <c r="J2704" s="1">
        <f t="shared" si="172"/>
        <v>113266.37</v>
      </c>
    </row>
    <row r="2705" spans="1:10" ht="12.75">
      <c r="A2705" s="1" t="s">
        <v>18</v>
      </c>
      <c r="B2705" s="1" t="s">
        <v>5</v>
      </c>
      <c r="C2705" s="1" t="s">
        <v>52</v>
      </c>
      <c r="D2705" s="2">
        <v>45515</v>
      </c>
      <c r="E2705" s="1" t="s">
        <v>2501</v>
      </c>
      <c r="F2705" s="5">
        <f t="shared" si="169"/>
        <v>2528.14</v>
      </c>
      <c r="G2705" s="1">
        <v>67</v>
      </c>
      <c r="H2705" s="1" t="str">
        <f t="shared" si="170"/>
        <v>High</v>
      </c>
      <c r="I2705" s="1" t="str">
        <f t="shared" si="171"/>
        <v>Other</v>
      </c>
      <c r="J2705" s="1">
        <f t="shared" si="172"/>
        <v>113266.37</v>
      </c>
    </row>
    <row r="2706" spans="1:10" ht="12.75">
      <c r="A2706" s="1" t="s">
        <v>14</v>
      </c>
      <c r="B2706" s="1" t="s">
        <v>39</v>
      </c>
      <c r="C2706" s="1" t="s">
        <v>51</v>
      </c>
      <c r="D2706" s="2">
        <v>45304</v>
      </c>
      <c r="E2706" s="1" t="s">
        <v>2502</v>
      </c>
      <c r="F2706" s="5">
        <f t="shared" si="169"/>
        <v>8551.6</v>
      </c>
      <c r="G2706" s="1">
        <v>208</v>
      </c>
      <c r="H2706" s="1" t="str">
        <f t="shared" si="170"/>
        <v>High</v>
      </c>
      <c r="I2706" s="1" t="str">
        <f t="shared" si="171"/>
        <v>Other</v>
      </c>
      <c r="J2706" s="1">
        <f t="shared" si="172"/>
        <v>113266.37</v>
      </c>
    </row>
    <row r="2707" spans="1:10" ht="12.75">
      <c r="A2707" s="1" t="s">
        <v>23</v>
      </c>
      <c r="B2707" s="1" t="s">
        <v>5</v>
      </c>
      <c r="C2707" s="1" t="s">
        <v>55</v>
      </c>
      <c r="D2707" s="2">
        <v>45353</v>
      </c>
      <c r="E2707" s="1" t="s">
        <v>2503</v>
      </c>
      <c r="F2707" s="5">
        <f t="shared" si="169"/>
        <v>13072.95</v>
      </c>
      <c r="G2707" s="1">
        <v>119</v>
      </c>
      <c r="H2707" s="1" t="str">
        <f t="shared" si="170"/>
        <v>High</v>
      </c>
      <c r="I2707" s="1" t="str">
        <f t="shared" si="171"/>
        <v>Other</v>
      </c>
      <c r="J2707" s="1">
        <f t="shared" si="172"/>
        <v>113266.37</v>
      </c>
    </row>
    <row r="2708" spans="1:10" ht="12.75">
      <c r="A2708" s="1" t="s">
        <v>14</v>
      </c>
      <c r="B2708" s="1" t="s">
        <v>5</v>
      </c>
      <c r="C2708" s="1" t="s">
        <v>102</v>
      </c>
      <c r="D2708" s="2">
        <v>45500</v>
      </c>
      <c r="E2708" s="1" t="s">
        <v>2504</v>
      </c>
      <c r="F2708" s="5">
        <f t="shared" si="169"/>
        <v>11987.26</v>
      </c>
      <c r="G2708" s="1">
        <v>41</v>
      </c>
      <c r="H2708" s="1" t="str">
        <f t="shared" si="170"/>
        <v>High</v>
      </c>
      <c r="I2708" s="1" t="str">
        <f t="shared" si="171"/>
        <v>Other</v>
      </c>
      <c r="J2708" s="1">
        <f t="shared" si="172"/>
        <v>113266.37</v>
      </c>
    </row>
    <row r="2709" spans="1:10" ht="12.75">
      <c r="A2709" s="1" t="s">
        <v>12</v>
      </c>
      <c r="B2709" s="1" t="s">
        <v>54</v>
      </c>
      <c r="C2709" s="1" t="s">
        <v>65</v>
      </c>
      <c r="D2709" s="2">
        <v>45361</v>
      </c>
      <c r="E2709" s="1" t="s">
        <v>2505</v>
      </c>
      <c r="F2709" s="5">
        <f t="shared" si="169"/>
        <v>18385.439999999999</v>
      </c>
      <c r="G2709" s="1">
        <v>116</v>
      </c>
      <c r="H2709" s="1" t="str">
        <f t="shared" si="170"/>
        <v>High</v>
      </c>
      <c r="I2709" s="1" t="str">
        <f t="shared" si="171"/>
        <v>Other</v>
      </c>
      <c r="J2709" s="1">
        <f t="shared" si="172"/>
        <v>113266.37</v>
      </c>
    </row>
    <row r="2710" spans="1:10" ht="12.75">
      <c r="A2710" s="1" t="s">
        <v>28</v>
      </c>
      <c r="B2710" s="1" t="s">
        <v>59</v>
      </c>
      <c r="C2710" s="1" t="s">
        <v>43</v>
      </c>
      <c r="D2710" s="2">
        <v>45527</v>
      </c>
      <c r="E2710" s="1" t="s">
        <v>2506</v>
      </c>
      <c r="F2710" s="5">
        <f t="shared" si="169"/>
        <v>14028.4</v>
      </c>
      <c r="G2710" s="1">
        <v>344</v>
      </c>
      <c r="H2710" s="1" t="str">
        <f t="shared" si="170"/>
        <v>High</v>
      </c>
      <c r="I2710" s="1" t="str">
        <f t="shared" si="171"/>
        <v>Other</v>
      </c>
      <c r="J2710" s="1">
        <f t="shared" si="172"/>
        <v>113266.37</v>
      </c>
    </row>
    <row r="2711" spans="1:10" ht="12.75">
      <c r="A2711" s="1" t="s">
        <v>26</v>
      </c>
      <c r="B2711" s="1" t="s">
        <v>59</v>
      </c>
      <c r="C2711" s="1" t="s">
        <v>63</v>
      </c>
      <c r="D2711" s="2">
        <v>45407</v>
      </c>
      <c r="E2711" s="1" t="s">
        <v>2507</v>
      </c>
      <c r="F2711" s="5">
        <f t="shared" si="169"/>
        <v>4812.71</v>
      </c>
      <c r="G2711" s="1">
        <v>169</v>
      </c>
      <c r="H2711" s="1" t="str">
        <f t="shared" si="170"/>
        <v>High</v>
      </c>
      <c r="I2711" s="1" t="str">
        <f t="shared" si="171"/>
        <v>Other</v>
      </c>
      <c r="J2711" s="1">
        <f t="shared" si="172"/>
        <v>113266.37</v>
      </c>
    </row>
    <row r="2712" spans="1:10" ht="12.75">
      <c r="A2712" s="1" t="s">
        <v>6</v>
      </c>
      <c r="B2712" s="1" t="s">
        <v>39</v>
      </c>
      <c r="C2712" s="1" t="s">
        <v>72</v>
      </c>
      <c r="D2712" s="2">
        <v>45358</v>
      </c>
      <c r="E2712" s="1" t="s">
        <v>2508</v>
      </c>
      <c r="F2712" s="5">
        <f t="shared" si="169"/>
        <v>11963.91</v>
      </c>
      <c r="G2712" s="1">
        <v>446</v>
      </c>
      <c r="H2712" s="1" t="str">
        <f t="shared" si="170"/>
        <v>High</v>
      </c>
      <c r="I2712" s="1" t="str">
        <f t="shared" si="171"/>
        <v>Other</v>
      </c>
      <c r="J2712" s="1">
        <f t="shared" si="172"/>
        <v>113266.37</v>
      </c>
    </row>
    <row r="2713" spans="1:10" ht="12.75">
      <c r="A2713" s="1" t="s">
        <v>29</v>
      </c>
      <c r="B2713" s="1" t="s">
        <v>39</v>
      </c>
      <c r="C2713" s="1" t="s">
        <v>68</v>
      </c>
      <c r="D2713" s="2">
        <v>45485</v>
      </c>
      <c r="E2713" s="1" t="s">
        <v>2509</v>
      </c>
      <c r="F2713" s="5">
        <f t="shared" si="169"/>
        <v>5574.83</v>
      </c>
      <c r="G2713" s="1">
        <v>52</v>
      </c>
      <c r="H2713" s="1" t="str">
        <f t="shared" si="170"/>
        <v>High</v>
      </c>
      <c r="I2713" s="1" t="str">
        <f t="shared" si="171"/>
        <v>Other</v>
      </c>
      <c r="J2713" s="1">
        <f t="shared" si="172"/>
        <v>113266.37</v>
      </c>
    </row>
    <row r="2714" spans="1:10" ht="12.75">
      <c r="A2714" s="1" t="s">
        <v>9</v>
      </c>
      <c r="B2714" s="1" t="s">
        <v>59</v>
      </c>
      <c r="C2714" s="1" t="s">
        <v>60</v>
      </c>
      <c r="D2714" s="2">
        <v>45428</v>
      </c>
      <c r="E2714" s="1" t="s">
        <v>2510</v>
      </c>
      <c r="F2714" s="5">
        <f t="shared" si="169"/>
        <v>9205.15</v>
      </c>
      <c r="G2714" s="1">
        <v>144</v>
      </c>
      <c r="H2714" s="1" t="str">
        <f t="shared" si="170"/>
        <v>High</v>
      </c>
      <c r="I2714" s="1" t="str">
        <f t="shared" si="171"/>
        <v>Other</v>
      </c>
      <c r="J2714" s="1">
        <f t="shared" si="172"/>
        <v>113266.37</v>
      </c>
    </row>
    <row r="2715" spans="1:10" ht="12.75">
      <c r="A2715" s="1" t="s">
        <v>23</v>
      </c>
      <c r="B2715" s="1" t="s">
        <v>42</v>
      </c>
      <c r="C2715" s="1" t="s">
        <v>49</v>
      </c>
      <c r="D2715" s="2">
        <v>45353</v>
      </c>
      <c r="E2715" s="1" t="s">
        <v>2511</v>
      </c>
      <c r="F2715" s="5">
        <f t="shared" si="169"/>
        <v>4133.74</v>
      </c>
      <c r="G2715" s="1">
        <v>69</v>
      </c>
      <c r="H2715" s="1" t="str">
        <f t="shared" si="170"/>
        <v>High</v>
      </c>
      <c r="I2715" s="1" t="str">
        <f t="shared" si="171"/>
        <v>Other</v>
      </c>
      <c r="J2715" s="1">
        <f t="shared" si="172"/>
        <v>113266.37</v>
      </c>
    </row>
    <row r="2716" spans="1:10" ht="12.75">
      <c r="A2716" s="1" t="s">
        <v>14</v>
      </c>
      <c r="B2716" s="1" t="s">
        <v>54</v>
      </c>
      <c r="C2716" s="1" t="s">
        <v>43</v>
      </c>
      <c r="D2716" s="2">
        <v>45442</v>
      </c>
      <c r="E2716" s="1" t="s">
        <v>2512</v>
      </c>
      <c r="F2716" s="5">
        <f t="shared" si="169"/>
        <v>1312.23</v>
      </c>
      <c r="G2716" s="1">
        <v>164</v>
      </c>
      <c r="H2716" s="1" t="str">
        <f t="shared" si="170"/>
        <v>High</v>
      </c>
      <c r="I2716" s="1" t="str">
        <f t="shared" si="171"/>
        <v>Other</v>
      </c>
      <c r="J2716" s="1">
        <f t="shared" si="172"/>
        <v>113266.37</v>
      </c>
    </row>
    <row r="2717" spans="1:10" ht="12.75">
      <c r="A2717" s="1" t="s">
        <v>14</v>
      </c>
      <c r="B2717" s="1" t="s">
        <v>39</v>
      </c>
      <c r="C2717" s="1" t="s">
        <v>86</v>
      </c>
      <c r="D2717" s="2">
        <v>45453</v>
      </c>
      <c r="E2717" s="1" t="s">
        <v>2513</v>
      </c>
      <c r="F2717" s="5">
        <f t="shared" si="169"/>
        <v>11735.75</v>
      </c>
      <c r="G2717" s="1">
        <v>185</v>
      </c>
      <c r="H2717" s="1" t="str">
        <f t="shared" si="170"/>
        <v>High</v>
      </c>
      <c r="I2717" s="1" t="str">
        <f t="shared" si="171"/>
        <v>Other</v>
      </c>
      <c r="J2717" s="1">
        <f t="shared" si="172"/>
        <v>113266.37</v>
      </c>
    </row>
    <row r="2718" spans="1:10" ht="12.75">
      <c r="A2718" s="1" t="s">
        <v>7</v>
      </c>
      <c r="B2718" s="1" t="s">
        <v>59</v>
      </c>
      <c r="C2718" s="1" t="s">
        <v>51</v>
      </c>
      <c r="D2718" s="2">
        <v>45498</v>
      </c>
      <c r="E2718" s="1" t="s">
        <v>2514</v>
      </c>
      <c r="F2718" s="5">
        <f t="shared" si="169"/>
        <v>7650.76</v>
      </c>
      <c r="G2718" s="1">
        <v>358</v>
      </c>
      <c r="H2718" s="1" t="str">
        <f t="shared" si="170"/>
        <v>High</v>
      </c>
      <c r="I2718" s="1" t="str">
        <f t="shared" si="171"/>
        <v>Other</v>
      </c>
      <c r="J2718" s="1">
        <f t="shared" si="172"/>
        <v>113266.37</v>
      </c>
    </row>
    <row r="2719" spans="1:10" ht="12.75">
      <c r="A2719" s="1" t="s">
        <v>28</v>
      </c>
      <c r="B2719" s="1" t="s">
        <v>54</v>
      </c>
      <c r="C2719" s="1" t="s">
        <v>40</v>
      </c>
      <c r="D2719" s="2">
        <v>45452</v>
      </c>
      <c r="E2719" s="1" t="s">
        <v>2515</v>
      </c>
      <c r="F2719" s="5">
        <f t="shared" si="169"/>
        <v>4994.93</v>
      </c>
      <c r="G2719" s="1">
        <v>98</v>
      </c>
      <c r="H2719" s="1" t="str">
        <f t="shared" si="170"/>
        <v>High</v>
      </c>
      <c r="I2719" s="1" t="str">
        <f t="shared" si="171"/>
        <v>Other</v>
      </c>
      <c r="J2719" s="1">
        <f t="shared" si="172"/>
        <v>113266.37</v>
      </c>
    </row>
    <row r="2720" spans="1:10" ht="12.75">
      <c r="A2720" s="1" t="s">
        <v>6</v>
      </c>
      <c r="B2720" s="1" t="s">
        <v>59</v>
      </c>
      <c r="C2720" s="1" t="s">
        <v>72</v>
      </c>
      <c r="D2720" s="2">
        <v>45424</v>
      </c>
      <c r="E2720" s="1" t="s">
        <v>2516</v>
      </c>
      <c r="F2720" s="5">
        <f t="shared" si="169"/>
        <v>890.78</v>
      </c>
      <c r="G2720" s="1">
        <v>62</v>
      </c>
      <c r="H2720" s="1" t="str">
        <f t="shared" si="170"/>
        <v>High</v>
      </c>
      <c r="I2720" s="1" t="str">
        <f t="shared" si="171"/>
        <v>Other</v>
      </c>
      <c r="J2720" s="1">
        <f t="shared" si="172"/>
        <v>113266.37</v>
      </c>
    </row>
    <row r="2721" spans="1:10" ht="12.75">
      <c r="A2721" s="1" t="s">
        <v>23</v>
      </c>
      <c r="B2721" s="1" t="s">
        <v>59</v>
      </c>
      <c r="C2721" s="1" t="s">
        <v>65</v>
      </c>
      <c r="D2721" s="2">
        <v>45421</v>
      </c>
      <c r="E2721" s="1" t="s">
        <v>2517</v>
      </c>
      <c r="F2721" s="5">
        <f t="shared" si="169"/>
        <v>4142.16</v>
      </c>
      <c r="G2721" s="1">
        <v>5</v>
      </c>
      <c r="H2721" s="1" t="str">
        <f t="shared" si="170"/>
        <v>High</v>
      </c>
      <c r="I2721" s="1" t="str">
        <f t="shared" si="171"/>
        <v>Other</v>
      </c>
      <c r="J2721" s="1">
        <f t="shared" si="172"/>
        <v>113266.37</v>
      </c>
    </row>
    <row r="2722" spans="1:10" ht="12.75">
      <c r="A2722" s="1" t="s">
        <v>7</v>
      </c>
      <c r="B2722" s="1" t="s">
        <v>62</v>
      </c>
      <c r="C2722" s="1" t="s">
        <v>86</v>
      </c>
      <c r="D2722" s="2">
        <v>45513</v>
      </c>
      <c r="E2722" s="1" t="s">
        <v>2518</v>
      </c>
      <c r="F2722" s="5">
        <f t="shared" si="169"/>
        <v>7308.24</v>
      </c>
      <c r="G2722" s="1">
        <v>178</v>
      </c>
      <c r="H2722" s="1" t="str">
        <f t="shared" si="170"/>
        <v>High</v>
      </c>
      <c r="I2722" s="1" t="str">
        <f t="shared" si="171"/>
        <v>Other</v>
      </c>
      <c r="J2722" s="1">
        <f t="shared" si="172"/>
        <v>113266.37</v>
      </c>
    </row>
    <row r="2723" spans="1:10" ht="12.75">
      <c r="A2723" s="1" t="s">
        <v>10</v>
      </c>
      <c r="B2723" s="1" t="s">
        <v>42</v>
      </c>
      <c r="C2723" s="1" t="s">
        <v>102</v>
      </c>
      <c r="D2723" s="2">
        <v>45395</v>
      </c>
      <c r="E2723" s="1" t="s">
        <v>2519</v>
      </c>
      <c r="F2723" s="5">
        <f t="shared" si="169"/>
        <v>6833.86</v>
      </c>
      <c r="G2723" s="1">
        <v>115</v>
      </c>
      <c r="H2723" s="1" t="str">
        <f t="shared" si="170"/>
        <v>High</v>
      </c>
      <c r="I2723" s="1" t="str">
        <f t="shared" si="171"/>
        <v>Other</v>
      </c>
      <c r="J2723" s="1">
        <f t="shared" si="172"/>
        <v>113266.37</v>
      </c>
    </row>
    <row r="2724" spans="1:10" ht="12.75">
      <c r="A2724" s="1" t="s">
        <v>27</v>
      </c>
      <c r="B2724" s="1" t="s">
        <v>59</v>
      </c>
      <c r="C2724" s="1" t="s">
        <v>126</v>
      </c>
      <c r="D2724" s="2">
        <v>45414</v>
      </c>
      <c r="E2724" s="1" t="s">
        <v>2520</v>
      </c>
      <c r="F2724" s="5">
        <f t="shared" si="169"/>
        <v>8878.27</v>
      </c>
      <c r="G2724" s="1">
        <v>47</v>
      </c>
      <c r="H2724" s="1" t="str">
        <f t="shared" si="170"/>
        <v>High</v>
      </c>
      <c r="I2724" s="1" t="str">
        <f t="shared" si="171"/>
        <v>Other</v>
      </c>
      <c r="J2724" s="1">
        <f t="shared" si="172"/>
        <v>113266.37</v>
      </c>
    </row>
    <row r="2725" spans="1:10" ht="12.75">
      <c r="A2725" s="1" t="s">
        <v>21</v>
      </c>
      <c r="B2725" s="1" t="s">
        <v>59</v>
      </c>
      <c r="C2725" s="1" t="s">
        <v>51</v>
      </c>
      <c r="D2725" s="2">
        <v>45513</v>
      </c>
      <c r="E2725" s="1" t="s">
        <v>2521</v>
      </c>
      <c r="F2725" s="5">
        <f t="shared" si="169"/>
        <v>4134.93</v>
      </c>
      <c r="G2725" s="1">
        <v>307</v>
      </c>
      <c r="H2725" s="1" t="str">
        <f t="shared" si="170"/>
        <v>High</v>
      </c>
      <c r="I2725" s="1" t="str">
        <f t="shared" si="171"/>
        <v>Other</v>
      </c>
      <c r="J2725" s="1">
        <f t="shared" si="172"/>
        <v>113266.37</v>
      </c>
    </row>
    <row r="2726" spans="1:10" ht="12.75">
      <c r="A2726" s="1" t="s">
        <v>25</v>
      </c>
      <c r="B2726" s="1" t="s">
        <v>5</v>
      </c>
      <c r="C2726" s="1" t="s">
        <v>100</v>
      </c>
      <c r="D2726" s="2">
        <v>45527</v>
      </c>
      <c r="E2726" s="1" t="s">
        <v>2522</v>
      </c>
      <c r="F2726" s="5">
        <f t="shared" si="169"/>
        <v>6641.89</v>
      </c>
      <c r="G2726" s="1">
        <v>188</v>
      </c>
      <c r="H2726" s="1" t="str">
        <f t="shared" si="170"/>
        <v>High</v>
      </c>
      <c r="I2726" s="1" t="str">
        <f t="shared" si="171"/>
        <v>Other</v>
      </c>
      <c r="J2726" s="1">
        <f t="shared" si="172"/>
        <v>113266.37</v>
      </c>
    </row>
    <row r="2727" spans="1:10" ht="12.75">
      <c r="A2727" s="1" t="s">
        <v>23</v>
      </c>
      <c r="B2727" s="1" t="s">
        <v>42</v>
      </c>
      <c r="C2727" s="1" t="s">
        <v>76</v>
      </c>
      <c r="D2727" s="2">
        <v>45425</v>
      </c>
      <c r="E2727" s="1" t="s">
        <v>2523</v>
      </c>
      <c r="F2727" s="5">
        <f t="shared" si="169"/>
        <v>7117.3</v>
      </c>
      <c r="G2727" s="1">
        <v>174</v>
      </c>
      <c r="H2727" s="1" t="str">
        <f t="shared" si="170"/>
        <v>High</v>
      </c>
      <c r="I2727" s="1" t="str">
        <f t="shared" si="171"/>
        <v>Other</v>
      </c>
      <c r="J2727" s="1">
        <f t="shared" si="172"/>
        <v>113266.37</v>
      </c>
    </row>
    <row r="2728" spans="1:10" ht="12.75">
      <c r="A2728" s="1" t="s">
        <v>18</v>
      </c>
      <c r="B2728" s="1" t="s">
        <v>59</v>
      </c>
      <c r="C2728" s="1" t="s">
        <v>86</v>
      </c>
      <c r="D2728" s="2">
        <v>45323</v>
      </c>
      <c r="E2728" s="1" t="s">
        <v>2524</v>
      </c>
      <c r="F2728" s="5">
        <f t="shared" si="169"/>
        <v>11815.59</v>
      </c>
      <c r="G2728" s="1">
        <v>68</v>
      </c>
      <c r="H2728" s="1" t="str">
        <f t="shared" si="170"/>
        <v>High</v>
      </c>
      <c r="I2728" s="1" t="str">
        <f t="shared" si="171"/>
        <v>Other</v>
      </c>
      <c r="J2728" s="1">
        <f t="shared" si="172"/>
        <v>113266.37</v>
      </c>
    </row>
    <row r="2729" spans="1:10" ht="12.75">
      <c r="A2729" s="1" t="s">
        <v>25</v>
      </c>
      <c r="B2729" s="1" t="s">
        <v>59</v>
      </c>
      <c r="C2729" s="1" t="s">
        <v>55</v>
      </c>
      <c r="D2729" s="2">
        <v>45466</v>
      </c>
      <c r="E2729" s="1" t="s">
        <v>2525</v>
      </c>
      <c r="F2729" s="5">
        <f t="shared" si="169"/>
        <v>6962.79</v>
      </c>
      <c r="G2729" s="1">
        <v>303</v>
      </c>
      <c r="H2729" s="1" t="str">
        <f t="shared" si="170"/>
        <v>High</v>
      </c>
      <c r="I2729" s="1" t="str">
        <f t="shared" si="171"/>
        <v>Other</v>
      </c>
      <c r="J2729" s="1">
        <f t="shared" si="172"/>
        <v>113266.37</v>
      </c>
    </row>
    <row r="2730" spans="1:10" ht="12.75">
      <c r="A2730" s="1" t="s">
        <v>9</v>
      </c>
      <c r="B2730" s="1" t="s">
        <v>39</v>
      </c>
      <c r="C2730" s="1" t="s">
        <v>102</v>
      </c>
      <c r="D2730" s="2">
        <v>45436</v>
      </c>
      <c r="E2730" s="1" t="s">
        <v>2526</v>
      </c>
      <c r="F2730" s="5">
        <f t="shared" si="169"/>
        <v>11786.42</v>
      </c>
      <c r="G2730" s="1">
        <v>147</v>
      </c>
      <c r="H2730" s="1" t="str">
        <f t="shared" si="170"/>
        <v>High</v>
      </c>
      <c r="I2730" s="1" t="str">
        <f t="shared" si="171"/>
        <v>Other</v>
      </c>
      <c r="J2730" s="1">
        <f t="shared" si="172"/>
        <v>113266.37</v>
      </c>
    </row>
    <row r="2731" spans="1:10" ht="12.75">
      <c r="A2731" s="1" t="s">
        <v>15</v>
      </c>
      <c r="B2731" s="1" t="s">
        <v>62</v>
      </c>
      <c r="C2731" s="1" t="s">
        <v>40</v>
      </c>
      <c r="D2731" s="2">
        <v>45383</v>
      </c>
      <c r="E2731" s="1" t="s">
        <v>2527</v>
      </c>
      <c r="F2731" s="5">
        <f t="shared" si="169"/>
        <v>1200.19</v>
      </c>
      <c r="G2731" s="1">
        <v>224</v>
      </c>
      <c r="H2731" s="1" t="str">
        <f t="shared" si="170"/>
        <v>High</v>
      </c>
      <c r="I2731" s="1" t="str">
        <f t="shared" si="171"/>
        <v>Other</v>
      </c>
      <c r="J2731" s="1">
        <f t="shared" si="172"/>
        <v>113266.37</v>
      </c>
    </row>
    <row r="2732" spans="1:10" ht="12.75">
      <c r="A2732" s="1" t="s">
        <v>25</v>
      </c>
      <c r="B2732" s="1" t="s">
        <v>62</v>
      </c>
      <c r="C2732" s="1" t="s">
        <v>147</v>
      </c>
      <c r="D2732" s="2">
        <v>45500</v>
      </c>
      <c r="E2732" s="1" t="s">
        <v>2528</v>
      </c>
      <c r="F2732" s="5">
        <f t="shared" si="169"/>
        <v>10791.08</v>
      </c>
      <c r="G2732" s="1">
        <v>166</v>
      </c>
      <c r="H2732" s="1" t="str">
        <f t="shared" si="170"/>
        <v>High</v>
      </c>
      <c r="I2732" s="1" t="str">
        <f t="shared" si="171"/>
        <v>Other</v>
      </c>
      <c r="J2732" s="1">
        <f t="shared" si="172"/>
        <v>113266.37</v>
      </c>
    </row>
    <row r="2733" spans="1:10" ht="12.75">
      <c r="A2733" s="1" t="s">
        <v>17</v>
      </c>
      <c r="B2733" s="1" t="s">
        <v>42</v>
      </c>
      <c r="C2733" s="1" t="s">
        <v>45</v>
      </c>
      <c r="D2733" s="2">
        <v>45318</v>
      </c>
      <c r="E2733" s="1" t="s">
        <v>2529</v>
      </c>
      <c r="F2733" s="5">
        <f t="shared" si="169"/>
        <v>26170.95</v>
      </c>
      <c r="G2733" s="1">
        <v>224</v>
      </c>
      <c r="H2733" s="1" t="str">
        <f t="shared" si="170"/>
        <v>High</v>
      </c>
      <c r="I2733" s="1" t="str">
        <f t="shared" si="171"/>
        <v>Other</v>
      </c>
      <c r="J2733" s="1">
        <f t="shared" si="172"/>
        <v>113266.37</v>
      </c>
    </row>
    <row r="2734" spans="1:10" ht="12.75">
      <c r="A2734" s="1" t="s">
        <v>15</v>
      </c>
      <c r="B2734" s="1" t="s">
        <v>42</v>
      </c>
      <c r="C2734" s="1" t="s">
        <v>102</v>
      </c>
      <c r="D2734" s="2">
        <v>45516</v>
      </c>
      <c r="E2734" s="1" t="s">
        <v>2530</v>
      </c>
      <c r="F2734" s="5">
        <f t="shared" si="169"/>
        <v>2987.81</v>
      </c>
      <c r="G2734" s="1">
        <v>136</v>
      </c>
      <c r="H2734" s="1" t="str">
        <f t="shared" si="170"/>
        <v>High</v>
      </c>
      <c r="I2734" s="1" t="str">
        <f t="shared" si="171"/>
        <v>Other</v>
      </c>
      <c r="J2734" s="1">
        <f t="shared" si="172"/>
        <v>113266.37</v>
      </c>
    </row>
    <row r="2735" spans="1:10" ht="12.75">
      <c r="A2735" s="1" t="s">
        <v>20</v>
      </c>
      <c r="B2735" s="1" t="s">
        <v>62</v>
      </c>
      <c r="C2735" s="1" t="s">
        <v>91</v>
      </c>
      <c r="D2735" s="2">
        <v>45323</v>
      </c>
      <c r="E2735" s="1" t="s">
        <v>2531</v>
      </c>
      <c r="F2735" s="5">
        <f t="shared" si="169"/>
        <v>11705.99</v>
      </c>
      <c r="G2735" s="1">
        <v>47</v>
      </c>
      <c r="H2735" s="1" t="str">
        <f t="shared" si="170"/>
        <v>High</v>
      </c>
      <c r="I2735" s="1" t="str">
        <f t="shared" si="171"/>
        <v>Other</v>
      </c>
      <c r="J2735" s="1">
        <f t="shared" si="172"/>
        <v>113266.37</v>
      </c>
    </row>
    <row r="2736" spans="1:10" ht="12.75">
      <c r="A2736" s="1" t="s">
        <v>19</v>
      </c>
      <c r="B2736" s="1" t="s">
        <v>42</v>
      </c>
      <c r="C2736" s="1" t="s">
        <v>52</v>
      </c>
      <c r="D2736" s="2">
        <v>45353</v>
      </c>
      <c r="E2736" s="1" t="s">
        <v>2532</v>
      </c>
      <c r="F2736" s="5">
        <f t="shared" si="169"/>
        <v>5256.03</v>
      </c>
      <c r="G2736" s="1">
        <v>201</v>
      </c>
      <c r="H2736" s="1" t="str">
        <f t="shared" si="170"/>
        <v>High</v>
      </c>
      <c r="I2736" s="1" t="str">
        <f t="shared" si="171"/>
        <v>Other</v>
      </c>
      <c r="J2736" s="1">
        <f t="shared" si="172"/>
        <v>113266.37</v>
      </c>
    </row>
    <row r="2737" spans="1:10" ht="12.75">
      <c r="A2737" s="1" t="s">
        <v>12</v>
      </c>
      <c r="B2737" s="1" t="s">
        <v>5</v>
      </c>
      <c r="C2737" s="1" t="s">
        <v>51</v>
      </c>
      <c r="D2737" s="2">
        <v>45473</v>
      </c>
      <c r="E2737" s="1" t="s">
        <v>2533</v>
      </c>
      <c r="F2737" s="5">
        <f t="shared" si="169"/>
        <v>3794.1</v>
      </c>
      <c r="G2737" s="1">
        <v>36</v>
      </c>
      <c r="H2737" s="1" t="str">
        <f t="shared" si="170"/>
        <v>High</v>
      </c>
      <c r="I2737" s="1" t="str">
        <f t="shared" si="171"/>
        <v>Other</v>
      </c>
      <c r="J2737" s="1">
        <f t="shared" si="172"/>
        <v>113266.37</v>
      </c>
    </row>
    <row r="2738" spans="1:10" ht="12.75">
      <c r="A2738" s="1" t="s">
        <v>21</v>
      </c>
      <c r="B2738" s="1" t="s">
        <v>5</v>
      </c>
      <c r="C2738" s="1" t="s">
        <v>76</v>
      </c>
      <c r="D2738" s="2">
        <v>45308</v>
      </c>
      <c r="E2738" s="1" t="s">
        <v>2534</v>
      </c>
      <c r="F2738" s="5">
        <f t="shared" si="169"/>
        <v>9655.2999999999993</v>
      </c>
      <c r="G2738" s="1">
        <v>97</v>
      </c>
      <c r="H2738" s="1" t="str">
        <f t="shared" si="170"/>
        <v>High</v>
      </c>
      <c r="I2738" s="1" t="str">
        <f t="shared" si="171"/>
        <v>Other</v>
      </c>
      <c r="J2738" s="1">
        <f t="shared" si="172"/>
        <v>113266.37</v>
      </c>
    </row>
    <row r="2739" spans="1:10" ht="12.75">
      <c r="A2739" s="1" t="s">
        <v>7</v>
      </c>
      <c r="B2739" s="1" t="s">
        <v>59</v>
      </c>
      <c r="C2739" s="1" t="s">
        <v>72</v>
      </c>
      <c r="D2739" s="2">
        <v>45480</v>
      </c>
      <c r="E2739" s="1" t="s">
        <v>2535</v>
      </c>
      <c r="F2739" s="5">
        <f t="shared" si="169"/>
        <v>16001.54</v>
      </c>
      <c r="G2739" s="1">
        <v>133</v>
      </c>
      <c r="H2739" s="1" t="str">
        <f t="shared" si="170"/>
        <v>High</v>
      </c>
      <c r="I2739" s="1" t="str">
        <f t="shared" si="171"/>
        <v>Other</v>
      </c>
      <c r="J2739" s="1">
        <f t="shared" si="172"/>
        <v>113266.37</v>
      </c>
    </row>
    <row r="2740" spans="1:10" ht="12.75">
      <c r="A2740" s="1" t="s">
        <v>2</v>
      </c>
      <c r="B2740" s="1" t="s">
        <v>54</v>
      </c>
      <c r="C2740" s="1" t="s">
        <v>40</v>
      </c>
      <c r="D2740" s="2">
        <v>45322</v>
      </c>
      <c r="E2740" s="1" t="s">
        <v>2536</v>
      </c>
      <c r="F2740" s="5">
        <f t="shared" si="169"/>
        <v>1386.1</v>
      </c>
      <c r="G2740" s="1">
        <v>104</v>
      </c>
      <c r="H2740" s="1" t="str">
        <f t="shared" si="170"/>
        <v>High</v>
      </c>
      <c r="I2740" s="1" t="str">
        <f t="shared" si="171"/>
        <v>Other</v>
      </c>
      <c r="J2740" s="1">
        <f t="shared" si="172"/>
        <v>113266.37</v>
      </c>
    </row>
    <row r="2741" spans="1:10" ht="12.75">
      <c r="A2741" s="1" t="s">
        <v>28</v>
      </c>
      <c r="B2741" s="1" t="s">
        <v>39</v>
      </c>
      <c r="C2741" s="1" t="s">
        <v>51</v>
      </c>
      <c r="D2741" s="2">
        <v>45514</v>
      </c>
      <c r="E2741" s="1" t="s">
        <v>2537</v>
      </c>
      <c r="F2741" s="5">
        <f t="shared" si="169"/>
        <v>3821.76</v>
      </c>
      <c r="G2741" s="1">
        <v>122</v>
      </c>
      <c r="H2741" s="1" t="str">
        <f t="shared" si="170"/>
        <v>High</v>
      </c>
      <c r="I2741" s="1" t="str">
        <f t="shared" si="171"/>
        <v>Other</v>
      </c>
      <c r="J2741" s="1">
        <f t="shared" si="172"/>
        <v>111880.26999999999</v>
      </c>
    </row>
    <row r="2742" spans="1:10" ht="12.75">
      <c r="A2742" s="1" t="s">
        <v>28</v>
      </c>
      <c r="B2742" s="1" t="s">
        <v>59</v>
      </c>
      <c r="C2742" s="1" t="s">
        <v>45</v>
      </c>
      <c r="D2742" s="2">
        <v>45522</v>
      </c>
      <c r="E2742" s="1" t="s">
        <v>2538</v>
      </c>
      <c r="F2742" s="5">
        <f t="shared" si="169"/>
        <v>15722.43</v>
      </c>
      <c r="G2742" s="1">
        <v>351</v>
      </c>
      <c r="H2742" s="1" t="str">
        <f t="shared" si="170"/>
        <v>High</v>
      </c>
      <c r="I2742" s="1" t="str">
        <f t="shared" si="171"/>
        <v>Other</v>
      </c>
      <c r="J2742" s="1">
        <f t="shared" si="172"/>
        <v>111880.26999999999</v>
      </c>
    </row>
    <row r="2743" spans="1:10" ht="12.75">
      <c r="A2743" s="1" t="s">
        <v>7</v>
      </c>
      <c r="B2743" s="1" t="s">
        <v>54</v>
      </c>
      <c r="C2743" s="1" t="s">
        <v>84</v>
      </c>
      <c r="D2743" s="2">
        <v>45458</v>
      </c>
      <c r="E2743" s="1" t="s">
        <v>2539</v>
      </c>
      <c r="F2743" s="5">
        <f t="shared" si="169"/>
        <v>6287.25</v>
      </c>
      <c r="G2743" s="1">
        <v>340</v>
      </c>
      <c r="H2743" s="1" t="str">
        <f t="shared" si="170"/>
        <v>High</v>
      </c>
      <c r="I2743" s="1" t="str">
        <f t="shared" si="171"/>
        <v>Other</v>
      </c>
      <c r="J2743" s="1">
        <f t="shared" si="172"/>
        <v>111880.26999999999</v>
      </c>
    </row>
    <row r="2744" spans="1:10" ht="12.75">
      <c r="A2744" s="1" t="s">
        <v>14</v>
      </c>
      <c r="B2744" s="1" t="s">
        <v>59</v>
      </c>
      <c r="C2744" s="1" t="s">
        <v>122</v>
      </c>
      <c r="D2744" s="2">
        <v>45317</v>
      </c>
      <c r="E2744" s="1" t="s">
        <v>2540</v>
      </c>
      <c r="F2744" s="5">
        <f t="shared" si="169"/>
        <v>9831.9699999999993</v>
      </c>
      <c r="G2744" s="1">
        <v>9</v>
      </c>
      <c r="H2744" s="1" t="str">
        <f t="shared" si="170"/>
        <v>High</v>
      </c>
      <c r="I2744" s="1" t="str">
        <f t="shared" si="171"/>
        <v>Other</v>
      </c>
      <c r="J2744" s="1">
        <f t="shared" si="172"/>
        <v>111880.26999999999</v>
      </c>
    </row>
    <row r="2745" spans="1:10" ht="12.75">
      <c r="A2745" s="1" t="s">
        <v>12</v>
      </c>
      <c r="B2745" s="1" t="s">
        <v>59</v>
      </c>
      <c r="C2745" s="1" t="s">
        <v>76</v>
      </c>
      <c r="D2745" s="2">
        <v>45411</v>
      </c>
      <c r="E2745" s="1" t="s">
        <v>2541</v>
      </c>
      <c r="F2745" s="5">
        <f t="shared" si="169"/>
        <v>90.36</v>
      </c>
      <c r="G2745" s="1">
        <v>73</v>
      </c>
      <c r="H2745" s="1" t="str">
        <f t="shared" si="170"/>
        <v>Low</v>
      </c>
      <c r="I2745" s="1" t="str">
        <f t="shared" si="171"/>
        <v>Other</v>
      </c>
      <c r="J2745" s="1">
        <f t="shared" si="172"/>
        <v>111880.26999999999</v>
      </c>
    </row>
    <row r="2746" spans="1:10" ht="12.75">
      <c r="A2746" s="1" t="s">
        <v>2</v>
      </c>
      <c r="B2746" s="1" t="s">
        <v>62</v>
      </c>
      <c r="C2746" s="1" t="s">
        <v>84</v>
      </c>
      <c r="D2746" s="2">
        <v>45354</v>
      </c>
      <c r="E2746" s="1" t="s">
        <v>2542</v>
      </c>
      <c r="F2746" s="5">
        <f t="shared" si="169"/>
        <v>3799.5</v>
      </c>
      <c r="G2746" s="1">
        <v>71</v>
      </c>
      <c r="H2746" s="1" t="str">
        <f t="shared" si="170"/>
        <v>High</v>
      </c>
      <c r="I2746" s="1" t="str">
        <f t="shared" si="171"/>
        <v>Other</v>
      </c>
      <c r="J2746" s="1">
        <f t="shared" si="172"/>
        <v>111880.26999999999</v>
      </c>
    </row>
    <row r="2747" spans="1:10" ht="12.75">
      <c r="A2747" s="1" t="s">
        <v>8</v>
      </c>
      <c r="B2747" s="1" t="s">
        <v>5</v>
      </c>
      <c r="C2747" s="1" t="s">
        <v>91</v>
      </c>
      <c r="D2747" s="2">
        <v>45344</v>
      </c>
      <c r="E2747" s="1" t="s">
        <v>2543</v>
      </c>
      <c r="F2747" s="5">
        <f t="shared" si="169"/>
        <v>4674.2</v>
      </c>
      <c r="G2747" s="1">
        <v>422</v>
      </c>
      <c r="H2747" s="1" t="str">
        <f t="shared" si="170"/>
        <v>High</v>
      </c>
      <c r="I2747" s="1" t="str">
        <f t="shared" si="171"/>
        <v>Other</v>
      </c>
      <c r="J2747" s="1">
        <f t="shared" si="172"/>
        <v>108080.76999999999</v>
      </c>
    </row>
    <row r="2748" spans="1:10" ht="12.75">
      <c r="A2748" s="1" t="s">
        <v>22</v>
      </c>
      <c r="B2748" s="1" t="s">
        <v>59</v>
      </c>
      <c r="C2748" s="1" t="s">
        <v>49</v>
      </c>
      <c r="D2748" s="2">
        <v>45355</v>
      </c>
      <c r="E2748" s="1" t="s">
        <v>2544</v>
      </c>
      <c r="F2748" s="5">
        <f t="shared" si="169"/>
        <v>4011.83</v>
      </c>
      <c r="G2748" s="1">
        <v>169</v>
      </c>
      <c r="H2748" s="1" t="str">
        <f t="shared" si="170"/>
        <v>High</v>
      </c>
      <c r="I2748" s="1" t="str">
        <f t="shared" si="171"/>
        <v>Other</v>
      </c>
      <c r="J2748" s="1">
        <f t="shared" si="172"/>
        <v>108080.76999999999</v>
      </c>
    </row>
    <row r="2749" spans="1:10" ht="12.75">
      <c r="A2749" s="1" t="s">
        <v>6</v>
      </c>
      <c r="B2749" s="1" t="s">
        <v>42</v>
      </c>
      <c r="C2749" s="1" t="s">
        <v>49</v>
      </c>
      <c r="D2749" s="2">
        <v>45480</v>
      </c>
      <c r="E2749" s="1" t="s">
        <v>2545</v>
      </c>
      <c r="F2749" s="5">
        <f t="shared" si="169"/>
        <v>3429.85</v>
      </c>
      <c r="G2749" s="1">
        <v>9</v>
      </c>
      <c r="H2749" s="1" t="str">
        <f t="shared" si="170"/>
        <v>High</v>
      </c>
      <c r="I2749" s="1" t="str">
        <f t="shared" si="171"/>
        <v>Other</v>
      </c>
      <c r="J2749" s="1">
        <f t="shared" si="172"/>
        <v>108080.76999999999</v>
      </c>
    </row>
    <row r="2750" spans="1:10" ht="12.75">
      <c r="A2750" s="1" t="s">
        <v>25</v>
      </c>
      <c r="B2750" s="1" t="s">
        <v>54</v>
      </c>
      <c r="C2750" s="1" t="s">
        <v>126</v>
      </c>
      <c r="D2750" s="2">
        <v>45460</v>
      </c>
      <c r="E2750" s="1" t="s">
        <v>2546</v>
      </c>
      <c r="F2750" s="5">
        <f t="shared" si="169"/>
        <v>4920.68</v>
      </c>
      <c r="G2750" s="1">
        <v>380</v>
      </c>
      <c r="H2750" s="1" t="str">
        <f t="shared" si="170"/>
        <v>High</v>
      </c>
      <c r="I2750" s="1" t="str">
        <f t="shared" si="171"/>
        <v>Other</v>
      </c>
      <c r="J2750" s="1">
        <f t="shared" si="172"/>
        <v>108080.76999999999</v>
      </c>
    </row>
    <row r="2751" spans="1:10" ht="12.75">
      <c r="A2751" s="1" t="s">
        <v>15</v>
      </c>
      <c r="B2751" s="1" t="s">
        <v>62</v>
      </c>
      <c r="C2751" s="1" t="s">
        <v>126</v>
      </c>
      <c r="D2751" s="2">
        <v>45506</v>
      </c>
      <c r="E2751" s="1" t="s">
        <v>2547</v>
      </c>
      <c r="F2751" s="5">
        <f t="shared" si="169"/>
        <v>10049.719999999999</v>
      </c>
      <c r="G2751" s="1">
        <v>118</v>
      </c>
      <c r="H2751" s="1" t="str">
        <f t="shared" si="170"/>
        <v>High</v>
      </c>
      <c r="I2751" s="1" t="str">
        <f t="shared" si="171"/>
        <v>Other</v>
      </c>
      <c r="J2751" s="1">
        <f t="shared" si="172"/>
        <v>108080.76999999999</v>
      </c>
    </row>
    <row r="2752" spans="1:10" ht="12.75">
      <c r="A2752" s="1" t="s">
        <v>22</v>
      </c>
      <c r="B2752" s="1" t="s">
        <v>59</v>
      </c>
      <c r="C2752" s="1" t="s">
        <v>122</v>
      </c>
      <c r="D2752" s="2">
        <v>45516</v>
      </c>
      <c r="E2752" s="1" t="s">
        <v>2548</v>
      </c>
      <c r="F2752" s="5">
        <f t="shared" si="169"/>
        <v>8485.1</v>
      </c>
      <c r="G2752" s="1">
        <v>120</v>
      </c>
      <c r="H2752" s="1" t="str">
        <f t="shared" si="170"/>
        <v>High</v>
      </c>
      <c r="I2752" s="1" t="str">
        <f t="shared" si="171"/>
        <v>Other</v>
      </c>
      <c r="J2752" s="1">
        <f t="shared" si="172"/>
        <v>108080.76999999999</v>
      </c>
    </row>
    <row r="2753" spans="1:10" ht="12.75">
      <c r="A2753" s="1" t="s">
        <v>9</v>
      </c>
      <c r="B2753" s="1" t="s">
        <v>54</v>
      </c>
      <c r="C2753" s="1" t="s">
        <v>45</v>
      </c>
      <c r="D2753" s="2">
        <v>45319</v>
      </c>
      <c r="E2753" s="1" t="s">
        <v>2549</v>
      </c>
      <c r="F2753" s="5">
        <f t="shared" si="169"/>
        <v>6030.31</v>
      </c>
      <c r="G2753" s="1">
        <v>351</v>
      </c>
      <c r="H2753" s="1" t="str">
        <f t="shared" si="170"/>
        <v>High</v>
      </c>
      <c r="I2753" s="1" t="str">
        <f t="shared" si="171"/>
        <v>Other</v>
      </c>
      <c r="J2753" s="1">
        <f t="shared" si="172"/>
        <v>108080.76999999999</v>
      </c>
    </row>
    <row r="2754" spans="1:10" ht="12.75">
      <c r="A2754" s="1" t="s">
        <v>12</v>
      </c>
      <c r="B2754" s="1" t="s">
        <v>5</v>
      </c>
      <c r="C2754" s="1" t="s">
        <v>60</v>
      </c>
      <c r="D2754" s="2">
        <v>45411</v>
      </c>
      <c r="E2754" s="1" t="s">
        <v>2550</v>
      </c>
      <c r="F2754" s="5">
        <f t="shared" ref="F2754:F2817" si="173">VALUE(SUBSTITUTE(E2754,"$",""))</f>
        <v>13331.77</v>
      </c>
      <c r="G2754" s="1">
        <v>443</v>
      </c>
      <c r="H2754" s="1" t="str">
        <f t="shared" ref="H2754:H2817" si="174">IF(F2754&gt;800,"High",IF(F2754&gt;500,"Medium","Low"))</f>
        <v>High</v>
      </c>
      <c r="I2754" s="1" t="str">
        <f t="shared" ref="I2754:I2817" si="175">IF(AND(B2754="Australia",A2754="Mallorie Waber"),"Top Local","Other")</f>
        <v>Other</v>
      </c>
      <c r="J2754" s="1">
        <f t="shared" ref="J2754:J2817" si="176">SUMIF(A2754:A6034,"Mallorie Waber",F2754:F6034)</f>
        <v>108080.76999999999</v>
      </c>
    </row>
    <row r="2755" spans="1:10" ht="12.75">
      <c r="A2755" s="1" t="s">
        <v>14</v>
      </c>
      <c r="B2755" s="1" t="s">
        <v>5</v>
      </c>
      <c r="C2755" s="1" t="s">
        <v>86</v>
      </c>
      <c r="D2755" s="2">
        <v>45387</v>
      </c>
      <c r="E2755" s="1" t="s">
        <v>2551</v>
      </c>
      <c r="F2755" s="5">
        <f t="shared" si="173"/>
        <v>15245.95</v>
      </c>
      <c r="G2755" s="1">
        <v>233</v>
      </c>
      <c r="H2755" s="1" t="str">
        <f t="shared" si="174"/>
        <v>High</v>
      </c>
      <c r="I2755" s="1" t="str">
        <f t="shared" si="175"/>
        <v>Other</v>
      </c>
      <c r="J2755" s="1">
        <f t="shared" si="176"/>
        <v>108080.76999999999</v>
      </c>
    </row>
    <row r="2756" spans="1:10" ht="12.75">
      <c r="A2756" s="1" t="s">
        <v>8</v>
      </c>
      <c r="B2756" s="1" t="s">
        <v>62</v>
      </c>
      <c r="C2756" s="1" t="s">
        <v>86</v>
      </c>
      <c r="D2756" s="2">
        <v>45309</v>
      </c>
      <c r="E2756" s="1" t="s">
        <v>2552</v>
      </c>
      <c r="F2756" s="5">
        <f t="shared" si="173"/>
        <v>11618.55</v>
      </c>
      <c r="G2756" s="1">
        <v>133</v>
      </c>
      <c r="H2756" s="1" t="str">
        <f t="shared" si="174"/>
        <v>High</v>
      </c>
      <c r="I2756" s="1" t="str">
        <f t="shared" si="175"/>
        <v>Other</v>
      </c>
      <c r="J2756" s="1">
        <f t="shared" si="176"/>
        <v>108080.76999999999</v>
      </c>
    </row>
    <row r="2757" spans="1:10" ht="12.75">
      <c r="A2757" s="1" t="s">
        <v>11</v>
      </c>
      <c r="B2757" s="1" t="s">
        <v>39</v>
      </c>
      <c r="C2757" s="1" t="s">
        <v>122</v>
      </c>
      <c r="D2757" s="2">
        <v>45428</v>
      </c>
      <c r="E2757" s="1" t="s">
        <v>2553</v>
      </c>
      <c r="F2757" s="5">
        <f t="shared" si="173"/>
        <v>2629.59</v>
      </c>
      <c r="G2757" s="1">
        <v>98</v>
      </c>
      <c r="H2757" s="1" t="str">
        <f t="shared" si="174"/>
        <v>High</v>
      </c>
      <c r="I2757" s="1" t="str">
        <f t="shared" si="175"/>
        <v>Other</v>
      </c>
      <c r="J2757" s="1">
        <f t="shared" si="176"/>
        <v>108080.76999999999</v>
      </c>
    </row>
    <row r="2758" spans="1:10" ht="12.75">
      <c r="A2758" s="1" t="s">
        <v>12</v>
      </c>
      <c r="B2758" s="1" t="s">
        <v>5</v>
      </c>
      <c r="C2758" s="1" t="s">
        <v>84</v>
      </c>
      <c r="D2758" s="2">
        <v>45528</v>
      </c>
      <c r="E2758" s="1" t="s">
        <v>2554</v>
      </c>
      <c r="F2758" s="5">
        <f t="shared" si="173"/>
        <v>10089.49</v>
      </c>
      <c r="G2758" s="1">
        <v>168</v>
      </c>
      <c r="H2758" s="1" t="str">
        <f t="shared" si="174"/>
        <v>High</v>
      </c>
      <c r="I2758" s="1" t="str">
        <f t="shared" si="175"/>
        <v>Other</v>
      </c>
      <c r="J2758" s="1">
        <f t="shared" si="176"/>
        <v>108080.76999999999</v>
      </c>
    </row>
    <row r="2759" spans="1:10" ht="12.75">
      <c r="A2759" s="1" t="s">
        <v>24</v>
      </c>
      <c r="B2759" s="1" t="s">
        <v>42</v>
      </c>
      <c r="C2759" s="1" t="s">
        <v>43</v>
      </c>
      <c r="D2759" s="2">
        <v>45309</v>
      </c>
      <c r="E2759" s="1" t="s">
        <v>2555</v>
      </c>
      <c r="F2759" s="5">
        <f t="shared" si="173"/>
        <v>308.24</v>
      </c>
      <c r="G2759" s="1">
        <v>402</v>
      </c>
      <c r="H2759" s="1" t="str">
        <f t="shared" si="174"/>
        <v>Low</v>
      </c>
      <c r="I2759" s="1" t="str">
        <f t="shared" si="175"/>
        <v>Other</v>
      </c>
      <c r="J2759" s="1">
        <f t="shared" si="176"/>
        <v>108080.76999999999</v>
      </c>
    </row>
    <row r="2760" spans="1:10" ht="12.75">
      <c r="A2760" s="1" t="s">
        <v>8</v>
      </c>
      <c r="B2760" s="1" t="s">
        <v>59</v>
      </c>
      <c r="C2760" s="1" t="s">
        <v>63</v>
      </c>
      <c r="D2760" s="2">
        <v>45526</v>
      </c>
      <c r="E2760" s="1" t="s">
        <v>2556</v>
      </c>
      <c r="F2760" s="5">
        <f t="shared" si="173"/>
        <v>7978.76</v>
      </c>
      <c r="G2760" s="1">
        <v>10</v>
      </c>
      <c r="H2760" s="1" t="str">
        <f t="shared" si="174"/>
        <v>High</v>
      </c>
      <c r="I2760" s="1" t="str">
        <f t="shared" si="175"/>
        <v>Other</v>
      </c>
      <c r="J2760" s="1">
        <f t="shared" si="176"/>
        <v>108080.76999999999</v>
      </c>
    </row>
    <row r="2761" spans="1:10" ht="12.75">
      <c r="A2761" s="1" t="s">
        <v>23</v>
      </c>
      <c r="B2761" s="1" t="s">
        <v>39</v>
      </c>
      <c r="C2761" s="1" t="s">
        <v>51</v>
      </c>
      <c r="D2761" s="2">
        <v>45358</v>
      </c>
      <c r="E2761" s="1" t="s">
        <v>2557</v>
      </c>
      <c r="F2761" s="5">
        <f t="shared" si="173"/>
        <v>8.16</v>
      </c>
      <c r="G2761" s="1">
        <v>84</v>
      </c>
      <c r="H2761" s="1" t="str">
        <f t="shared" si="174"/>
        <v>Low</v>
      </c>
      <c r="I2761" s="1" t="str">
        <f t="shared" si="175"/>
        <v>Other</v>
      </c>
      <c r="J2761" s="1">
        <f t="shared" si="176"/>
        <v>108080.76999999999</v>
      </c>
    </row>
    <row r="2762" spans="1:10" ht="12.75">
      <c r="A2762" s="1" t="s">
        <v>28</v>
      </c>
      <c r="B2762" s="1" t="s">
        <v>39</v>
      </c>
      <c r="C2762" s="1" t="s">
        <v>102</v>
      </c>
      <c r="D2762" s="2">
        <v>45355</v>
      </c>
      <c r="E2762" s="1" t="s">
        <v>2558</v>
      </c>
      <c r="F2762" s="5">
        <f t="shared" si="173"/>
        <v>3303.13</v>
      </c>
      <c r="G2762" s="1">
        <v>73</v>
      </c>
      <c r="H2762" s="1" t="str">
        <f t="shared" si="174"/>
        <v>High</v>
      </c>
      <c r="I2762" s="1" t="str">
        <f t="shared" si="175"/>
        <v>Other</v>
      </c>
      <c r="J2762" s="1">
        <f t="shared" si="176"/>
        <v>108080.76999999999</v>
      </c>
    </row>
    <row r="2763" spans="1:10" ht="12.75">
      <c r="A2763" s="1" t="s">
        <v>21</v>
      </c>
      <c r="B2763" s="1" t="s">
        <v>62</v>
      </c>
      <c r="C2763" s="1" t="s">
        <v>86</v>
      </c>
      <c r="D2763" s="2">
        <v>45404</v>
      </c>
      <c r="E2763" s="1" t="s">
        <v>2559</v>
      </c>
      <c r="F2763" s="5">
        <f t="shared" si="173"/>
        <v>13959.74</v>
      </c>
      <c r="G2763" s="1">
        <v>113</v>
      </c>
      <c r="H2763" s="1" t="str">
        <f t="shared" si="174"/>
        <v>High</v>
      </c>
      <c r="I2763" s="1" t="str">
        <f t="shared" si="175"/>
        <v>Other</v>
      </c>
      <c r="J2763" s="1">
        <f t="shared" si="176"/>
        <v>108080.76999999999</v>
      </c>
    </row>
    <row r="2764" spans="1:10" ht="12.75">
      <c r="A2764" s="1" t="s">
        <v>8</v>
      </c>
      <c r="B2764" s="1" t="s">
        <v>5</v>
      </c>
      <c r="C2764" s="1" t="s">
        <v>72</v>
      </c>
      <c r="D2764" s="2">
        <v>45452</v>
      </c>
      <c r="E2764" s="1" t="s">
        <v>2560</v>
      </c>
      <c r="F2764" s="5">
        <f t="shared" si="173"/>
        <v>4251.42</v>
      </c>
      <c r="G2764" s="1">
        <v>91</v>
      </c>
      <c r="H2764" s="1" t="str">
        <f t="shared" si="174"/>
        <v>High</v>
      </c>
      <c r="I2764" s="1" t="str">
        <f t="shared" si="175"/>
        <v>Other</v>
      </c>
      <c r="J2764" s="1">
        <f t="shared" si="176"/>
        <v>108080.76999999999</v>
      </c>
    </row>
    <row r="2765" spans="1:10" ht="12.75">
      <c r="A2765" s="1" t="s">
        <v>15</v>
      </c>
      <c r="B2765" s="1" t="s">
        <v>62</v>
      </c>
      <c r="C2765" s="1" t="s">
        <v>81</v>
      </c>
      <c r="D2765" s="2">
        <v>45498</v>
      </c>
      <c r="E2765" s="1" t="s">
        <v>2561</v>
      </c>
      <c r="F2765" s="5">
        <f t="shared" si="173"/>
        <v>9885.5300000000007</v>
      </c>
      <c r="G2765" s="1">
        <v>217</v>
      </c>
      <c r="H2765" s="1" t="str">
        <f t="shared" si="174"/>
        <v>High</v>
      </c>
      <c r="I2765" s="1" t="str">
        <f t="shared" si="175"/>
        <v>Other</v>
      </c>
      <c r="J2765" s="1">
        <f t="shared" si="176"/>
        <v>108080.76999999999</v>
      </c>
    </row>
    <row r="2766" spans="1:10" ht="12.75">
      <c r="A2766" s="1" t="s">
        <v>15</v>
      </c>
      <c r="B2766" s="1" t="s">
        <v>42</v>
      </c>
      <c r="C2766" s="1" t="s">
        <v>49</v>
      </c>
      <c r="D2766" s="2">
        <v>45507</v>
      </c>
      <c r="E2766" s="1" t="s">
        <v>2562</v>
      </c>
      <c r="F2766" s="5">
        <f t="shared" si="173"/>
        <v>12864.47</v>
      </c>
      <c r="G2766" s="1">
        <v>93</v>
      </c>
      <c r="H2766" s="1" t="str">
        <f t="shared" si="174"/>
        <v>High</v>
      </c>
      <c r="I2766" s="1" t="str">
        <f t="shared" si="175"/>
        <v>Other</v>
      </c>
      <c r="J2766" s="1">
        <f t="shared" si="176"/>
        <v>108080.76999999999</v>
      </c>
    </row>
    <row r="2767" spans="1:10" ht="12.75">
      <c r="A2767" s="1" t="s">
        <v>19</v>
      </c>
      <c r="B2767" s="1" t="s">
        <v>5</v>
      </c>
      <c r="C2767" s="1" t="s">
        <v>86</v>
      </c>
      <c r="D2767" s="2">
        <v>45507</v>
      </c>
      <c r="E2767" s="1" t="s">
        <v>2563</v>
      </c>
      <c r="F2767" s="5">
        <f t="shared" si="173"/>
        <v>5245.6</v>
      </c>
      <c r="G2767" s="1">
        <v>144</v>
      </c>
      <c r="H2767" s="1" t="str">
        <f t="shared" si="174"/>
        <v>High</v>
      </c>
      <c r="I2767" s="1" t="str">
        <f t="shared" si="175"/>
        <v>Other</v>
      </c>
      <c r="J2767" s="1">
        <f t="shared" si="176"/>
        <v>108080.76999999999</v>
      </c>
    </row>
    <row r="2768" spans="1:10" ht="12.75">
      <c r="A2768" s="1" t="s">
        <v>11</v>
      </c>
      <c r="B2768" s="1" t="s">
        <v>39</v>
      </c>
      <c r="C2768" s="1" t="s">
        <v>72</v>
      </c>
      <c r="D2768" s="2">
        <v>45415</v>
      </c>
      <c r="E2768" s="1" t="s">
        <v>2564</v>
      </c>
      <c r="F2768" s="5">
        <f t="shared" si="173"/>
        <v>14345.5</v>
      </c>
      <c r="G2768" s="1">
        <v>219</v>
      </c>
      <c r="H2768" s="1" t="str">
        <f t="shared" si="174"/>
        <v>High</v>
      </c>
      <c r="I2768" s="1" t="str">
        <f t="shared" si="175"/>
        <v>Other</v>
      </c>
      <c r="J2768" s="1">
        <f t="shared" si="176"/>
        <v>108080.76999999999</v>
      </c>
    </row>
    <row r="2769" spans="1:10" ht="12.75">
      <c r="A2769" s="1" t="s">
        <v>13</v>
      </c>
      <c r="B2769" s="1" t="s">
        <v>62</v>
      </c>
      <c r="C2769" s="1" t="s">
        <v>52</v>
      </c>
      <c r="D2769" s="2">
        <v>45310</v>
      </c>
      <c r="E2769" s="1" t="s">
        <v>2565</v>
      </c>
      <c r="F2769" s="5">
        <f t="shared" si="173"/>
        <v>11462.19</v>
      </c>
      <c r="G2769" s="1">
        <v>288</v>
      </c>
      <c r="H2769" s="1" t="str">
        <f t="shared" si="174"/>
        <v>High</v>
      </c>
      <c r="I2769" s="1" t="str">
        <f t="shared" si="175"/>
        <v>Other</v>
      </c>
      <c r="J2769" s="1">
        <f t="shared" si="176"/>
        <v>108080.76999999999</v>
      </c>
    </row>
    <row r="2770" spans="1:10" ht="12.75">
      <c r="A2770" s="1" t="s">
        <v>26</v>
      </c>
      <c r="B2770" s="1" t="s">
        <v>59</v>
      </c>
      <c r="C2770" s="1" t="s">
        <v>55</v>
      </c>
      <c r="D2770" s="2">
        <v>45333</v>
      </c>
      <c r="E2770" s="1" t="s">
        <v>2566</v>
      </c>
      <c r="F2770" s="5">
        <f t="shared" si="173"/>
        <v>11667.94</v>
      </c>
      <c r="G2770" s="1">
        <v>306</v>
      </c>
      <c r="H2770" s="1" t="str">
        <f t="shared" si="174"/>
        <v>High</v>
      </c>
      <c r="I2770" s="1" t="str">
        <f t="shared" si="175"/>
        <v>Other</v>
      </c>
      <c r="J2770" s="1">
        <f t="shared" si="176"/>
        <v>108080.76999999999</v>
      </c>
    </row>
    <row r="2771" spans="1:10" ht="12.75">
      <c r="A2771" s="1" t="s">
        <v>10</v>
      </c>
      <c r="B2771" s="1" t="s">
        <v>42</v>
      </c>
      <c r="C2771" s="1" t="s">
        <v>91</v>
      </c>
      <c r="D2771" s="2">
        <v>45457</v>
      </c>
      <c r="E2771" s="1" t="s">
        <v>2567</v>
      </c>
      <c r="F2771" s="5">
        <f t="shared" si="173"/>
        <v>7455.17</v>
      </c>
      <c r="G2771" s="1">
        <v>383</v>
      </c>
      <c r="H2771" s="1" t="str">
        <f t="shared" si="174"/>
        <v>High</v>
      </c>
      <c r="I2771" s="1" t="str">
        <f t="shared" si="175"/>
        <v>Other</v>
      </c>
      <c r="J2771" s="1">
        <f t="shared" si="176"/>
        <v>108080.76999999999</v>
      </c>
    </row>
    <row r="2772" spans="1:10" ht="12.75">
      <c r="A2772" s="1" t="s">
        <v>12</v>
      </c>
      <c r="B2772" s="1" t="s">
        <v>59</v>
      </c>
      <c r="C2772" s="1" t="s">
        <v>55</v>
      </c>
      <c r="D2772" s="2">
        <v>45374</v>
      </c>
      <c r="E2772" s="1" t="s">
        <v>2568</v>
      </c>
      <c r="F2772" s="5">
        <f t="shared" si="173"/>
        <v>7203.64</v>
      </c>
      <c r="G2772" s="1">
        <v>234</v>
      </c>
      <c r="H2772" s="1" t="str">
        <f t="shared" si="174"/>
        <v>High</v>
      </c>
      <c r="I2772" s="1" t="str">
        <f t="shared" si="175"/>
        <v>Other</v>
      </c>
      <c r="J2772" s="1">
        <f t="shared" si="176"/>
        <v>108080.76999999999</v>
      </c>
    </row>
    <row r="2773" spans="1:10" ht="12.75">
      <c r="A2773" s="1" t="s">
        <v>9</v>
      </c>
      <c r="B2773" s="1" t="s">
        <v>62</v>
      </c>
      <c r="C2773" s="1" t="s">
        <v>43</v>
      </c>
      <c r="D2773" s="2">
        <v>45339</v>
      </c>
      <c r="E2773" s="1" t="s">
        <v>2569</v>
      </c>
      <c r="F2773" s="5">
        <f t="shared" si="173"/>
        <v>8081.58</v>
      </c>
      <c r="G2773" s="1">
        <v>105</v>
      </c>
      <c r="H2773" s="1" t="str">
        <f t="shared" si="174"/>
        <v>High</v>
      </c>
      <c r="I2773" s="1" t="str">
        <f t="shared" si="175"/>
        <v>Other</v>
      </c>
      <c r="J2773" s="1">
        <f t="shared" si="176"/>
        <v>108080.76999999999</v>
      </c>
    </row>
    <row r="2774" spans="1:10" ht="12.75">
      <c r="A2774" s="1" t="s">
        <v>6</v>
      </c>
      <c r="B2774" s="1" t="s">
        <v>62</v>
      </c>
      <c r="C2774" s="1" t="s">
        <v>49</v>
      </c>
      <c r="D2774" s="2">
        <v>45368</v>
      </c>
      <c r="E2774" s="1" t="s">
        <v>2570</v>
      </c>
      <c r="F2774" s="5">
        <f t="shared" si="173"/>
        <v>2055.4</v>
      </c>
      <c r="G2774" s="1">
        <v>485</v>
      </c>
      <c r="H2774" s="1" t="str">
        <f t="shared" si="174"/>
        <v>High</v>
      </c>
      <c r="I2774" s="1" t="str">
        <f t="shared" si="175"/>
        <v>Other</v>
      </c>
      <c r="J2774" s="1">
        <f t="shared" si="176"/>
        <v>108080.76999999999</v>
      </c>
    </row>
    <row r="2775" spans="1:10" ht="12.75">
      <c r="A2775" s="1" t="s">
        <v>2</v>
      </c>
      <c r="B2775" s="1" t="s">
        <v>5</v>
      </c>
      <c r="C2775" s="1" t="s">
        <v>76</v>
      </c>
      <c r="D2775" s="2">
        <v>45472</v>
      </c>
      <c r="E2775" s="1" t="s">
        <v>2571</v>
      </c>
      <c r="F2775" s="5">
        <f t="shared" si="173"/>
        <v>6476.09</v>
      </c>
      <c r="G2775" s="1">
        <v>304</v>
      </c>
      <c r="H2775" s="1" t="str">
        <f t="shared" si="174"/>
        <v>High</v>
      </c>
      <c r="I2775" s="1" t="str">
        <f t="shared" si="175"/>
        <v>Top Local</v>
      </c>
      <c r="J2775" s="1">
        <f t="shared" si="176"/>
        <v>108080.76999999999</v>
      </c>
    </row>
    <row r="2776" spans="1:10" ht="12.75">
      <c r="A2776" s="1" t="s">
        <v>17</v>
      </c>
      <c r="B2776" s="1" t="s">
        <v>62</v>
      </c>
      <c r="C2776" s="1" t="s">
        <v>102</v>
      </c>
      <c r="D2776" s="2">
        <v>45528</v>
      </c>
      <c r="E2776" s="1" t="s">
        <v>2572</v>
      </c>
      <c r="F2776" s="5">
        <f t="shared" si="173"/>
        <v>17490.080000000002</v>
      </c>
      <c r="G2776" s="1">
        <v>289</v>
      </c>
      <c r="H2776" s="1" t="str">
        <f t="shared" si="174"/>
        <v>High</v>
      </c>
      <c r="I2776" s="1" t="str">
        <f t="shared" si="175"/>
        <v>Other</v>
      </c>
      <c r="J2776" s="1">
        <f t="shared" si="176"/>
        <v>101604.68</v>
      </c>
    </row>
    <row r="2777" spans="1:10" ht="12.75">
      <c r="A2777" s="1" t="s">
        <v>20</v>
      </c>
      <c r="B2777" s="1" t="s">
        <v>62</v>
      </c>
      <c r="C2777" s="1" t="s">
        <v>76</v>
      </c>
      <c r="D2777" s="2">
        <v>45477</v>
      </c>
      <c r="E2777" s="1" t="s">
        <v>2573</v>
      </c>
      <c r="F2777" s="5">
        <f t="shared" si="173"/>
        <v>13644</v>
      </c>
      <c r="G2777" s="1">
        <v>281</v>
      </c>
      <c r="H2777" s="1" t="str">
        <f t="shared" si="174"/>
        <v>High</v>
      </c>
      <c r="I2777" s="1" t="str">
        <f t="shared" si="175"/>
        <v>Other</v>
      </c>
      <c r="J2777" s="1">
        <f t="shared" si="176"/>
        <v>101604.68</v>
      </c>
    </row>
    <row r="2778" spans="1:10" ht="12.75">
      <c r="A2778" s="1" t="s">
        <v>26</v>
      </c>
      <c r="B2778" s="1" t="s">
        <v>54</v>
      </c>
      <c r="C2778" s="1" t="s">
        <v>91</v>
      </c>
      <c r="D2778" s="2">
        <v>45379</v>
      </c>
      <c r="E2778" s="1" t="s">
        <v>2574</v>
      </c>
      <c r="F2778" s="5">
        <f t="shared" si="173"/>
        <v>2930.46</v>
      </c>
      <c r="G2778" s="1">
        <v>70</v>
      </c>
      <c r="H2778" s="1" t="str">
        <f t="shared" si="174"/>
        <v>High</v>
      </c>
      <c r="I2778" s="1" t="str">
        <f t="shared" si="175"/>
        <v>Other</v>
      </c>
      <c r="J2778" s="1">
        <f t="shared" si="176"/>
        <v>101604.68</v>
      </c>
    </row>
    <row r="2779" spans="1:10" ht="12.75">
      <c r="A2779" s="1" t="s">
        <v>24</v>
      </c>
      <c r="B2779" s="1" t="s">
        <v>42</v>
      </c>
      <c r="C2779" s="1" t="s">
        <v>49</v>
      </c>
      <c r="D2779" s="2">
        <v>45401</v>
      </c>
      <c r="E2779" s="1" t="s">
        <v>2575</v>
      </c>
      <c r="F2779" s="5">
        <f t="shared" si="173"/>
        <v>22717.09</v>
      </c>
      <c r="G2779" s="1">
        <v>143</v>
      </c>
      <c r="H2779" s="1" t="str">
        <f t="shared" si="174"/>
        <v>High</v>
      </c>
      <c r="I2779" s="1" t="str">
        <f t="shared" si="175"/>
        <v>Other</v>
      </c>
      <c r="J2779" s="1">
        <f t="shared" si="176"/>
        <v>101604.68</v>
      </c>
    </row>
    <row r="2780" spans="1:10" ht="12.75">
      <c r="A2780" s="1" t="s">
        <v>17</v>
      </c>
      <c r="B2780" s="1" t="s">
        <v>54</v>
      </c>
      <c r="C2780" s="1" t="s">
        <v>40</v>
      </c>
      <c r="D2780" s="2">
        <v>45309</v>
      </c>
      <c r="E2780" s="1" t="s">
        <v>2576</v>
      </c>
      <c r="F2780" s="5">
        <f t="shared" si="173"/>
        <v>9471.7199999999993</v>
      </c>
      <c r="G2780" s="1">
        <v>248</v>
      </c>
      <c r="H2780" s="1" t="str">
        <f t="shared" si="174"/>
        <v>High</v>
      </c>
      <c r="I2780" s="1" t="str">
        <f t="shared" si="175"/>
        <v>Other</v>
      </c>
      <c r="J2780" s="1">
        <f t="shared" si="176"/>
        <v>101604.68</v>
      </c>
    </row>
    <row r="2781" spans="1:10" ht="12.75">
      <c r="A2781" s="1" t="s">
        <v>10</v>
      </c>
      <c r="B2781" s="1" t="s">
        <v>54</v>
      </c>
      <c r="C2781" s="1" t="s">
        <v>81</v>
      </c>
      <c r="D2781" s="2">
        <v>45308</v>
      </c>
      <c r="E2781" s="1" t="s">
        <v>2577</v>
      </c>
      <c r="F2781" s="5">
        <f t="shared" si="173"/>
        <v>3400.47</v>
      </c>
      <c r="G2781" s="1">
        <v>92</v>
      </c>
      <c r="H2781" s="1" t="str">
        <f t="shared" si="174"/>
        <v>High</v>
      </c>
      <c r="I2781" s="1" t="str">
        <f t="shared" si="175"/>
        <v>Other</v>
      </c>
      <c r="J2781" s="1">
        <f t="shared" si="176"/>
        <v>101604.68</v>
      </c>
    </row>
    <row r="2782" spans="1:10" ht="12.75">
      <c r="A2782" s="1" t="s">
        <v>27</v>
      </c>
      <c r="B2782" s="1" t="s">
        <v>54</v>
      </c>
      <c r="C2782" s="1" t="s">
        <v>40</v>
      </c>
      <c r="D2782" s="2">
        <v>45337</v>
      </c>
      <c r="E2782" s="1" t="s">
        <v>2578</v>
      </c>
      <c r="F2782" s="5">
        <f t="shared" si="173"/>
        <v>10696.21</v>
      </c>
      <c r="G2782" s="1">
        <v>201</v>
      </c>
      <c r="H2782" s="1" t="str">
        <f t="shared" si="174"/>
        <v>High</v>
      </c>
      <c r="I2782" s="1" t="str">
        <f t="shared" si="175"/>
        <v>Other</v>
      </c>
      <c r="J2782" s="1">
        <f t="shared" si="176"/>
        <v>101604.68</v>
      </c>
    </row>
    <row r="2783" spans="1:10" ht="12.75">
      <c r="A2783" s="1" t="s">
        <v>27</v>
      </c>
      <c r="B2783" s="1" t="s">
        <v>39</v>
      </c>
      <c r="C2783" s="1" t="s">
        <v>72</v>
      </c>
      <c r="D2783" s="2">
        <v>45333</v>
      </c>
      <c r="E2783" s="1" t="s">
        <v>2579</v>
      </c>
      <c r="F2783" s="5">
        <f t="shared" si="173"/>
        <v>17101.669999999998</v>
      </c>
      <c r="G2783" s="1">
        <v>307</v>
      </c>
      <c r="H2783" s="1" t="str">
        <f t="shared" si="174"/>
        <v>High</v>
      </c>
      <c r="I2783" s="1" t="str">
        <f t="shared" si="175"/>
        <v>Other</v>
      </c>
      <c r="J2783" s="1">
        <f t="shared" si="176"/>
        <v>101604.68</v>
      </c>
    </row>
    <row r="2784" spans="1:10" ht="12.75">
      <c r="A2784" s="1" t="s">
        <v>25</v>
      </c>
      <c r="B2784" s="1" t="s">
        <v>59</v>
      </c>
      <c r="C2784" s="1" t="s">
        <v>86</v>
      </c>
      <c r="D2784" s="2">
        <v>45372</v>
      </c>
      <c r="E2784" s="1" t="s">
        <v>2580</v>
      </c>
      <c r="F2784" s="5">
        <f t="shared" si="173"/>
        <v>18936.88</v>
      </c>
      <c r="G2784" s="1">
        <v>180</v>
      </c>
      <c r="H2784" s="1" t="str">
        <f t="shared" si="174"/>
        <v>High</v>
      </c>
      <c r="I2784" s="1" t="str">
        <f t="shared" si="175"/>
        <v>Other</v>
      </c>
      <c r="J2784" s="1">
        <f t="shared" si="176"/>
        <v>101604.68</v>
      </c>
    </row>
    <row r="2785" spans="1:10" ht="12.75">
      <c r="A2785" s="1" t="s">
        <v>23</v>
      </c>
      <c r="B2785" s="1" t="s">
        <v>54</v>
      </c>
      <c r="C2785" s="1" t="s">
        <v>91</v>
      </c>
      <c r="D2785" s="2">
        <v>45296</v>
      </c>
      <c r="E2785" s="1" t="s">
        <v>2581</v>
      </c>
      <c r="F2785" s="5">
        <f t="shared" si="173"/>
        <v>6015.37</v>
      </c>
      <c r="G2785" s="1">
        <v>136</v>
      </c>
      <c r="H2785" s="1" t="str">
        <f t="shared" si="174"/>
        <v>High</v>
      </c>
      <c r="I2785" s="1" t="str">
        <f t="shared" si="175"/>
        <v>Other</v>
      </c>
      <c r="J2785" s="1">
        <f t="shared" si="176"/>
        <v>101604.68</v>
      </c>
    </row>
    <row r="2786" spans="1:10" ht="12.75">
      <c r="A2786" s="1" t="s">
        <v>7</v>
      </c>
      <c r="B2786" s="1" t="s">
        <v>42</v>
      </c>
      <c r="C2786" s="1" t="s">
        <v>100</v>
      </c>
      <c r="D2786" s="2">
        <v>45442</v>
      </c>
      <c r="E2786" s="1" t="s">
        <v>2582</v>
      </c>
      <c r="F2786" s="5">
        <f t="shared" si="173"/>
        <v>7623.58</v>
      </c>
      <c r="G2786" s="1">
        <v>162</v>
      </c>
      <c r="H2786" s="1" t="str">
        <f t="shared" si="174"/>
        <v>High</v>
      </c>
      <c r="I2786" s="1" t="str">
        <f t="shared" si="175"/>
        <v>Other</v>
      </c>
      <c r="J2786" s="1">
        <f t="shared" si="176"/>
        <v>101604.68</v>
      </c>
    </row>
    <row r="2787" spans="1:10" ht="12.75">
      <c r="A2787" s="1" t="s">
        <v>11</v>
      </c>
      <c r="B2787" s="1" t="s">
        <v>59</v>
      </c>
      <c r="C2787" s="1" t="s">
        <v>51</v>
      </c>
      <c r="D2787" s="2">
        <v>45295</v>
      </c>
      <c r="E2787" s="1" t="s">
        <v>2583</v>
      </c>
      <c r="F2787" s="5">
        <f t="shared" si="173"/>
        <v>2996.83</v>
      </c>
      <c r="G2787" s="1">
        <v>227</v>
      </c>
      <c r="H2787" s="1" t="str">
        <f t="shared" si="174"/>
        <v>High</v>
      </c>
      <c r="I2787" s="1" t="str">
        <f t="shared" si="175"/>
        <v>Other</v>
      </c>
      <c r="J2787" s="1">
        <f t="shared" si="176"/>
        <v>101604.68</v>
      </c>
    </row>
    <row r="2788" spans="1:10" ht="12.75">
      <c r="A2788" s="1" t="s">
        <v>28</v>
      </c>
      <c r="B2788" s="1" t="s">
        <v>5</v>
      </c>
      <c r="C2788" s="1" t="s">
        <v>81</v>
      </c>
      <c r="D2788" s="2">
        <v>45404</v>
      </c>
      <c r="E2788" s="1" t="s">
        <v>2584</v>
      </c>
      <c r="F2788" s="5">
        <f t="shared" si="173"/>
        <v>1718.97</v>
      </c>
      <c r="G2788" s="1">
        <v>260</v>
      </c>
      <c r="H2788" s="1" t="str">
        <f t="shared" si="174"/>
        <v>High</v>
      </c>
      <c r="I2788" s="1" t="str">
        <f t="shared" si="175"/>
        <v>Other</v>
      </c>
      <c r="J2788" s="1">
        <f t="shared" si="176"/>
        <v>101604.68</v>
      </c>
    </row>
    <row r="2789" spans="1:10" ht="12.75">
      <c r="A2789" s="1" t="s">
        <v>20</v>
      </c>
      <c r="B2789" s="1" t="s">
        <v>62</v>
      </c>
      <c r="C2789" s="1" t="s">
        <v>72</v>
      </c>
      <c r="D2789" s="2">
        <v>45332</v>
      </c>
      <c r="E2789" s="1" t="s">
        <v>2585</v>
      </c>
      <c r="F2789" s="5">
        <f t="shared" si="173"/>
        <v>3523.33</v>
      </c>
      <c r="G2789" s="1">
        <v>114</v>
      </c>
      <c r="H2789" s="1" t="str">
        <f t="shared" si="174"/>
        <v>High</v>
      </c>
      <c r="I2789" s="1" t="str">
        <f t="shared" si="175"/>
        <v>Other</v>
      </c>
      <c r="J2789" s="1">
        <f t="shared" si="176"/>
        <v>101604.68</v>
      </c>
    </row>
    <row r="2790" spans="1:10" ht="12.75">
      <c r="A2790" s="1" t="s">
        <v>21</v>
      </c>
      <c r="B2790" s="1" t="s">
        <v>42</v>
      </c>
      <c r="C2790" s="1" t="s">
        <v>76</v>
      </c>
      <c r="D2790" s="2">
        <v>45516</v>
      </c>
      <c r="E2790" s="1" t="s">
        <v>2586</v>
      </c>
      <c r="F2790" s="5">
        <f t="shared" si="173"/>
        <v>1092.3599999999999</v>
      </c>
      <c r="G2790" s="1">
        <v>209</v>
      </c>
      <c r="H2790" s="1" t="str">
        <f t="shared" si="174"/>
        <v>High</v>
      </c>
      <c r="I2790" s="1" t="str">
        <f t="shared" si="175"/>
        <v>Other</v>
      </c>
      <c r="J2790" s="1">
        <f t="shared" si="176"/>
        <v>101604.68</v>
      </c>
    </row>
    <row r="2791" spans="1:10" ht="12.75">
      <c r="A2791" s="1" t="s">
        <v>23</v>
      </c>
      <c r="B2791" s="1" t="s">
        <v>59</v>
      </c>
      <c r="C2791" s="1" t="s">
        <v>68</v>
      </c>
      <c r="D2791" s="2">
        <v>45514</v>
      </c>
      <c r="E2791" s="1" t="s">
        <v>2587</v>
      </c>
      <c r="F2791" s="5">
        <f t="shared" si="173"/>
        <v>2495.71</v>
      </c>
      <c r="G2791" s="1">
        <v>310</v>
      </c>
      <c r="H2791" s="1" t="str">
        <f t="shared" si="174"/>
        <v>High</v>
      </c>
      <c r="I2791" s="1" t="str">
        <f t="shared" si="175"/>
        <v>Other</v>
      </c>
      <c r="J2791" s="1">
        <f t="shared" si="176"/>
        <v>101604.68</v>
      </c>
    </row>
    <row r="2792" spans="1:10" ht="12.75">
      <c r="A2792" s="1" t="s">
        <v>12</v>
      </c>
      <c r="B2792" s="1" t="s">
        <v>5</v>
      </c>
      <c r="C2792" s="1" t="s">
        <v>100</v>
      </c>
      <c r="D2792" s="2">
        <v>45450</v>
      </c>
      <c r="E2792" s="1" t="s">
        <v>2588</v>
      </c>
      <c r="F2792" s="5">
        <f t="shared" si="173"/>
        <v>813.41</v>
      </c>
      <c r="G2792" s="1">
        <v>58</v>
      </c>
      <c r="H2792" s="1" t="str">
        <f t="shared" si="174"/>
        <v>High</v>
      </c>
      <c r="I2792" s="1" t="str">
        <f t="shared" si="175"/>
        <v>Other</v>
      </c>
      <c r="J2792" s="1">
        <f t="shared" si="176"/>
        <v>101604.68</v>
      </c>
    </row>
    <row r="2793" spans="1:10" ht="12.75">
      <c r="A2793" s="1" t="s">
        <v>11</v>
      </c>
      <c r="B2793" s="1" t="s">
        <v>42</v>
      </c>
      <c r="C2793" s="1" t="s">
        <v>122</v>
      </c>
      <c r="D2793" s="2">
        <v>45449</v>
      </c>
      <c r="E2793" s="1" t="s">
        <v>2589</v>
      </c>
      <c r="F2793" s="5">
        <f t="shared" si="173"/>
        <v>2489.06</v>
      </c>
      <c r="G2793" s="1">
        <v>81</v>
      </c>
      <c r="H2793" s="1" t="str">
        <f t="shared" si="174"/>
        <v>High</v>
      </c>
      <c r="I2793" s="1" t="str">
        <f t="shared" si="175"/>
        <v>Other</v>
      </c>
      <c r="J2793" s="1">
        <f t="shared" si="176"/>
        <v>101604.68</v>
      </c>
    </row>
    <row r="2794" spans="1:10" ht="12.75">
      <c r="A2794" s="1" t="s">
        <v>18</v>
      </c>
      <c r="B2794" s="1" t="s">
        <v>54</v>
      </c>
      <c r="C2794" s="1" t="s">
        <v>122</v>
      </c>
      <c r="D2794" s="2">
        <v>45387</v>
      </c>
      <c r="E2794" s="1" t="s">
        <v>2590</v>
      </c>
      <c r="F2794" s="5">
        <f t="shared" si="173"/>
        <v>5701.35</v>
      </c>
      <c r="G2794" s="1">
        <v>201</v>
      </c>
      <c r="H2794" s="1" t="str">
        <f t="shared" si="174"/>
        <v>High</v>
      </c>
      <c r="I2794" s="1" t="str">
        <f t="shared" si="175"/>
        <v>Other</v>
      </c>
      <c r="J2794" s="1">
        <f t="shared" si="176"/>
        <v>101604.68</v>
      </c>
    </row>
    <row r="2795" spans="1:10" ht="12.75">
      <c r="A2795" s="1" t="s">
        <v>29</v>
      </c>
      <c r="B2795" s="1" t="s">
        <v>59</v>
      </c>
      <c r="C2795" s="1" t="s">
        <v>55</v>
      </c>
      <c r="D2795" s="2">
        <v>45400</v>
      </c>
      <c r="E2795" s="1" t="s">
        <v>2591</v>
      </c>
      <c r="F2795" s="5">
        <f t="shared" si="173"/>
        <v>5084.32</v>
      </c>
      <c r="G2795" s="1">
        <v>126</v>
      </c>
      <c r="H2795" s="1" t="str">
        <f t="shared" si="174"/>
        <v>High</v>
      </c>
      <c r="I2795" s="1" t="str">
        <f t="shared" si="175"/>
        <v>Other</v>
      </c>
      <c r="J2795" s="1">
        <f t="shared" si="176"/>
        <v>101604.68</v>
      </c>
    </row>
    <row r="2796" spans="1:10" ht="12.75">
      <c r="A2796" s="1" t="s">
        <v>27</v>
      </c>
      <c r="B2796" s="1" t="s">
        <v>42</v>
      </c>
      <c r="C2796" s="1" t="s">
        <v>55</v>
      </c>
      <c r="D2796" s="2">
        <v>45322</v>
      </c>
      <c r="E2796" s="1" t="s">
        <v>2592</v>
      </c>
      <c r="F2796" s="5">
        <f t="shared" si="173"/>
        <v>15789.48</v>
      </c>
      <c r="G2796" s="1">
        <v>16</v>
      </c>
      <c r="H2796" s="1" t="str">
        <f t="shared" si="174"/>
        <v>High</v>
      </c>
      <c r="I2796" s="1" t="str">
        <f t="shared" si="175"/>
        <v>Other</v>
      </c>
      <c r="J2796" s="1">
        <f t="shared" si="176"/>
        <v>101604.68</v>
      </c>
    </row>
    <row r="2797" spans="1:10" ht="12.75">
      <c r="A2797" s="1" t="s">
        <v>9</v>
      </c>
      <c r="B2797" s="1" t="s">
        <v>59</v>
      </c>
      <c r="C2797" s="1" t="s">
        <v>122</v>
      </c>
      <c r="D2797" s="2">
        <v>45526</v>
      </c>
      <c r="E2797" s="1" t="s">
        <v>2593</v>
      </c>
      <c r="F2797" s="5">
        <f t="shared" si="173"/>
        <v>6541.75</v>
      </c>
      <c r="G2797" s="1">
        <v>141</v>
      </c>
      <c r="H2797" s="1" t="str">
        <f t="shared" si="174"/>
        <v>High</v>
      </c>
      <c r="I2797" s="1" t="str">
        <f t="shared" si="175"/>
        <v>Other</v>
      </c>
      <c r="J2797" s="1">
        <f t="shared" si="176"/>
        <v>101604.68</v>
      </c>
    </row>
    <row r="2798" spans="1:10" ht="12.75">
      <c r="A2798" s="1" t="s">
        <v>11</v>
      </c>
      <c r="B2798" s="1" t="s">
        <v>5</v>
      </c>
      <c r="C2798" s="1" t="s">
        <v>51</v>
      </c>
      <c r="D2798" s="2">
        <v>45347</v>
      </c>
      <c r="E2798" s="1" t="s">
        <v>2594</v>
      </c>
      <c r="F2798" s="5">
        <f t="shared" si="173"/>
        <v>11409.11</v>
      </c>
      <c r="G2798" s="1">
        <v>217</v>
      </c>
      <c r="H2798" s="1" t="str">
        <f t="shared" si="174"/>
        <v>High</v>
      </c>
      <c r="I2798" s="1" t="str">
        <f t="shared" si="175"/>
        <v>Other</v>
      </c>
      <c r="J2798" s="1">
        <f t="shared" si="176"/>
        <v>101604.68</v>
      </c>
    </row>
    <row r="2799" spans="1:10" ht="12.75">
      <c r="A2799" s="1" t="s">
        <v>15</v>
      </c>
      <c r="B2799" s="1" t="s">
        <v>5</v>
      </c>
      <c r="C2799" s="1" t="s">
        <v>40</v>
      </c>
      <c r="D2799" s="2">
        <v>45344</v>
      </c>
      <c r="E2799" s="1" t="s">
        <v>2595</v>
      </c>
      <c r="F2799" s="5">
        <f t="shared" si="173"/>
        <v>19258.41</v>
      </c>
      <c r="G2799" s="1">
        <v>99</v>
      </c>
      <c r="H2799" s="1" t="str">
        <f t="shared" si="174"/>
        <v>High</v>
      </c>
      <c r="I2799" s="1" t="str">
        <f t="shared" si="175"/>
        <v>Other</v>
      </c>
      <c r="J2799" s="1">
        <f t="shared" si="176"/>
        <v>101604.68</v>
      </c>
    </row>
    <row r="2800" spans="1:10" ht="12.75">
      <c r="A2800" s="1" t="s">
        <v>22</v>
      </c>
      <c r="B2800" s="1" t="s">
        <v>54</v>
      </c>
      <c r="C2800" s="1" t="s">
        <v>72</v>
      </c>
      <c r="D2800" s="2">
        <v>45303</v>
      </c>
      <c r="E2800" s="1" t="s">
        <v>2596</v>
      </c>
      <c r="F2800" s="5">
        <f t="shared" si="173"/>
        <v>5074.8599999999997</v>
      </c>
      <c r="G2800" s="1">
        <v>201</v>
      </c>
      <c r="H2800" s="1" t="str">
        <f t="shared" si="174"/>
        <v>High</v>
      </c>
      <c r="I2800" s="1" t="str">
        <f t="shared" si="175"/>
        <v>Other</v>
      </c>
      <c r="J2800" s="1">
        <f t="shared" si="176"/>
        <v>101604.68</v>
      </c>
    </row>
    <row r="2801" spans="1:10" ht="12.75">
      <c r="A2801" s="1" t="s">
        <v>7</v>
      </c>
      <c r="B2801" s="1" t="s">
        <v>39</v>
      </c>
      <c r="C2801" s="1" t="s">
        <v>91</v>
      </c>
      <c r="D2801" s="2">
        <v>45437</v>
      </c>
      <c r="E2801" s="1" t="s">
        <v>2597</v>
      </c>
      <c r="F2801" s="5">
        <f t="shared" si="173"/>
        <v>115.9</v>
      </c>
      <c r="G2801" s="1">
        <v>120</v>
      </c>
      <c r="H2801" s="1" t="str">
        <f t="shared" si="174"/>
        <v>Low</v>
      </c>
      <c r="I2801" s="1" t="str">
        <f t="shared" si="175"/>
        <v>Other</v>
      </c>
      <c r="J2801" s="1">
        <f t="shared" si="176"/>
        <v>101604.68</v>
      </c>
    </row>
    <row r="2802" spans="1:10" ht="12.75">
      <c r="A2802" s="1" t="s">
        <v>12</v>
      </c>
      <c r="B2802" s="1" t="s">
        <v>42</v>
      </c>
      <c r="C2802" s="1" t="s">
        <v>49</v>
      </c>
      <c r="D2802" s="2">
        <v>45323</v>
      </c>
      <c r="E2802" s="1" t="s">
        <v>2598</v>
      </c>
      <c r="F2802" s="5">
        <f t="shared" si="173"/>
        <v>2797.19</v>
      </c>
      <c r="G2802" s="1">
        <v>9</v>
      </c>
      <c r="H2802" s="1" t="str">
        <f t="shared" si="174"/>
        <v>High</v>
      </c>
      <c r="I2802" s="1" t="str">
        <f t="shared" si="175"/>
        <v>Other</v>
      </c>
      <c r="J2802" s="1">
        <f t="shared" si="176"/>
        <v>101604.68</v>
      </c>
    </row>
    <row r="2803" spans="1:10" ht="12.75">
      <c r="A2803" s="1" t="s">
        <v>19</v>
      </c>
      <c r="B2803" s="1" t="s">
        <v>39</v>
      </c>
      <c r="C2803" s="1" t="s">
        <v>63</v>
      </c>
      <c r="D2803" s="2">
        <v>45409</v>
      </c>
      <c r="E2803" s="1" t="s">
        <v>2599</v>
      </c>
      <c r="F2803" s="5">
        <f t="shared" si="173"/>
        <v>1608.04</v>
      </c>
      <c r="G2803" s="1">
        <v>75</v>
      </c>
      <c r="H2803" s="1" t="str">
        <f t="shared" si="174"/>
        <v>High</v>
      </c>
      <c r="I2803" s="1" t="str">
        <f t="shared" si="175"/>
        <v>Other</v>
      </c>
      <c r="J2803" s="1">
        <f t="shared" si="176"/>
        <v>101604.68</v>
      </c>
    </row>
    <row r="2804" spans="1:10" ht="12.75">
      <c r="A2804" s="1" t="s">
        <v>20</v>
      </c>
      <c r="B2804" s="1" t="s">
        <v>59</v>
      </c>
      <c r="C2804" s="1" t="s">
        <v>49</v>
      </c>
      <c r="D2804" s="2">
        <v>45495</v>
      </c>
      <c r="E2804" s="1" t="s">
        <v>2600</v>
      </c>
      <c r="F2804" s="5">
        <f t="shared" si="173"/>
        <v>2960.99</v>
      </c>
      <c r="G2804" s="1">
        <v>133</v>
      </c>
      <c r="H2804" s="1" t="str">
        <f t="shared" si="174"/>
        <v>High</v>
      </c>
      <c r="I2804" s="1" t="str">
        <f t="shared" si="175"/>
        <v>Other</v>
      </c>
      <c r="J2804" s="1">
        <f t="shared" si="176"/>
        <v>101604.68</v>
      </c>
    </row>
    <row r="2805" spans="1:10" ht="12.75">
      <c r="A2805" s="1" t="s">
        <v>24</v>
      </c>
      <c r="B2805" s="1" t="s">
        <v>54</v>
      </c>
      <c r="C2805" s="1" t="s">
        <v>40</v>
      </c>
      <c r="D2805" s="2">
        <v>45317</v>
      </c>
      <c r="E2805" s="1" t="s">
        <v>2601</v>
      </c>
      <c r="F2805" s="5">
        <f t="shared" si="173"/>
        <v>3703.51</v>
      </c>
      <c r="G2805" s="1">
        <v>260</v>
      </c>
      <c r="H2805" s="1" t="str">
        <f t="shared" si="174"/>
        <v>High</v>
      </c>
      <c r="I2805" s="1" t="str">
        <f t="shared" si="175"/>
        <v>Other</v>
      </c>
      <c r="J2805" s="1">
        <f t="shared" si="176"/>
        <v>101604.68</v>
      </c>
    </row>
    <row r="2806" spans="1:10" ht="12.75">
      <c r="A2806" s="1" t="s">
        <v>24</v>
      </c>
      <c r="B2806" s="1" t="s">
        <v>59</v>
      </c>
      <c r="C2806" s="1" t="s">
        <v>40</v>
      </c>
      <c r="D2806" s="2">
        <v>45528</v>
      </c>
      <c r="E2806" s="1" t="s">
        <v>2602</v>
      </c>
      <c r="F2806" s="5">
        <f t="shared" si="173"/>
        <v>5679.57</v>
      </c>
      <c r="G2806" s="1">
        <v>285</v>
      </c>
      <c r="H2806" s="1" t="str">
        <f t="shared" si="174"/>
        <v>High</v>
      </c>
      <c r="I2806" s="1" t="str">
        <f t="shared" si="175"/>
        <v>Other</v>
      </c>
      <c r="J2806" s="1">
        <f t="shared" si="176"/>
        <v>101604.68</v>
      </c>
    </row>
    <row r="2807" spans="1:10" ht="12.75">
      <c r="A2807" s="1" t="s">
        <v>9</v>
      </c>
      <c r="B2807" s="1" t="s">
        <v>54</v>
      </c>
      <c r="C2807" s="1" t="s">
        <v>81</v>
      </c>
      <c r="D2807" s="2">
        <v>45309</v>
      </c>
      <c r="E2807" s="1" t="s">
        <v>2603</v>
      </c>
      <c r="F2807" s="5">
        <f t="shared" si="173"/>
        <v>6764.17</v>
      </c>
      <c r="G2807" s="1">
        <v>20</v>
      </c>
      <c r="H2807" s="1" t="str">
        <f t="shared" si="174"/>
        <v>High</v>
      </c>
      <c r="I2807" s="1" t="str">
        <f t="shared" si="175"/>
        <v>Other</v>
      </c>
      <c r="J2807" s="1">
        <f t="shared" si="176"/>
        <v>101604.68</v>
      </c>
    </row>
    <row r="2808" spans="1:10" ht="12.75">
      <c r="A2808" s="1" t="s">
        <v>18</v>
      </c>
      <c r="B2808" s="1" t="s">
        <v>42</v>
      </c>
      <c r="C2808" s="1" t="s">
        <v>43</v>
      </c>
      <c r="D2808" s="2">
        <v>45381</v>
      </c>
      <c r="E2808" s="1" t="s">
        <v>2604</v>
      </c>
      <c r="F2808" s="5">
        <f t="shared" si="173"/>
        <v>1108.8499999999999</v>
      </c>
      <c r="G2808" s="1">
        <v>87</v>
      </c>
      <c r="H2808" s="1" t="str">
        <f t="shared" si="174"/>
        <v>High</v>
      </c>
      <c r="I2808" s="1" t="str">
        <f t="shared" si="175"/>
        <v>Other</v>
      </c>
      <c r="J2808" s="1">
        <f t="shared" si="176"/>
        <v>101604.68</v>
      </c>
    </row>
    <row r="2809" spans="1:10" ht="12.75">
      <c r="A2809" s="1" t="s">
        <v>17</v>
      </c>
      <c r="B2809" s="1" t="s">
        <v>5</v>
      </c>
      <c r="C2809" s="1" t="s">
        <v>126</v>
      </c>
      <c r="D2809" s="2">
        <v>45308</v>
      </c>
      <c r="E2809" s="1" t="s">
        <v>2605</v>
      </c>
      <c r="F2809" s="5">
        <f t="shared" si="173"/>
        <v>9477.32</v>
      </c>
      <c r="G2809" s="1">
        <v>160</v>
      </c>
      <c r="H2809" s="1" t="str">
        <f t="shared" si="174"/>
        <v>High</v>
      </c>
      <c r="I2809" s="1" t="str">
        <f t="shared" si="175"/>
        <v>Other</v>
      </c>
      <c r="J2809" s="1">
        <f t="shared" si="176"/>
        <v>101604.68</v>
      </c>
    </row>
    <row r="2810" spans="1:10" ht="12.75">
      <c r="A2810" s="1" t="s">
        <v>12</v>
      </c>
      <c r="B2810" s="1" t="s">
        <v>59</v>
      </c>
      <c r="C2810" s="1" t="s">
        <v>81</v>
      </c>
      <c r="D2810" s="2">
        <v>45339</v>
      </c>
      <c r="E2810" s="1" t="s">
        <v>2606</v>
      </c>
      <c r="F2810" s="5">
        <f t="shared" si="173"/>
        <v>5301.93</v>
      </c>
      <c r="G2810" s="1">
        <v>155</v>
      </c>
      <c r="H2810" s="1" t="str">
        <f t="shared" si="174"/>
        <v>High</v>
      </c>
      <c r="I2810" s="1" t="str">
        <f t="shared" si="175"/>
        <v>Other</v>
      </c>
      <c r="J2810" s="1">
        <f t="shared" si="176"/>
        <v>101604.68</v>
      </c>
    </row>
    <row r="2811" spans="1:10" ht="12.75">
      <c r="A2811" s="1" t="s">
        <v>12</v>
      </c>
      <c r="B2811" s="1" t="s">
        <v>62</v>
      </c>
      <c r="C2811" s="1" t="s">
        <v>45</v>
      </c>
      <c r="D2811" s="2">
        <v>45390</v>
      </c>
      <c r="E2811" s="1" t="s">
        <v>2607</v>
      </c>
      <c r="F2811" s="5">
        <f t="shared" si="173"/>
        <v>8041.25</v>
      </c>
      <c r="G2811" s="1">
        <v>43</v>
      </c>
      <c r="H2811" s="1" t="str">
        <f t="shared" si="174"/>
        <v>High</v>
      </c>
      <c r="I2811" s="1" t="str">
        <f t="shared" si="175"/>
        <v>Other</v>
      </c>
      <c r="J2811" s="1">
        <f t="shared" si="176"/>
        <v>101604.68</v>
      </c>
    </row>
    <row r="2812" spans="1:10" ht="12.75">
      <c r="A2812" s="1" t="s">
        <v>20</v>
      </c>
      <c r="B2812" s="1" t="s">
        <v>62</v>
      </c>
      <c r="C2812" s="1" t="s">
        <v>65</v>
      </c>
      <c r="D2812" s="2">
        <v>45479</v>
      </c>
      <c r="E2812" s="1" t="s">
        <v>2608</v>
      </c>
      <c r="F2812" s="5">
        <f t="shared" si="173"/>
        <v>3716.17</v>
      </c>
      <c r="G2812" s="1">
        <v>89</v>
      </c>
      <c r="H2812" s="1" t="str">
        <f t="shared" si="174"/>
        <v>High</v>
      </c>
      <c r="I2812" s="1" t="str">
        <f t="shared" si="175"/>
        <v>Other</v>
      </c>
      <c r="J2812" s="1">
        <f t="shared" si="176"/>
        <v>101604.68</v>
      </c>
    </row>
    <row r="2813" spans="1:10" ht="12.75">
      <c r="A2813" s="1" t="s">
        <v>13</v>
      </c>
      <c r="B2813" s="1" t="s">
        <v>42</v>
      </c>
      <c r="C2813" s="1" t="s">
        <v>81</v>
      </c>
      <c r="D2813" s="2">
        <v>45386</v>
      </c>
      <c r="E2813" s="1" t="s">
        <v>2609</v>
      </c>
      <c r="F2813" s="5">
        <f t="shared" si="173"/>
        <v>4591.7700000000004</v>
      </c>
      <c r="G2813" s="1">
        <v>222</v>
      </c>
      <c r="H2813" s="1" t="str">
        <f t="shared" si="174"/>
        <v>High</v>
      </c>
      <c r="I2813" s="1" t="str">
        <f t="shared" si="175"/>
        <v>Other</v>
      </c>
      <c r="J2813" s="1">
        <f t="shared" si="176"/>
        <v>101604.68</v>
      </c>
    </row>
    <row r="2814" spans="1:10" ht="12.75">
      <c r="A2814" s="1" t="s">
        <v>15</v>
      </c>
      <c r="B2814" s="1" t="s">
        <v>54</v>
      </c>
      <c r="C2814" s="1" t="s">
        <v>68</v>
      </c>
      <c r="D2814" s="2">
        <v>45353</v>
      </c>
      <c r="E2814" s="1" t="s">
        <v>2610</v>
      </c>
      <c r="F2814" s="5">
        <f t="shared" si="173"/>
        <v>1928.33</v>
      </c>
      <c r="G2814" s="1">
        <v>217</v>
      </c>
      <c r="H2814" s="1" t="str">
        <f t="shared" si="174"/>
        <v>High</v>
      </c>
      <c r="I2814" s="1" t="str">
        <f t="shared" si="175"/>
        <v>Other</v>
      </c>
      <c r="J2814" s="1">
        <f t="shared" si="176"/>
        <v>101604.68</v>
      </c>
    </row>
    <row r="2815" spans="1:10" ht="12.75">
      <c r="A2815" s="1" t="s">
        <v>20</v>
      </c>
      <c r="B2815" s="1" t="s">
        <v>54</v>
      </c>
      <c r="C2815" s="1" t="s">
        <v>100</v>
      </c>
      <c r="D2815" s="2">
        <v>45513</v>
      </c>
      <c r="E2815" s="1" t="s">
        <v>2611</v>
      </c>
      <c r="F2815" s="5">
        <f t="shared" si="173"/>
        <v>1225.1199999999999</v>
      </c>
      <c r="G2815" s="1">
        <v>186</v>
      </c>
      <c r="H2815" s="1" t="str">
        <f t="shared" si="174"/>
        <v>High</v>
      </c>
      <c r="I2815" s="1" t="str">
        <f t="shared" si="175"/>
        <v>Other</v>
      </c>
      <c r="J2815" s="1">
        <f t="shared" si="176"/>
        <v>101604.68</v>
      </c>
    </row>
    <row r="2816" spans="1:10" ht="12.75">
      <c r="A2816" s="1" t="s">
        <v>6</v>
      </c>
      <c r="B2816" s="1" t="s">
        <v>5</v>
      </c>
      <c r="C2816" s="1" t="s">
        <v>72</v>
      </c>
      <c r="D2816" s="2">
        <v>45452</v>
      </c>
      <c r="E2816" s="1" t="s">
        <v>2612</v>
      </c>
      <c r="F2816" s="5">
        <f t="shared" si="173"/>
        <v>11326.55</v>
      </c>
      <c r="G2816" s="1">
        <v>296</v>
      </c>
      <c r="H2816" s="1" t="str">
        <f t="shared" si="174"/>
        <v>High</v>
      </c>
      <c r="I2816" s="1" t="str">
        <f t="shared" si="175"/>
        <v>Other</v>
      </c>
      <c r="J2816" s="1">
        <f t="shared" si="176"/>
        <v>101604.68</v>
      </c>
    </row>
    <row r="2817" spans="1:10" ht="12.75">
      <c r="A2817" s="1" t="s">
        <v>17</v>
      </c>
      <c r="B2817" s="1" t="s">
        <v>39</v>
      </c>
      <c r="C2817" s="1" t="s">
        <v>126</v>
      </c>
      <c r="D2817" s="2">
        <v>45445</v>
      </c>
      <c r="E2817" s="1" t="s">
        <v>2613</v>
      </c>
      <c r="F2817" s="5">
        <f t="shared" si="173"/>
        <v>3063.08</v>
      </c>
      <c r="G2817" s="1">
        <v>301</v>
      </c>
      <c r="H2817" s="1" t="str">
        <f t="shared" si="174"/>
        <v>High</v>
      </c>
      <c r="I2817" s="1" t="str">
        <f t="shared" si="175"/>
        <v>Other</v>
      </c>
      <c r="J2817" s="1">
        <f t="shared" si="176"/>
        <v>101604.68</v>
      </c>
    </row>
    <row r="2818" spans="1:10" ht="12.75">
      <c r="A2818" s="1" t="s">
        <v>10</v>
      </c>
      <c r="B2818" s="1" t="s">
        <v>59</v>
      </c>
      <c r="C2818" s="1" t="s">
        <v>81</v>
      </c>
      <c r="D2818" s="2">
        <v>45478</v>
      </c>
      <c r="E2818" s="1" t="s">
        <v>2614</v>
      </c>
      <c r="F2818" s="5">
        <f t="shared" ref="F2818:F2881" si="177">VALUE(SUBSTITUTE(E2818,"$",""))</f>
        <v>7093.33</v>
      </c>
      <c r="G2818" s="1">
        <v>233</v>
      </c>
      <c r="H2818" s="1" t="str">
        <f t="shared" ref="H2818:H2881" si="178">IF(F2818&gt;800,"High",IF(F2818&gt;500,"Medium","Low"))</f>
        <v>High</v>
      </c>
      <c r="I2818" s="1" t="str">
        <f t="shared" ref="I2818:I2881" si="179">IF(AND(B2818="Australia",A2818="Mallorie Waber"),"Top Local","Other")</f>
        <v>Other</v>
      </c>
      <c r="J2818" s="1">
        <f t="shared" ref="J2818:J2881" si="180">SUMIF(A2818:A6098,"Mallorie Waber",F2818:F6098)</f>
        <v>101604.68</v>
      </c>
    </row>
    <row r="2819" spans="1:10" ht="12.75">
      <c r="A2819" s="1" t="s">
        <v>27</v>
      </c>
      <c r="B2819" s="1" t="s">
        <v>62</v>
      </c>
      <c r="C2819" s="1" t="s">
        <v>63</v>
      </c>
      <c r="D2819" s="2">
        <v>45515</v>
      </c>
      <c r="E2819" s="1" t="s">
        <v>2615</v>
      </c>
      <c r="F2819" s="5">
        <f t="shared" si="177"/>
        <v>337.37</v>
      </c>
      <c r="G2819" s="1">
        <v>120</v>
      </c>
      <c r="H2819" s="1" t="str">
        <f t="shared" si="178"/>
        <v>Low</v>
      </c>
      <c r="I2819" s="1" t="str">
        <f t="shared" si="179"/>
        <v>Other</v>
      </c>
      <c r="J2819" s="1">
        <f t="shared" si="180"/>
        <v>101604.68</v>
      </c>
    </row>
    <row r="2820" spans="1:10" ht="12.75">
      <c r="A2820" s="1" t="s">
        <v>9</v>
      </c>
      <c r="B2820" s="1" t="s">
        <v>42</v>
      </c>
      <c r="C2820" s="1" t="s">
        <v>102</v>
      </c>
      <c r="D2820" s="2">
        <v>45333</v>
      </c>
      <c r="E2820" s="1" t="s">
        <v>2616</v>
      </c>
      <c r="F2820" s="5">
        <f t="shared" si="177"/>
        <v>3764.59</v>
      </c>
      <c r="G2820" s="1">
        <v>158</v>
      </c>
      <c r="H2820" s="1" t="str">
        <f t="shared" si="178"/>
        <v>High</v>
      </c>
      <c r="I2820" s="1" t="str">
        <f t="shared" si="179"/>
        <v>Other</v>
      </c>
      <c r="J2820" s="1">
        <f t="shared" si="180"/>
        <v>101604.68</v>
      </c>
    </row>
    <row r="2821" spans="1:10" ht="12.75">
      <c r="A2821" s="1" t="s">
        <v>12</v>
      </c>
      <c r="B2821" s="1" t="s">
        <v>54</v>
      </c>
      <c r="C2821" s="1" t="s">
        <v>76</v>
      </c>
      <c r="D2821" s="2">
        <v>45515</v>
      </c>
      <c r="E2821" s="1" t="s">
        <v>2617</v>
      </c>
      <c r="F2821" s="5">
        <f t="shared" si="177"/>
        <v>695.32</v>
      </c>
      <c r="G2821" s="1">
        <v>68</v>
      </c>
      <c r="H2821" s="1" t="str">
        <f t="shared" si="178"/>
        <v>Medium</v>
      </c>
      <c r="I2821" s="1" t="str">
        <f t="shared" si="179"/>
        <v>Other</v>
      </c>
      <c r="J2821" s="1">
        <f t="shared" si="180"/>
        <v>101604.68</v>
      </c>
    </row>
    <row r="2822" spans="1:10" ht="12.75">
      <c r="A2822" s="1" t="s">
        <v>26</v>
      </c>
      <c r="B2822" s="1" t="s">
        <v>5</v>
      </c>
      <c r="C2822" s="1" t="s">
        <v>65</v>
      </c>
      <c r="D2822" s="2">
        <v>45424</v>
      </c>
      <c r="E2822" s="1" t="s">
        <v>2618</v>
      </c>
      <c r="F2822" s="5">
        <f t="shared" si="177"/>
        <v>14609.99</v>
      </c>
      <c r="G2822" s="1">
        <v>111</v>
      </c>
      <c r="H2822" s="1" t="str">
        <f t="shared" si="178"/>
        <v>High</v>
      </c>
      <c r="I2822" s="1" t="str">
        <f t="shared" si="179"/>
        <v>Other</v>
      </c>
      <c r="J2822" s="1">
        <f t="shared" si="180"/>
        <v>101604.68</v>
      </c>
    </row>
    <row r="2823" spans="1:10" ht="12.75">
      <c r="A2823" s="1" t="s">
        <v>29</v>
      </c>
      <c r="B2823" s="1" t="s">
        <v>59</v>
      </c>
      <c r="C2823" s="1" t="s">
        <v>72</v>
      </c>
      <c r="D2823" s="2">
        <v>45488</v>
      </c>
      <c r="E2823" s="1" t="s">
        <v>2619</v>
      </c>
      <c r="F2823" s="5">
        <f t="shared" si="177"/>
        <v>5298.68</v>
      </c>
      <c r="G2823" s="1">
        <v>96</v>
      </c>
      <c r="H2823" s="1" t="str">
        <f t="shared" si="178"/>
        <v>High</v>
      </c>
      <c r="I2823" s="1" t="str">
        <f t="shared" si="179"/>
        <v>Other</v>
      </c>
      <c r="J2823" s="1">
        <f t="shared" si="180"/>
        <v>101604.68</v>
      </c>
    </row>
    <row r="2824" spans="1:10" ht="12.75">
      <c r="A2824" s="1" t="s">
        <v>27</v>
      </c>
      <c r="B2824" s="1" t="s">
        <v>42</v>
      </c>
      <c r="C2824" s="1" t="s">
        <v>68</v>
      </c>
      <c r="D2824" s="2">
        <v>45309</v>
      </c>
      <c r="E2824" s="1" t="s">
        <v>2620</v>
      </c>
      <c r="F2824" s="5">
        <f t="shared" si="177"/>
        <v>4552.3</v>
      </c>
      <c r="G2824" s="1">
        <v>132</v>
      </c>
      <c r="H2824" s="1" t="str">
        <f t="shared" si="178"/>
        <v>High</v>
      </c>
      <c r="I2824" s="1" t="str">
        <f t="shared" si="179"/>
        <v>Other</v>
      </c>
      <c r="J2824" s="1">
        <f t="shared" si="180"/>
        <v>101604.68</v>
      </c>
    </row>
    <row r="2825" spans="1:10" ht="12.75">
      <c r="A2825" s="1" t="s">
        <v>9</v>
      </c>
      <c r="B2825" s="1" t="s">
        <v>39</v>
      </c>
      <c r="C2825" s="1" t="s">
        <v>81</v>
      </c>
      <c r="D2825" s="2">
        <v>45296</v>
      </c>
      <c r="E2825" s="1" t="s">
        <v>2621</v>
      </c>
      <c r="F2825" s="5">
        <f t="shared" si="177"/>
        <v>9099.26</v>
      </c>
      <c r="G2825" s="1">
        <v>199</v>
      </c>
      <c r="H2825" s="1" t="str">
        <f t="shared" si="178"/>
        <v>High</v>
      </c>
      <c r="I2825" s="1" t="str">
        <f t="shared" si="179"/>
        <v>Other</v>
      </c>
      <c r="J2825" s="1">
        <f t="shared" si="180"/>
        <v>101604.68</v>
      </c>
    </row>
    <row r="2826" spans="1:10" ht="12.75">
      <c r="A2826" s="1" t="s">
        <v>24</v>
      </c>
      <c r="B2826" s="1" t="s">
        <v>5</v>
      </c>
      <c r="C2826" s="1" t="s">
        <v>55</v>
      </c>
      <c r="D2826" s="2">
        <v>45472</v>
      </c>
      <c r="E2826" s="1" t="s">
        <v>2622</v>
      </c>
      <c r="F2826" s="5">
        <f t="shared" si="177"/>
        <v>603.97</v>
      </c>
      <c r="G2826" s="1">
        <v>239</v>
      </c>
      <c r="H2826" s="1" t="str">
        <f t="shared" si="178"/>
        <v>Medium</v>
      </c>
      <c r="I2826" s="1" t="str">
        <f t="shared" si="179"/>
        <v>Other</v>
      </c>
      <c r="J2826" s="1">
        <f t="shared" si="180"/>
        <v>101604.68</v>
      </c>
    </row>
    <row r="2827" spans="1:10" ht="12.75">
      <c r="A2827" s="1" t="s">
        <v>7</v>
      </c>
      <c r="B2827" s="1" t="s">
        <v>62</v>
      </c>
      <c r="C2827" s="1" t="s">
        <v>100</v>
      </c>
      <c r="D2827" s="2">
        <v>45457</v>
      </c>
      <c r="E2827" s="1" t="s">
        <v>2623</v>
      </c>
      <c r="F2827" s="5">
        <f t="shared" si="177"/>
        <v>3172.23</v>
      </c>
      <c r="G2827" s="1">
        <v>46</v>
      </c>
      <c r="H2827" s="1" t="str">
        <f t="shared" si="178"/>
        <v>High</v>
      </c>
      <c r="I2827" s="1" t="str">
        <f t="shared" si="179"/>
        <v>Other</v>
      </c>
      <c r="J2827" s="1">
        <f t="shared" si="180"/>
        <v>101604.68</v>
      </c>
    </row>
    <row r="2828" spans="1:10" ht="12.75">
      <c r="A2828" s="1" t="s">
        <v>23</v>
      </c>
      <c r="B2828" s="1" t="s">
        <v>42</v>
      </c>
      <c r="C2828" s="1" t="s">
        <v>40</v>
      </c>
      <c r="D2828" s="2">
        <v>45512</v>
      </c>
      <c r="E2828" s="1" t="s">
        <v>2624</v>
      </c>
      <c r="F2828" s="5">
        <f t="shared" si="177"/>
        <v>4737.32</v>
      </c>
      <c r="G2828" s="1">
        <v>74</v>
      </c>
      <c r="H2828" s="1" t="str">
        <f t="shared" si="178"/>
        <v>High</v>
      </c>
      <c r="I2828" s="1" t="str">
        <f t="shared" si="179"/>
        <v>Other</v>
      </c>
      <c r="J2828" s="1">
        <f t="shared" si="180"/>
        <v>101604.68</v>
      </c>
    </row>
    <row r="2829" spans="1:10" ht="12.75">
      <c r="A2829" s="1" t="s">
        <v>6</v>
      </c>
      <c r="B2829" s="1" t="s">
        <v>42</v>
      </c>
      <c r="C2829" s="1" t="s">
        <v>40</v>
      </c>
      <c r="D2829" s="2">
        <v>45374</v>
      </c>
      <c r="E2829" s="1" t="s">
        <v>2625</v>
      </c>
      <c r="F2829" s="5">
        <f t="shared" si="177"/>
        <v>15201.56</v>
      </c>
      <c r="G2829" s="1">
        <v>142</v>
      </c>
      <c r="H2829" s="1" t="str">
        <f t="shared" si="178"/>
        <v>High</v>
      </c>
      <c r="I2829" s="1" t="str">
        <f t="shared" si="179"/>
        <v>Other</v>
      </c>
      <c r="J2829" s="1">
        <f t="shared" si="180"/>
        <v>101604.68</v>
      </c>
    </row>
    <row r="2830" spans="1:10" ht="12.75">
      <c r="A2830" s="1" t="s">
        <v>16</v>
      </c>
      <c r="B2830" s="1" t="s">
        <v>42</v>
      </c>
      <c r="C2830" s="1" t="s">
        <v>126</v>
      </c>
      <c r="D2830" s="2">
        <v>45295</v>
      </c>
      <c r="E2830" s="1" t="s">
        <v>2626</v>
      </c>
      <c r="F2830" s="5">
        <f t="shared" si="177"/>
        <v>7912.62</v>
      </c>
      <c r="G2830" s="1">
        <v>106</v>
      </c>
      <c r="H2830" s="1" t="str">
        <f t="shared" si="178"/>
        <v>High</v>
      </c>
      <c r="I2830" s="1" t="str">
        <f t="shared" si="179"/>
        <v>Other</v>
      </c>
      <c r="J2830" s="1">
        <f t="shared" si="180"/>
        <v>101604.68</v>
      </c>
    </row>
    <row r="2831" spans="1:10" ht="12.75">
      <c r="A2831" s="1" t="s">
        <v>7</v>
      </c>
      <c r="B2831" s="1" t="s">
        <v>42</v>
      </c>
      <c r="C2831" s="1" t="s">
        <v>72</v>
      </c>
      <c r="D2831" s="2">
        <v>45344</v>
      </c>
      <c r="E2831" s="1" t="s">
        <v>2627</v>
      </c>
      <c r="F2831" s="5">
        <f t="shared" si="177"/>
        <v>14190.78</v>
      </c>
      <c r="G2831" s="1">
        <v>269</v>
      </c>
      <c r="H2831" s="1" t="str">
        <f t="shared" si="178"/>
        <v>High</v>
      </c>
      <c r="I2831" s="1" t="str">
        <f t="shared" si="179"/>
        <v>Other</v>
      </c>
      <c r="J2831" s="1">
        <f t="shared" si="180"/>
        <v>101604.68</v>
      </c>
    </row>
    <row r="2832" spans="1:10" ht="12.75">
      <c r="A2832" s="1" t="s">
        <v>28</v>
      </c>
      <c r="B2832" s="1" t="s">
        <v>39</v>
      </c>
      <c r="C2832" s="1" t="s">
        <v>76</v>
      </c>
      <c r="D2832" s="2">
        <v>45339</v>
      </c>
      <c r="E2832" s="1" t="s">
        <v>2628</v>
      </c>
      <c r="F2832" s="5">
        <f t="shared" si="177"/>
        <v>9327.08</v>
      </c>
      <c r="G2832" s="1">
        <v>259</v>
      </c>
      <c r="H2832" s="1" t="str">
        <f t="shared" si="178"/>
        <v>High</v>
      </c>
      <c r="I2832" s="1" t="str">
        <f t="shared" si="179"/>
        <v>Other</v>
      </c>
      <c r="J2832" s="1">
        <f t="shared" si="180"/>
        <v>101604.68</v>
      </c>
    </row>
    <row r="2833" spans="1:10" ht="12.75">
      <c r="A2833" s="1" t="s">
        <v>16</v>
      </c>
      <c r="B2833" s="1" t="s">
        <v>59</v>
      </c>
      <c r="C2833" s="1" t="s">
        <v>91</v>
      </c>
      <c r="D2833" s="2">
        <v>45325</v>
      </c>
      <c r="E2833" s="1" t="s">
        <v>2629</v>
      </c>
      <c r="F2833" s="5">
        <f t="shared" si="177"/>
        <v>434.42</v>
      </c>
      <c r="G2833" s="1">
        <v>83</v>
      </c>
      <c r="H2833" s="1" t="str">
        <f t="shared" si="178"/>
        <v>Low</v>
      </c>
      <c r="I2833" s="1" t="str">
        <f t="shared" si="179"/>
        <v>Other</v>
      </c>
      <c r="J2833" s="1">
        <f t="shared" si="180"/>
        <v>101604.68</v>
      </c>
    </row>
    <row r="2834" spans="1:10" ht="12.75">
      <c r="A2834" s="1" t="s">
        <v>10</v>
      </c>
      <c r="B2834" s="1" t="s">
        <v>62</v>
      </c>
      <c r="C2834" s="1" t="s">
        <v>100</v>
      </c>
      <c r="D2834" s="2">
        <v>45368</v>
      </c>
      <c r="E2834" s="1" t="s">
        <v>2630</v>
      </c>
      <c r="F2834" s="5">
        <f t="shared" si="177"/>
        <v>1497.58</v>
      </c>
      <c r="G2834" s="1">
        <v>132</v>
      </c>
      <c r="H2834" s="1" t="str">
        <f t="shared" si="178"/>
        <v>High</v>
      </c>
      <c r="I2834" s="1" t="str">
        <f t="shared" si="179"/>
        <v>Other</v>
      </c>
      <c r="J2834" s="1">
        <f t="shared" si="180"/>
        <v>101604.68</v>
      </c>
    </row>
    <row r="2835" spans="1:10" ht="12.75">
      <c r="A2835" s="1" t="s">
        <v>29</v>
      </c>
      <c r="B2835" s="1" t="s">
        <v>5</v>
      </c>
      <c r="C2835" s="1" t="s">
        <v>122</v>
      </c>
      <c r="D2835" s="2">
        <v>45316</v>
      </c>
      <c r="E2835" s="1" t="s">
        <v>2631</v>
      </c>
      <c r="F2835" s="5">
        <f t="shared" si="177"/>
        <v>3124.74</v>
      </c>
      <c r="G2835" s="1">
        <v>155</v>
      </c>
      <c r="H2835" s="1" t="str">
        <f t="shared" si="178"/>
        <v>High</v>
      </c>
      <c r="I2835" s="1" t="str">
        <f t="shared" si="179"/>
        <v>Other</v>
      </c>
      <c r="J2835" s="1">
        <f t="shared" si="180"/>
        <v>101604.68</v>
      </c>
    </row>
    <row r="2836" spans="1:10" ht="12.75">
      <c r="A2836" s="1" t="s">
        <v>7</v>
      </c>
      <c r="B2836" s="1" t="s">
        <v>5</v>
      </c>
      <c r="C2836" s="1" t="s">
        <v>72</v>
      </c>
      <c r="D2836" s="2">
        <v>45500</v>
      </c>
      <c r="E2836" s="1" t="s">
        <v>2632</v>
      </c>
      <c r="F2836" s="5">
        <f t="shared" si="177"/>
        <v>2356.21</v>
      </c>
      <c r="G2836" s="1">
        <v>54</v>
      </c>
      <c r="H2836" s="1" t="str">
        <f t="shared" si="178"/>
        <v>High</v>
      </c>
      <c r="I2836" s="1" t="str">
        <f t="shared" si="179"/>
        <v>Other</v>
      </c>
      <c r="J2836" s="1">
        <f t="shared" si="180"/>
        <v>101604.68</v>
      </c>
    </row>
    <row r="2837" spans="1:10" ht="12.75">
      <c r="A2837" s="1" t="s">
        <v>13</v>
      </c>
      <c r="B2837" s="1" t="s">
        <v>5</v>
      </c>
      <c r="C2837" s="1" t="s">
        <v>81</v>
      </c>
      <c r="D2837" s="2">
        <v>45319</v>
      </c>
      <c r="E2837" s="1" t="s">
        <v>2633</v>
      </c>
      <c r="F2837" s="5">
        <f t="shared" si="177"/>
        <v>8548</v>
      </c>
      <c r="G2837" s="1">
        <v>55</v>
      </c>
      <c r="H2837" s="1" t="str">
        <f t="shared" si="178"/>
        <v>High</v>
      </c>
      <c r="I2837" s="1" t="str">
        <f t="shared" si="179"/>
        <v>Other</v>
      </c>
      <c r="J2837" s="1">
        <f t="shared" si="180"/>
        <v>101604.68</v>
      </c>
    </row>
    <row r="2838" spans="1:10" ht="12.75">
      <c r="A2838" s="1" t="s">
        <v>9</v>
      </c>
      <c r="B2838" s="1" t="s">
        <v>5</v>
      </c>
      <c r="C2838" s="1" t="s">
        <v>68</v>
      </c>
      <c r="D2838" s="2">
        <v>45478</v>
      </c>
      <c r="E2838" s="1" t="s">
        <v>2634</v>
      </c>
      <c r="F2838" s="5">
        <f t="shared" si="177"/>
        <v>12094.34</v>
      </c>
      <c r="G2838" s="1">
        <v>52</v>
      </c>
      <c r="H2838" s="1" t="str">
        <f t="shared" si="178"/>
        <v>High</v>
      </c>
      <c r="I2838" s="1" t="str">
        <f t="shared" si="179"/>
        <v>Other</v>
      </c>
      <c r="J2838" s="1">
        <f t="shared" si="180"/>
        <v>101604.68</v>
      </c>
    </row>
    <row r="2839" spans="1:10" ht="12.75">
      <c r="A2839" s="1" t="s">
        <v>10</v>
      </c>
      <c r="B2839" s="1" t="s">
        <v>42</v>
      </c>
      <c r="C2839" s="1" t="s">
        <v>84</v>
      </c>
      <c r="D2839" s="2">
        <v>45366</v>
      </c>
      <c r="E2839" s="1" t="s">
        <v>2635</v>
      </c>
      <c r="F2839" s="5">
        <f t="shared" si="177"/>
        <v>2119.42</v>
      </c>
      <c r="G2839" s="1">
        <v>46</v>
      </c>
      <c r="H2839" s="1" t="str">
        <f t="shared" si="178"/>
        <v>High</v>
      </c>
      <c r="I2839" s="1" t="str">
        <f t="shared" si="179"/>
        <v>Other</v>
      </c>
      <c r="J2839" s="1">
        <f t="shared" si="180"/>
        <v>101604.68</v>
      </c>
    </row>
    <row r="2840" spans="1:10" ht="12.75">
      <c r="A2840" s="1" t="s">
        <v>23</v>
      </c>
      <c r="B2840" s="1" t="s">
        <v>62</v>
      </c>
      <c r="C2840" s="1" t="s">
        <v>52</v>
      </c>
      <c r="D2840" s="2">
        <v>45508</v>
      </c>
      <c r="E2840" s="1" t="s">
        <v>2636</v>
      </c>
      <c r="F2840" s="5">
        <f t="shared" si="177"/>
        <v>3038.32</v>
      </c>
      <c r="G2840" s="1">
        <v>220</v>
      </c>
      <c r="H2840" s="1" t="str">
        <f t="shared" si="178"/>
        <v>High</v>
      </c>
      <c r="I2840" s="1" t="str">
        <f t="shared" si="179"/>
        <v>Other</v>
      </c>
      <c r="J2840" s="1">
        <f t="shared" si="180"/>
        <v>101604.68</v>
      </c>
    </row>
    <row r="2841" spans="1:10" ht="12.75">
      <c r="A2841" s="1" t="s">
        <v>15</v>
      </c>
      <c r="B2841" s="1" t="s">
        <v>59</v>
      </c>
      <c r="C2841" s="1" t="s">
        <v>81</v>
      </c>
      <c r="D2841" s="2">
        <v>45470</v>
      </c>
      <c r="E2841" s="1" t="s">
        <v>2637</v>
      </c>
      <c r="F2841" s="5">
        <f t="shared" si="177"/>
        <v>5187.72</v>
      </c>
      <c r="G2841" s="1">
        <v>382</v>
      </c>
      <c r="H2841" s="1" t="str">
        <f t="shared" si="178"/>
        <v>High</v>
      </c>
      <c r="I2841" s="1" t="str">
        <f t="shared" si="179"/>
        <v>Other</v>
      </c>
      <c r="J2841" s="1">
        <f t="shared" si="180"/>
        <v>101604.68</v>
      </c>
    </row>
    <row r="2842" spans="1:10" ht="12.75">
      <c r="A2842" s="1" t="s">
        <v>15</v>
      </c>
      <c r="B2842" s="1" t="s">
        <v>62</v>
      </c>
      <c r="C2842" s="1" t="s">
        <v>52</v>
      </c>
      <c r="D2842" s="2">
        <v>45486</v>
      </c>
      <c r="E2842" s="1" t="s">
        <v>2638</v>
      </c>
      <c r="F2842" s="5">
        <f t="shared" si="177"/>
        <v>5384.52</v>
      </c>
      <c r="G2842" s="1">
        <v>180</v>
      </c>
      <c r="H2842" s="1" t="str">
        <f t="shared" si="178"/>
        <v>High</v>
      </c>
      <c r="I2842" s="1" t="str">
        <f t="shared" si="179"/>
        <v>Other</v>
      </c>
      <c r="J2842" s="1">
        <f t="shared" si="180"/>
        <v>101604.68</v>
      </c>
    </row>
    <row r="2843" spans="1:10" ht="12.75">
      <c r="A2843" s="1" t="s">
        <v>16</v>
      </c>
      <c r="B2843" s="1" t="s">
        <v>54</v>
      </c>
      <c r="C2843" s="1" t="s">
        <v>86</v>
      </c>
      <c r="D2843" s="2">
        <v>45346</v>
      </c>
      <c r="E2843" s="1" t="s">
        <v>2639</v>
      </c>
      <c r="F2843" s="5">
        <f t="shared" si="177"/>
        <v>6575.07</v>
      </c>
      <c r="G2843" s="1">
        <v>249</v>
      </c>
      <c r="H2843" s="1" t="str">
        <f t="shared" si="178"/>
        <v>High</v>
      </c>
      <c r="I2843" s="1" t="str">
        <f t="shared" si="179"/>
        <v>Other</v>
      </c>
      <c r="J2843" s="1">
        <f t="shared" si="180"/>
        <v>101604.68</v>
      </c>
    </row>
    <row r="2844" spans="1:10" ht="12.75">
      <c r="A2844" s="1" t="s">
        <v>18</v>
      </c>
      <c r="B2844" s="1" t="s">
        <v>54</v>
      </c>
      <c r="C2844" s="1" t="s">
        <v>43</v>
      </c>
      <c r="D2844" s="2">
        <v>45471</v>
      </c>
      <c r="E2844" s="1" t="s">
        <v>2640</v>
      </c>
      <c r="F2844" s="5">
        <f t="shared" si="177"/>
        <v>6350.37</v>
      </c>
      <c r="G2844" s="1">
        <v>59</v>
      </c>
      <c r="H2844" s="1" t="str">
        <f t="shared" si="178"/>
        <v>High</v>
      </c>
      <c r="I2844" s="1" t="str">
        <f t="shared" si="179"/>
        <v>Other</v>
      </c>
      <c r="J2844" s="1">
        <f t="shared" si="180"/>
        <v>101604.68</v>
      </c>
    </row>
    <row r="2845" spans="1:10" ht="12.75">
      <c r="A2845" s="1" t="s">
        <v>22</v>
      </c>
      <c r="B2845" s="1" t="s">
        <v>5</v>
      </c>
      <c r="C2845" s="1" t="s">
        <v>43</v>
      </c>
      <c r="D2845" s="2">
        <v>45473</v>
      </c>
      <c r="E2845" s="1" t="s">
        <v>2641</v>
      </c>
      <c r="F2845" s="5">
        <f t="shared" si="177"/>
        <v>7488.06</v>
      </c>
      <c r="G2845" s="1">
        <v>28</v>
      </c>
      <c r="H2845" s="1" t="str">
        <f t="shared" si="178"/>
        <v>High</v>
      </c>
      <c r="I2845" s="1" t="str">
        <f t="shared" si="179"/>
        <v>Other</v>
      </c>
      <c r="J2845" s="1">
        <f t="shared" si="180"/>
        <v>101604.68</v>
      </c>
    </row>
    <row r="2846" spans="1:10" ht="12.75">
      <c r="A2846" s="1" t="s">
        <v>24</v>
      </c>
      <c r="B2846" s="1" t="s">
        <v>62</v>
      </c>
      <c r="C2846" s="1" t="s">
        <v>102</v>
      </c>
      <c r="D2846" s="2">
        <v>45522</v>
      </c>
      <c r="E2846" s="1" t="s">
        <v>2642</v>
      </c>
      <c r="F2846" s="5">
        <f t="shared" si="177"/>
        <v>6997.57</v>
      </c>
      <c r="G2846" s="1">
        <v>7</v>
      </c>
      <c r="H2846" s="1" t="str">
        <f t="shared" si="178"/>
        <v>High</v>
      </c>
      <c r="I2846" s="1" t="str">
        <f t="shared" si="179"/>
        <v>Other</v>
      </c>
      <c r="J2846" s="1">
        <f t="shared" si="180"/>
        <v>101604.68</v>
      </c>
    </row>
    <row r="2847" spans="1:10" ht="12.75">
      <c r="A2847" s="1" t="s">
        <v>8</v>
      </c>
      <c r="B2847" s="1" t="s">
        <v>42</v>
      </c>
      <c r="C2847" s="1" t="s">
        <v>147</v>
      </c>
      <c r="D2847" s="2">
        <v>45315</v>
      </c>
      <c r="E2847" s="1" t="s">
        <v>2643</v>
      </c>
      <c r="F2847" s="5">
        <f t="shared" si="177"/>
        <v>13081.57</v>
      </c>
      <c r="G2847" s="1">
        <v>324</v>
      </c>
      <c r="H2847" s="1" t="str">
        <f t="shared" si="178"/>
        <v>High</v>
      </c>
      <c r="I2847" s="1" t="str">
        <f t="shared" si="179"/>
        <v>Other</v>
      </c>
      <c r="J2847" s="1">
        <f t="shared" si="180"/>
        <v>101604.68</v>
      </c>
    </row>
    <row r="2848" spans="1:10" ht="12.75">
      <c r="A2848" s="1" t="s">
        <v>28</v>
      </c>
      <c r="B2848" s="1" t="s">
        <v>59</v>
      </c>
      <c r="C2848" s="1" t="s">
        <v>84</v>
      </c>
      <c r="D2848" s="2">
        <v>45362</v>
      </c>
      <c r="E2848" s="1" t="s">
        <v>2644</v>
      </c>
      <c r="F2848" s="5">
        <f t="shared" si="177"/>
        <v>5964.72</v>
      </c>
      <c r="G2848" s="1">
        <v>136</v>
      </c>
      <c r="H2848" s="1" t="str">
        <f t="shared" si="178"/>
        <v>High</v>
      </c>
      <c r="I2848" s="1" t="str">
        <f t="shared" si="179"/>
        <v>Other</v>
      </c>
      <c r="J2848" s="1">
        <f t="shared" si="180"/>
        <v>101604.68</v>
      </c>
    </row>
    <row r="2849" spans="1:10" ht="12.75">
      <c r="A2849" s="1" t="s">
        <v>17</v>
      </c>
      <c r="B2849" s="1" t="s">
        <v>54</v>
      </c>
      <c r="C2849" s="1" t="s">
        <v>52</v>
      </c>
      <c r="D2849" s="2">
        <v>45466</v>
      </c>
      <c r="E2849" s="1" t="s">
        <v>2645</v>
      </c>
      <c r="F2849" s="5">
        <f t="shared" si="177"/>
        <v>6651.11</v>
      </c>
      <c r="G2849" s="1">
        <v>377</v>
      </c>
      <c r="H2849" s="1" t="str">
        <f t="shared" si="178"/>
        <v>High</v>
      </c>
      <c r="I2849" s="1" t="str">
        <f t="shared" si="179"/>
        <v>Other</v>
      </c>
      <c r="J2849" s="1">
        <f t="shared" si="180"/>
        <v>101604.68</v>
      </c>
    </row>
    <row r="2850" spans="1:10" ht="12.75">
      <c r="A2850" s="1" t="s">
        <v>13</v>
      </c>
      <c r="B2850" s="1" t="s">
        <v>42</v>
      </c>
      <c r="C2850" s="1" t="s">
        <v>76</v>
      </c>
      <c r="D2850" s="2">
        <v>45526</v>
      </c>
      <c r="E2850" s="1" t="s">
        <v>2646</v>
      </c>
      <c r="F2850" s="5">
        <f t="shared" si="177"/>
        <v>2606.11</v>
      </c>
      <c r="G2850" s="1">
        <v>31</v>
      </c>
      <c r="H2850" s="1" t="str">
        <f t="shared" si="178"/>
        <v>High</v>
      </c>
      <c r="I2850" s="1" t="str">
        <f t="shared" si="179"/>
        <v>Other</v>
      </c>
      <c r="J2850" s="1">
        <f t="shared" si="180"/>
        <v>101604.68</v>
      </c>
    </row>
    <row r="2851" spans="1:10" ht="12.75">
      <c r="A2851" s="1" t="s">
        <v>23</v>
      </c>
      <c r="B2851" s="1" t="s">
        <v>62</v>
      </c>
      <c r="C2851" s="1" t="s">
        <v>55</v>
      </c>
      <c r="D2851" s="2">
        <v>45295</v>
      </c>
      <c r="E2851" s="1" t="s">
        <v>2647</v>
      </c>
      <c r="F2851" s="5">
        <f t="shared" si="177"/>
        <v>3615.98</v>
      </c>
      <c r="G2851" s="1">
        <v>24</v>
      </c>
      <c r="H2851" s="1" t="str">
        <f t="shared" si="178"/>
        <v>High</v>
      </c>
      <c r="I2851" s="1" t="str">
        <f t="shared" si="179"/>
        <v>Other</v>
      </c>
      <c r="J2851" s="1">
        <f t="shared" si="180"/>
        <v>101604.68</v>
      </c>
    </row>
    <row r="2852" spans="1:10" ht="12.75">
      <c r="A2852" s="1" t="s">
        <v>24</v>
      </c>
      <c r="B2852" s="1" t="s">
        <v>42</v>
      </c>
      <c r="C2852" s="1" t="s">
        <v>72</v>
      </c>
      <c r="D2852" s="2">
        <v>45387</v>
      </c>
      <c r="E2852" s="1" t="s">
        <v>2648</v>
      </c>
      <c r="F2852" s="5">
        <f t="shared" si="177"/>
        <v>3658.27</v>
      </c>
      <c r="G2852" s="1">
        <v>210</v>
      </c>
      <c r="H2852" s="1" t="str">
        <f t="shared" si="178"/>
        <v>High</v>
      </c>
      <c r="I2852" s="1" t="str">
        <f t="shared" si="179"/>
        <v>Other</v>
      </c>
      <c r="J2852" s="1">
        <f t="shared" si="180"/>
        <v>101604.68</v>
      </c>
    </row>
    <row r="2853" spans="1:10" ht="12.75">
      <c r="A2853" s="1" t="s">
        <v>28</v>
      </c>
      <c r="B2853" s="1" t="s">
        <v>42</v>
      </c>
      <c r="C2853" s="1" t="s">
        <v>72</v>
      </c>
      <c r="D2853" s="2">
        <v>45397</v>
      </c>
      <c r="E2853" s="1" t="s">
        <v>2649</v>
      </c>
      <c r="F2853" s="5">
        <f t="shared" si="177"/>
        <v>1997.46</v>
      </c>
      <c r="G2853" s="1">
        <v>314</v>
      </c>
      <c r="H2853" s="1" t="str">
        <f t="shared" si="178"/>
        <v>High</v>
      </c>
      <c r="I2853" s="1" t="str">
        <f t="shared" si="179"/>
        <v>Other</v>
      </c>
      <c r="J2853" s="1">
        <f t="shared" si="180"/>
        <v>101604.68</v>
      </c>
    </row>
    <row r="2854" spans="1:10" ht="12.75">
      <c r="A2854" s="1" t="s">
        <v>13</v>
      </c>
      <c r="B2854" s="1" t="s">
        <v>5</v>
      </c>
      <c r="C2854" s="1" t="s">
        <v>84</v>
      </c>
      <c r="D2854" s="2">
        <v>45423</v>
      </c>
      <c r="E2854" s="1" t="s">
        <v>2650</v>
      </c>
      <c r="F2854" s="5">
        <f t="shared" si="177"/>
        <v>3618.67</v>
      </c>
      <c r="G2854" s="1">
        <v>213</v>
      </c>
      <c r="H2854" s="1" t="str">
        <f t="shared" si="178"/>
        <v>High</v>
      </c>
      <c r="I2854" s="1" t="str">
        <f t="shared" si="179"/>
        <v>Other</v>
      </c>
      <c r="J2854" s="1">
        <f t="shared" si="180"/>
        <v>101604.68</v>
      </c>
    </row>
    <row r="2855" spans="1:10" ht="12.75">
      <c r="A2855" s="1" t="s">
        <v>27</v>
      </c>
      <c r="B2855" s="1" t="s">
        <v>62</v>
      </c>
      <c r="C2855" s="1" t="s">
        <v>86</v>
      </c>
      <c r="D2855" s="2">
        <v>45494</v>
      </c>
      <c r="E2855" s="1" t="s">
        <v>2651</v>
      </c>
      <c r="F2855" s="5">
        <f t="shared" si="177"/>
        <v>5538.85</v>
      </c>
      <c r="G2855" s="1">
        <v>492</v>
      </c>
      <c r="H2855" s="1" t="str">
        <f t="shared" si="178"/>
        <v>High</v>
      </c>
      <c r="I2855" s="1" t="str">
        <f t="shared" si="179"/>
        <v>Other</v>
      </c>
      <c r="J2855" s="1">
        <f t="shared" si="180"/>
        <v>101604.68</v>
      </c>
    </row>
    <row r="2856" spans="1:10" ht="12.75">
      <c r="A2856" s="1" t="s">
        <v>15</v>
      </c>
      <c r="B2856" s="1" t="s">
        <v>54</v>
      </c>
      <c r="C2856" s="1" t="s">
        <v>60</v>
      </c>
      <c r="D2856" s="2">
        <v>45333</v>
      </c>
      <c r="E2856" s="1" t="s">
        <v>2652</v>
      </c>
      <c r="F2856" s="5">
        <f t="shared" si="177"/>
        <v>1382.49</v>
      </c>
      <c r="G2856" s="1">
        <v>86</v>
      </c>
      <c r="H2856" s="1" t="str">
        <f t="shared" si="178"/>
        <v>High</v>
      </c>
      <c r="I2856" s="1" t="str">
        <f t="shared" si="179"/>
        <v>Other</v>
      </c>
      <c r="J2856" s="1">
        <f t="shared" si="180"/>
        <v>101604.68</v>
      </c>
    </row>
    <row r="2857" spans="1:10" ht="12.75">
      <c r="A2857" s="1" t="s">
        <v>27</v>
      </c>
      <c r="B2857" s="1" t="s">
        <v>62</v>
      </c>
      <c r="C2857" s="1" t="s">
        <v>49</v>
      </c>
      <c r="D2857" s="2">
        <v>45481</v>
      </c>
      <c r="E2857" s="1" t="s">
        <v>2653</v>
      </c>
      <c r="F2857" s="5">
        <f t="shared" si="177"/>
        <v>1223.79</v>
      </c>
      <c r="G2857" s="1">
        <v>81</v>
      </c>
      <c r="H2857" s="1" t="str">
        <f t="shared" si="178"/>
        <v>High</v>
      </c>
      <c r="I2857" s="1" t="str">
        <f t="shared" si="179"/>
        <v>Other</v>
      </c>
      <c r="J2857" s="1">
        <f t="shared" si="180"/>
        <v>101604.68</v>
      </c>
    </row>
    <row r="2858" spans="1:10" ht="12.75">
      <c r="A2858" s="1" t="s">
        <v>23</v>
      </c>
      <c r="B2858" s="1" t="s">
        <v>39</v>
      </c>
      <c r="C2858" s="1" t="s">
        <v>100</v>
      </c>
      <c r="D2858" s="2">
        <v>45515</v>
      </c>
      <c r="E2858" s="1" t="s">
        <v>2654</v>
      </c>
      <c r="F2858" s="5">
        <f t="shared" si="177"/>
        <v>8043.29</v>
      </c>
      <c r="G2858" s="1">
        <v>344</v>
      </c>
      <c r="H2858" s="1" t="str">
        <f t="shared" si="178"/>
        <v>High</v>
      </c>
      <c r="I2858" s="1" t="str">
        <f t="shared" si="179"/>
        <v>Other</v>
      </c>
      <c r="J2858" s="1">
        <f t="shared" si="180"/>
        <v>101604.68</v>
      </c>
    </row>
    <row r="2859" spans="1:10" ht="12.75">
      <c r="A2859" s="1" t="s">
        <v>13</v>
      </c>
      <c r="B2859" s="1" t="s">
        <v>54</v>
      </c>
      <c r="C2859" s="1" t="s">
        <v>52</v>
      </c>
      <c r="D2859" s="2">
        <v>45508</v>
      </c>
      <c r="E2859" s="1" t="s">
        <v>2655</v>
      </c>
      <c r="F2859" s="5">
        <f t="shared" si="177"/>
        <v>6878.47</v>
      </c>
      <c r="G2859" s="1">
        <v>7</v>
      </c>
      <c r="H2859" s="1" t="str">
        <f t="shared" si="178"/>
        <v>High</v>
      </c>
      <c r="I2859" s="1" t="str">
        <f t="shared" si="179"/>
        <v>Other</v>
      </c>
      <c r="J2859" s="1">
        <f t="shared" si="180"/>
        <v>101604.68</v>
      </c>
    </row>
    <row r="2860" spans="1:10" ht="12.75">
      <c r="A2860" s="1" t="s">
        <v>27</v>
      </c>
      <c r="B2860" s="1" t="s">
        <v>54</v>
      </c>
      <c r="C2860" s="1" t="s">
        <v>60</v>
      </c>
      <c r="D2860" s="2">
        <v>45457</v>
      </c>
      <c r="E2860" s="1" t="s">
        <v>2656</v>
      </c>
      <c r="F2860" s="5">
        <f t="shared" si="177"/>
        <v>9420.2199999999993</v>
      </c>
      <c r="G2860" s="1">
        <v>94</v>
      </c>
      <c r="H2860" s="1" t="str">
        <f t="shared" si="178"/>
        <v>High</v>
      </c>
      <c r="I2860" s="1" t="str">
        <f t="shared" si="179"/>
        <v>Other</v>
      </c>
      <c r="J2860" s="1">
        <f t="shared" si="180"/>
        <v>101604.68</v>
      </c>
    </row>
    <row r="2861" spans="1:10" ht="12.75">
      <c r="A2861" s="1" t="s">
        <v>6</v>
      </c>
      <c r="B2861" s="1" t="s">
        <v>39</v>
      </c>
      <c r="C2861" s="1" t="s">
        <v>122</v>
      </c>
      <c r="D2861" s="2">
        <v>45308</v>
      </c>
      <c r="E2861" s="1" t="s">
        <v>2657</v>
      </c>
      <c r="F2861" s="5">
        <f t="shared" si="177"/>
        <v>2516.34</v>
      </c>
      <c r="G2861" s="1">
        <v>293</v>
      </c>
      <c r="H2861" s="1" t="str">
        <f t="shared" si="178"/>
        <v>High</v>
      </c>
      <c r="I2861" s="1" t="str">
        <f t="shared" si="179"/>
        <v>Other</v>
      </c>
      <c r="J2861" s="1">
        <f t="shared" si="180"/>
        <v>101604.68</v>
      </c>
    </row>
    <row r="2862" spans="1:10" ht="12.75">
      <c r="A2862" s="1" t="s">
        <v>11</v>
      </c>
      <c r="B2862" s="1" t="s">
        <v>62</v>
      </c>
      <c r="C2862" s="1" t="s">
        <v>60</v>
      </c>
      <c r="D2862" s="2">
        <v>45466</v>
      </c>
      <c r="E2862" s="1" t="s">
        <v>2658</v>
      </c>
      <c r="F2862" s="5">
        <f t="shared" si="177"/>
        <v>4334.75</v>
      </c>
      <c r="G2862" s="1">
        <v>529</v>
      </c>
      <c r="H2862" s="1" t="str">
        <f t="shared" si="178"/>
        <v>High</v>
      </c>
      <c r="I2862" s="1" t="str">
        <f t="shared" si="179"/>
        <v>Other</v>
      </c>
      <c r="J2862" s="1">
        <f t="shared" si="180"/>
        <v>101604.68</v>
      </c>
    </row>
    <row r="2863" spans="1:10" ht="12.75">
      <c r="A2863" s="1" t="s">
        <v>11</v>
      </c>
      <c r="B2863" s="1" t="s">
        <v>39</v>
      </c>
      <c r="C2863" s="1" t="s">
        <v>49</v>
      </c>
      <c r="D2863" s="2">
        <v>45528</v>
      </c>
      <c r="E2863" s="1" t="s">
        <v>2659</v>
      </c>
      <c r="F2863" s="5">
        <f t="shared" si="177"/>
        <v>1588.49</v>
      </c>
      <c r="G2863" s="1">
        <v>111</v>
      </c>
      <c r="H2863" s="1" t="str">
        <f t="shared" si="178"/>
        <v>High</v>
      </c>
      <c r="I2863" s="1" t="str">
        <f t="shared" si="179"/>
        <v>Other</v>
      </c>
      <c r="J2863" s="1">
        <f t="shared" si="180"/>
        <v>101604.68</v>
      </c>
    </row>
    <row r="2864" spans="1:10" ht="12.75">
      <c r="A2864" s="1" t="s">
        <v>27</v>
      </c>
      <c r="B2864" s="1" t="s">
        <v>39</v>
      </c>
      <c r="C2864" s="1" t="s">
        <v>126</v>
      </c>
      <c r="D2864" s="2">
        <v>45450</v>
      </c>
      <c r="E2864" s="1" t="s">
        <v>2660</v>
      </c>
      <c r="F2864" s="5">
        <f t="shared" si="177"/>
        <v>8959.3799999999992</v>
      </c>
      <c r="G2864" s="1">
        <v>271</v>
      </c>
      <c r="H2864" s="1" t="str">
        <f t="shared" si="178"/>
        <v>High</v>
      </c>
      <c r="I2864" s="1" t="str">
        <f t="shared" si="179"/>
        <v>Other</v>
      </c>
      <c r="J2864" s="1">
        <f t="shared" si="180"/>
        <v>101604.68</v>
      </c>
    </row>
    <row r="2865" spans="1:10" ht="12.75">
      <c r="A2865" s="1" t="s">
        <v>15</v>
      </c>
      <c r="B2865" s="1" t="s">
        <v>39</v>
      </c>
      <c r="C2865" s="1" t="s">
        <v>84</v>
      </c>
      <c r="D2865" s="2">
        <v>45465</v>
      </c>
      <c r="E2865" s="1" t="s">
        <v>2661</v>
      </c>
      <c r="F2865" s="5">
        <f t="shared" si="177"/>
        <v>9409.06</v>
      </c>
      <c r="G2865" s="1">
        <v>46</v>
      </c>
      <c r="H2865" s="1" t="str">
        <f t="shared" si="178"/>
        <v>High</v>
      </c>
      <c r="I2865" s="1" t="str">
        <f t="shared" si="179"/>
        <v>Other</v>
      </c>
      <c r="J2865" s="1">
        <f t="shared" si="180"/>
        <v>101604.68</v>
      </c>
    </row>
    <row r="2866" spans="1:10" ht="12.75">
      <c r="A2866" s="1" t="s">
        <v>21</v>
      </c>
      <c r="B2866" s="1" t="s">
        <v>59</v>
      </c>
      <c r="C2866" s="1" t="s">
        <v>81</v>
      </c>
      <c r="D2866" s="2">
        <v>45486</v>
      </c>
      <c r="E2866" s="1" t="s">
        <v>2662</v>
      </c>
      <c r="F2866" s="5">
        <f t="shared" si="177"/>
        <v>3315.64</v>
      </c>
      <c r="G2866" s="1">
        <v>268</v>
      </c>
      <c r="H2866" s="1" t="str">
        <f t="shared" si="178"/>
        <v>High</v>
      </c>
      <c r="I2866" s="1" t="str">
        <f t="shared" si="179"/>
        <v>Other</v>
      </c>
      <c r="J2866" s="1">
        <f t="shared" si="180"/>
        <v>101604.68</v>
      </c>
    </row>
    <row r="2867" spans="1:10" ht="12.75">
      <c r="A2867" s="1" t="s">
        <v>12</v>
      </c>
      <c r="B2867" s="1" t="s">
        <v>39</v>
      </c>
      <c r="C2867" s="1" t="s">
        <v>102</v>
      </c>
      <c r="D2867" s="2">
        <v>45436</v>
      </c>
      <c r="E2867" s="1" t="s">
        <v>2663</v>
      </c>
      <c r="F2867" s="5">
        <f t="shared" si="177"/>
        <v>10920.7</v>
      </c>
      <c r="G2867" s="1">
        <v>210</v>
      </c>
      <c r="H2867" s="1" t="str">
        <f t="shared" si="178"/>
        <v>High</v>
      </c>
      <c r="I2867" s="1" t="str">
        <f t="shared" si="179"/>
        <v>Other</v>
      </c>
      <c r="J2867" s="1">
        <f t="shared" si="180"/>
        <v>101604.68</v>
      </c>
    </row>
    <row r="2868" spans="1:10" ht="12.75">
      <c r="A2868" s="1" t="s">
        <v>23</v>
      </c>
      <c r="B2868" s="1" t="s">
        <v>54</v>
      </c>
      <c r="C2868" s="1" t="s">
        <v>52</v>
      </c>
      <c r="D2868" s="2">
        <v>45513</v>
      </c>
      <c r="E2868" s="1" t="s">
        <v>2664</v>
      </c>
      <c r="F2868" s="5">
        <f t="shared" si="177"/>
        <v>7605.55</v>
      </c>
      <c r="G2868" s="1">
        <v>154</v>
      </c>
      <c r="H2868" s="1" t="str">
        <f t="shared" si="178"/>
        <v>High</v>
      </c>
      <c r="I2868" s="1" t="str">
        <f t="shared" si="179"/>
        <v>Other</v>
      </c>
      <c r="J2868" s="1">
        <f t="shared" si="180"/>
        <v>101604.68</v>
      </c>
    </row>
    <row r="2869" spans="1:10" ht="12.75">
      <c r="A2869" s="1" t="s">
        <v>8</v>
      </c>
      <c r="B2869" s="1" t="s">
        <v>62</v>
      </c>
      <c r="C2869" s="1" t="s">
        <v>43</v>
      </c>
      <c r="D2869" s="2">
        <v>45388</v>
      </c>
      <c r="E2869" s="1" t="s">
        <v>2665</v>
      </c>
      <c r="F2869" s="5">
        <f t="shared" si="177"/>
        <v>1859.96</v>
      </c>
      <c r="G2869" s="1">
        <v>33</v>
      </c>
      <c r="H2869" s="1" t="str">
        <f t="shared" si="178"/>
        <v>High</v>
      </c>
      <c r="I2869" s="1" t="str">
        <f t="shared" si="179"/>
        <v>Other</v>
      </c>
      <c r="J2869" s="1">
        <f t="shared" si="180"/>
        <v>101604.68</v>
      </c>
    </row>
    <row r="2870" spans="1:10" ht="12.75">
      <c r="A2870" s="1" t="s">
        <v>15</v>
      </c>
      <c r="B2870" s="1" t="s">
        <v>54</v>
      </c>
      <c r="C2870" s="1" t="s">
        <v>86</v>
      </c>
      <c r="D2870" s="2">
        <v>45501</v>
      </c>
      <c r="E2870" s="1" t="s">
        <v>2666</v>
      </c>
      <c r="F2870" s="5">
        <f t="shared" si="177"/>
        <v>1743.87</v>
      </c>
      <c r="G2870" s="1">
        <v>259</v>
      </c>
      <c r="H2870" s="1" t="str">
        <f t="shared" si="178"/>
        <v>High</v>
      </c>
      <c r="I2870" s="1" t="str">
        <f t="shared" si="179"/>
        <v>Other</v>
      </c>
      <c r="J2870" s="1">
        <f t="shared" si="180"/>
        <v>101604.68</v>
      </c>
    </row>
    <row r="2871" spans="1:10" ht="12.75">
      <c r="A2871" s="1" t="s">
        <v>23</v>
      </c>
      <c r="B2871" s="1" t="s">
        <v>54</v>
      </c>
      <c r="C2871" s="1" t="s">
        <v>100</v>
      </c>
      <c r="D2871" s="2">
        <v>45528</v>
      </c>
      <c r="E2871" s="1" t="s">
        <v>2667</v>
      </c>
      <c r="F2871" s="5">
        <f t="shared" si="177"/>
        <v>758.28</v>
      </c>
      <c r="G2871" s="1">
        <v>57</v>
      </c>
      <c r="H2871" s="1" t="str">
        <f t="shared" si="178"/>
        <v>Medium</v>
      </c>
      <c r="I2871" s="1" t="str">
        <f t="shared" si="179"/>
        <v>Other</v>
      </c>
      <c r="J2871" s="1">
        <f t="shared" si="180"/>
        <v>101604.68</v>
      </c>
    </row>
    <row r="2872" spans="1:10" ht="12.75">
      <c r="A2872" s="1" t="s">
        <v>10</v>
      </c>
      <c r="B2872" s="1" t="s">
        <v>5</v>
      </c>
      <c r="C2872" s="1" t="s">
        <v>51</v>
      </c>
      <c r="D2872" s="2">
        <v>45308</v>
      </c>
      <c r="E2872" s="1" t="s">
        <v>2668</v>
      </c>
      <c r="F2872" s="5">
        <f t="shared" si="177"/>
        <v>125.37</v>
      </c>
      <c r="G2872" s="1">
        <v>138</v>
      </c>
      <c r="H2872" s="1" t="str">
        <f t="shared" si="178"/>
        <v>Low</v>
      </c>
      <c r="I2872" s="1" t="str">
        <f t="shared" si="179"/>
        <v>Other</v>
      </c>
      <c r="J2872" s="1">
        <f t="shared" si="180"/>
        <v>101604.68</v>
      </c>
    </row>
    <row r="2873" spans="1:10" ht="12.75">
      <c r="A2873" s="1" t="s">
        <v>24</v>
      </c>
      <c r="B2873" s="1" t="s">
        <v>59</v>
      </c>
      <c r="C2873" s="1" t="s">
        <v>65</v>
      </c>
      <c r="D2873" s="2">
        <v>45329</v>
      </c>
      <c r="E2873" s="1" t="s">
        <v>2669</v>
      </c>
      <c r="F2873" s="5">
        <f t="shared" si="177"/>
        <v>6170.75</v>
      </c>
      <c r="G2873" s="1">
        <v>149</v>
      </c>
      <c r="H2873" s="1" t="str">
        <f t="shared" si="178"/>
        <v>High</v>
      </c>
      <c r="I2873" s="1" t="str">
        <f t="shared" si="179"/>
        <v>Other</v>
      </c>
      <c r="J2873" s="1">
        <f t="shared" si="180"/>
        <v>101604.68</v>
      </c>
    </row>
    <row r="2874" spans="1:10" ht="12.75">
      <c r="A2874" s="1" t="s">
        <v>7</v>
      </c>
      <c r="B2874" s="1" t="s">
        <v>5</v>
      </c>
      <c r="C2874" s="1" t="s">
        <v>76</v>
      </c>
      <c r="D2874" s="2">
        <v>45421</v>
      </c>
      <c r="E2874" s="1" t="s">
        <v>2670</v>
      </c>
      <c r="F2874" s="5">
        <f t="shared" si="177"/>
        <v>6867.13</v>
      </c>
      <c r="G2874" s="1">
        <v>273</v>
      </c>
      <c r="H2874" s="1" t="str">
        <f t="shared" si="178"/>
        <v>High</v>
      </c>
      <c r="I2874" s="1" t="str">
        <f t="shared" si="179"/>
        <v>Other</v>
      </c>
      <c r="J2874" s="1">
        <f t="shared" si="180"/>
        <v>101604.68</v>
      </c>
    </row>
    <row r="2875" spans="1:10" ht="12.75">
      <c r="A2875" s="1" t="s">
        <v>2</v>
      </c>
      <c r="B2875" s="1" t="s">
        <v>54</v>
      </c>
      <c r="C2875" s="1" t="s">
        <v>43</v>
      </c>
      <c r="D2875" s="2">
        <v>45449</v>
      </c>
      <c r="E2875" s="1" t="s">
        <v>2671</v>
      </c>
      <c r="F2875" s="5">
        <f t="shared" si="177"/>
        <v>8775.4500000000007</v>
      </c>
      <c r="G2875" s="1">
        <v>113</v>
      </c>
      <c r="H2875" s="1" t="str">
        <f t="shared" si="178"/>
        <v>High</v>
      </c>
      <c r="I2875" s="1" t="str">
        <f t="shared" si="179"/>
        <v>Other</v>
      </c>
      <c r="J2875" s="1">
        <f t="shared" si="180"/>
        <v>101604.68</v>
      </c>
    </row>
    <row r="2876" spans="1:10" ht="12.75">
      <c r="A2876" s="1" t="s">
        <v>29</v>
      </c>
      <c r="B2876" s="1" t="s">
        <v>59</v>
      </c>
      <c r="C2876" s="1" t="s">
        <v>102</v>
      </c>
      <c r="D2876" s="2">
        <v>45449</v>
      </c>
      <c r="E2876" s="1" t="s">
        <v>2672</v>
      </c>
      <c r="F2876" s="5">
        <f t="shared" si="177"/>
        <v>10422.84</v>
      </c>
      <c r="G2876" s="1">
        <v>6</v>
      </c>
      <c r="H2876" s="1" t="str">
        <f t="shared" si="178"/>
        <v>High</v>
      </c>
      <c r="I2876" s="1" t="str">
        <f t="shared" si="179"/>
        <v>Other</v>
      </c>
      <c r="J2876" s="1">
        <f t="shared" si="180"/>
        <v>92829.229999999981</v>
      </c>
    </row>
    <row r="2877" spans="1:10" ht="12.75">
      <c r="A2877" s="1" t="s">
        <v>28</v>
      </c>
      <c r="B2877" s="1" t="s">
        <v>54</v>
      </c>
      <c r="C2877" s="1" t="s">
        <v>68</v>
      </c>
      <c r="D2877" s="2">
        <v>45436</v>
      </c>
      <c r="E2877" s="1" t="s">
        <v>2673</v>
      </c>
      <c r="F2877" s="5">
        <f t="shared" si="177"/>
        <v>7402.04</v>
      </c>
      <c r="G2877" s="1">
        <v>231</v>
      </c>
      <c r="H2877" s="1" t="str">
        <f t="shared" si="178"/>
        <v>High</v>
      </c>
      <c r="I2877" s="1" t="str">
        <f t="shared" si="179"/>
        <v>Other</v>
      </c>
      <c r="J2877" s="1">
        <f t="shared" si="180"/>
        <v>92829.229999999981</v>
      </c>
    </row>
    <row r="2878" spans="1:10" ht="12.75">
      <c r="A2878" s="1" t="s">
        <v>23</v>
      </c>
      <c r="B2878" s="1" t="s">
        <v>39</v>
      </c>
      <c r="C2878" s="1" t="s">
        <v>55</v>
      </c>
      <c r="D2878" s="2">
        <v>45304</v>
      </c>
      <c r="E2878" s="1" t="s">
        <v>2674</v>
      </c>
      <c r="F2878" s="5">
        <f t="shared" si="177"/>
        <v>2498.04</v>
      </c>
      <c r="G2878" s="1">
        <v>129</v>
      </c>
      <c r="H2878" s="1" t="str">
        <f t="shared" si="178"/>
        <v>High</v>
      </c>
      <c r="I2878" s="1" t="str">
        <f t="shared" si="179"/>
        <v>Other</v>
      </c>
      <c r="J2878" s="1">
        <f t="shared" si="180"/>
        <v>92829.229999999981</v>
      </c>
    </row>
    <row r="2879" spans="1:10" ht="12.75">
      <c r="A2879" s="1" t="s">
        <v>14</v>
      </c>
      <c r="B2879" s="1" t="s">
        <v>59</v>
      </c>
      <c r="C2879" s="1" t="s">
        <v>100</v>
      </c>
      <c r="D2879" s="2">
        <v>45435</v>
      </c>
      <c r="E2879" s="1" t="s">
        <v>2675</v>
      </c>
      <c r="F2879" s="5">
        <f t="shared" si="177"/>
        <v>6873.56</v>
      </c>
      <c r="G2879" s="1">
        <v>152</v>
      </c>
      <c r="H2879" s="1" t="str">
        <f t="shared" si="178"/>
        <v>High</v>
      </c>
      <c r="I2879" s="1" t="str">
        <f t="shared" si="179"/>
        <v>Other</v>
      </c>
      <c r="J2879" s="1">
        <f t="shared" si="180"/>
        <v>92829.229999999981</v>
      </c>
    </row>
    <row r="2880" spans="1:10" ht="12.75">
      <c r="A2880" s="1" t="s">
        <v>11</v>
      </c>
      <c r="B2880" s="1" t="s">
        <v>39</v>
      </c>
      <c r="C2880" s="1" t="s">
        <v>84</v>
      </c>
      <c r="D2880" s="2">
        <v>45472</v>
      </c>
      <c r="E2880" s="1" t="s">
        <v>2676</v>
      </c>
      <c r="F2880" s="5">
        <f t="shared" si="177"/>
        <v>2015.93</v>
      </c>
      <c r="G2880" s="1">
        <v>304</v>
      </c>
      <c r="H2880" s="1" t="str">
        <f t="shared" si="178"/>
        <v>High</v>
      </c>
      <c r="I2880" s="1" t="str">
        <f t="shared" si="179"/>
        <v>Other</v>
      </c>
      <c r="J2880" s="1">
        <f t="shared" si="180"/>
        <v>92829.229999999981</v>
      </c>
    </row>
    <row r="2881" spans="1:10" ht="12.75">
      <c r="A2881" s="1" t="s">
        <v>11</v>
      </c>
      <c r="B2881" s="1" t="s">
        <v>54</v>
      </c>
      <c r="C2881" s="1" t="s">
        <v>43</v>
      </c>
      <c r="D2881" s="2">
        <v>45362</v>
      </c>
      <c r="E2881" s="1" t="s">
        <v>2677</v>
      </c>
      <c r="F2881" s="5">
        <f t="shared" si="177"/>
        <v>8077.51</v>
      </c>
      <c r="G2881" s="1">
        <v>95</v>
      </c>
      <c r="H2881" s="1" t="str">
        <f t="shared" si="178"/>
        <v>High</v>
      </c>
      <c r="I2881" s="1" t="str">
        <f t="shared" si="179"/>
        <v>Other</v>
      </c>
      <c r="J2881" s="1">
        <f t="shared" si="180"/>
        <v>92829.229999999981</v>
      </c>
    </row>
    <row r="2882" spans="1:10" ht="12.75">
      <c r="A2882" s="1" t="s">
        <v>21</v>
      </c>
      <c r="B2882" s="1" t="s">
        <v>59</v>
      </c>
      <c r="C2882" s="1" t="s">
        <v>43</v>
      </c>
      <c r="D2882" s="2">
        <v>45407</v>
      </c>
      <c r="E2882" s="1" t="s">
        <v>2678</v>
      </c>
      <c r="F2882" s="5">
        <f t="shared" ref="F2882:F2945" si="181">VALUE(SUBSTITUTE(E2882,"$",""))</f>
        <v>11149.46</v>
      </c>
      <c r="G2882" s="1">
        <v>538</v>
      </c>
      <c r="H2882" s="1" t="str">
        <f t="shared" ref="H2882:H2945" si="182">IF(F2882&gt;800,"High",IF(F2882&gt;500,"Medium","Low"))</f>
        <v>High</v>
      </c>
      <c r="I2882" s="1" t="str">
        <f t="shared" ref="I2882:I2945" si="183">IF(AND(B2882="Australia",A2882="Mallorie Waber"),"Top Local","Other")</f>
        <v>Other</v>
      </c>
      <c r="J2882" s="1">
        <f t="shared" ref="J2882:J2945" si="184">SUMIF(A2882:A6162,"Mallorie Waber",F2882:F6162)</f>
        <v>92829.229999999981</v>
      </c>
    </row>
    <row r="2883" spans="1:10" ht="12.75">
      <c r="A2883" s="1" t="s">
        <v>19</v>
      </c>
      <c r="B2883" s="1" t="s">
        <v>5</v>
      </c>
      <c r="C2883" s="1" t="s">
        <v>49</v>
      </c>
      <c r="D2883" s="2">
        <v>45442</v>
      </c>
      <c r="E2883" s="1" t="s">
        <v>2679</v>
      </c>
      <c r="F2883" s="5">
        <f t="shared" si="181"/>
        <v>4739.3900000000003</v>
      </c>
      <c r="G2883" s="1">
        <v>236</v>
      </c>
      <c r="H2883" s="1" t="str">
        <f t="shared" si="182"/>
        <v>High</v>
      </c>
      <c r="I2883" s="1" t="str">
        <f t="shared" si="183"/>
        <v>Other</v>
      </c>
      <c r="J2883" s="1">
        <f t="shared" si="184"/>
        <v>92829.229999999981</v>
      </c>
    </row>
    <row r="2884" spans="1:10" ht="12.75">
      <c r="A2884" s="1" t="s">
        <v>24</v>
      </c>
      <c r="B2884" s="1" t="s">
        <v>42</v>
      </c>
      <c r="C2884" s="1" t="s">
        <v>86</v>
      </c>
      <c r="D2884" s="2">
        <v>45435</v>
      </c>
      <c r="E2884" s="1" t="s">
        <v>2680</v>
      </c>
      <c r="F2884" s="5">
        <f t="shared" si="181"/>
        <v>1844.54</v>
      </c>
      <c r="G2884" s="1">
        <v>185</v>
      </c>
      <c r="H2884" s="1" t="str">
        <f t="shared" si="182"/>
        <v>High</v>
      </c>
      <c r="I2884" s="1" t="str">
        <f t="shared" si="183"/>
        <v>Other</v>
      </c>
      <c r="J2884" s="1">
        <f t="shared" si="184"/>
        <v>92829.229999999981</v>
      </c>
    </row>
    <row r="2885" spans="1:10" ht="12.75">
      <c r="A2885" s="1" t="s">
        <v>2</v>
      </c>
      <c r="B2885" s="1" t="s">
        <v>59</v>
      </c>
      <c r="C2885" s="1" t="s">
        <v>45</v>
      </c>
      <c r="D2885" s="2">
        <v>45435</v>
      </c>
      <c r="E2885" s="1" t="s">
        <v>2681</v>
      </c>
      <c r="F2885" s="5">
        <f t="shared" si="181"/>
        <v>1263.98</v>
      </c>
      <c r="G2885" s="1">
        <v>19</v>
      </c>
      <c r="H2885" s="1" t="str">
        <f t="shared" si="182"/>
        <v>High</v>
      </c>
      <c r="I2885" s="1" t="str">
        <f t="shared" si="183"/>
        <v>Other</v>
      </c>
      <c r="J2885" s="1">
        <f t="shared" si="184"/>
        <v>92829.229999999981</v>
      </c>
    </row>
    <row r="2886" spans="1:10" ht="12.75">
      <c r="A2886" s="1" t="s">
        <v>10</v>
      </c>
      <c r="B2886" s="1" t="s">
        <v>62</v>
      </c>
      <c r="C2886" s="1" t="s">
        <v>45</v>
      </c>
      <c r="D2886" s="2">
        <v>45467</v>
      </c>
      <c r="E2886" s="1" t="s">
        <v>2682</v>
      </c>
      <c r="F2886" s="5">
        <f t="shared" si="181"/>
        <v>7527.84</v>
      </c>
      <c r="G2886" s="1">
        <v>306</v>
      </c>
      <c r="H2886" s="1" t="str">
        <f t="shared" si="182"/>
        <v>High</v>
      </c>
      <c r="I2886" s="1" t="str">
        <f t="shared" si="183"/>
        <v>Other</v>
      </c>
      <c r="J2886" s="1">
        <f t="shared" si="184"/>
        <v>91565.25</v>
      </c>
    </row>
    <row r="2887" spans="1:10" ht="12.75">
      <c r="A2887" s="1" t="s">
        <v>12</v>
      </c>
      <c r="B2887" s="1" t="s">
        <v>54</v>
      </c>
      <c r="C2887" s="1" t="s">
        <v>49</v>
      </c>
      <c r="D2887" s="2">
        <v>45362</v>
      </c>
      <c r="E2887" s="1" t="s">
        <v>2683</v>
      </c>
      <c r="F2887" s="5">
        <f t="shared" si="181"/>
        <v>12265.45</v>
      </c>
      <c r="G2887" s="1">
        <v>268</v>
      </c>
      <c r="H2887" s="1" t="str">
        <f t="shared" si="182"/>
        <v>High</v>
      </c>
      <c r="I2887" s="1" t="str">
        <f t="shared" si="183"/>
        <v>Other</v>
      </c>
      <c r="J2887" s="1">
        <f t="shared" si="184"/>
        <v>91565.25</v>
      </c>
    </row>
    <row r="2888" spans="1:10" ht="12.75">
      <c r="A2888" s="1" t="s">
        <v>19</v>
      </c>
      <c r="B2888" s="1" t="s">
        <v>59</v>
      </c>
      <c r="C2888" s="1" t="s">
        <v>49</v>
      </c>
      <c r="D2888" s="2">
        <v>45500</v>
      </c>
      <c r="E2888" s="1" t="s">
        <v>2684</v>
      </c>
      <c r="F2888" s="5">
        <f t="shared" si="181"/>
        <v>17662.05</v>
      </c>
      <c r="G2888" s="1">
        <v>230</v>
      </c>
      <c r="H2888" s="1" t="str">
        <f t="shared" si="182"/>
        <v>High</v>
      </c>
      <c r="I2888" s="1" t="str">
        <f t="shared" si="183"/>
        <v>Other</v>
      </c>
      <c r="J2888" s="1">
        <f t="shared" si="184"/>
        <v>91565.25</v>
      </c>
    </row>
    <row r="2889" spans="1:10" ht="12.75">
      <c r="A2889" s="1" t="s">
        <v>19</v>
      </c>
      <c r="B2889" s="1" t="s">
        <v>59</v>
      </c>
      <c r="C2889" s="1" t="s">
        <v>84</v>
      </c>
      <c r="D2889" s="2">
        <v>45520</v>
      </c>
      <c r="E2889" s="1" t="s">
        <v>2685</v>
      </c>
      <c r="F2889" s="5">
        <f t="shared" si="181"/>
        <v>5520</v>
      </c>
      <c r="G2889" s="1">
        <v>120</v>
      </c>
      <c r="H2889" s="1" t="str">
        <f t="shared" si="182"/>
        <v>High</v>
      </c>
      <c r="I2889" s="1" t="str">
        <f t="shared" si="183"/>
        <v>Other</v>
      </c>
      <c r="J2889" s="1">
        <f t="shared" si="184"/>
        <v>91565.25</v>
      </c>
    </row>
    <row r="2890" spans="1:10" ht="12.75">
      <c r="A2890" s="1" t="s">
        <v>26</v>
      </c>
      <c r="B2890" s="1" t="s">
        <v>62</v>
      </c>
      <c r="C2890" s="1" t="s">
        <v>49</v>
      </c>
      <c r="D2890" s="2">
        <v>45358</v>
      </c>
      <c r="E2890" s="1" t="s">
        <v>2686</v>
      </c>
      <c r="F2890" s="5">
        <f t="shared" si="181"/>
        <v>10712.76</v>
      </c>
      <c r="G2890" s="1">
        <v>11</v>
      </c>
      <c r="H2890" s="1" t="str">
        <f t="shared" si="182"/>
        <v>High</v>
      </c>
      <c r="I2890" s="1" t="str">
        <f t="shared" si="183"/>
        <v>Other</v>
      </c>
      <c r="J2890" s="1">
        <f t="shared" si="184"/>
        <v>91565.25</v>
      </c>
    </row>
    <row r="2891" spans="1:10" ht="12.75">
      <c r="A2891" s="1" t="s">
        <v>24</v>
      </c>
      <c r="B2891" s="1" t="s">
        <v>54</v>
      </c>
      <c r="C2891" s="1" t="s">
        <v>52</v>
      </c>
      <c r="D2891" s="2">
        <v>45387</v>
      </c>
      <c r="E2891" s="1" t="s">
        <v>2687</v>
      </c>
      <c r="F2891" s="5">
        <f t="shared" si="181"/>
        <v>8416.7999999999993</v>
      </c>
      <c r="G2891" s="1">
        <v>29</v>
      </c>
      <c r="H2891" s="1" t="str">
        <f t="shared" si="182"/>
        <v>High</v>
      </c>
      <c r="I2891" s="1" t="str">
        <f t="shared" si="183"/>
        <v>Other</v>
      </c>
      <c r="J2891" s="1">
        <f t="shared" si="184"/>
        <v>91565.25</v>
      </c>
    </row>
    <row r="2892" spans="1:10" ht="12.75">
      <c r="A2892" s="1" t="s">
        <v>25</v>
      </c>
      <c r="B2892" s="1" t="s">
        <v>42</v>
      </c>
      <c r="C2892" s="1" t="s">
        <v>43</v>
      </c>
      <c r="D2892" s="2">
        <v>45416</v>
      </c>
      <c r="E2892" s="1" t="s">
        <v>2688</v>
      </c>
      <c r="F2892" s="5">
        <f t="shared" si="181"/>
        <v>9986.0499999999993</v>
      </c>
      <c r="G2892" s="1">
        <v>54</v>
      </c>
      <c r="H2892" s="1" t="str">
        <f t="shared" si="182"/>
        <v>High</v>
      </c>
      <c r="I2892" s="1" t="str">
        <f t="shared" si="183"/>
        <v>Other</v>
      </c>
      <c r="J2892" s="1">
        <f t="shared" si="184"/>
        <v>91565.25</v>
      </c>
    </row>
    <row r="2893" spans="1:10" ht="12.75">
      <c r="A2893" s="1" t="s">
        <v>17</v>
      </c>
      <c r="B2893" s="1" t="s">
        <v>59</v>
      </c>
      <c r="C2893" s="1" t="s">
        <v>102</v>
      </c>
      <c r="D2893" s="2">
        <v>45295</v>
      </c>
      <c r="E2893" s="1" t="s">
        <v>2689</v>
      </c>
      <c r="F2893" s="5">
        <f t="shared" si="181"/>
        <v>15629.82</v>
      </c>
      <c r="G2893" s="1">
        <v>89</v>
      </c>
      <c r="H2893" s="1" t="str">
        <f t="shared" si="182"/>
        <v>High</v>
      </c>
      <c r="I2893" s="1" t="str">
        <f t="shared" si="183"/>
        <v>Other</v>
      </c>
      <c r="J2893" s="1">
        <f t="shared" si="184"/>
        <v>91565.25</v>
      </c>
    </row>
    <row r="2894" spans="1:10" ht="12.75">
      <c r="A2894" s="1" t="s">
        <v>14</v>
      </c>
      <c r="B2894" s="1" t="s">
        <v>5</v>
      </c>
      <c r="C2894" s="1" t="s">
        <v>122</v>
      </c>
      <c r="D2894" s="2">
        <v>45304</v>
      </c>
      <c r="E2894" s="1" t="s">
        <v>2690</v>
      </c>
      <c r="F2894" s="5">
        <f t="shared" si="181"/>
        <v>6224.33</v>
      </c>
      <c r="G2894" s="1">
        <v>100</v>
      </c>
      <c r="H2894" s="1" t="str">
        <f t="shared" si="182"/>
        <v>High</v>
      </c>
      <c r="I2894" s="1" t="str">
        <f t="shared" si="183"/>
        <v>Other</v>
      </c>
      <c r="J2894" s="1">
        <f t="shared" si="184"/>
        <v>91565.25</v>
      </c>
    </row>
    <row r="2895" spans="1:10" ht="12.75">
      <c r="A2895" s="1" t="s">
        <v>29</v>
      </c>
      <c r="B2895" s="1" t="s">
        <v>54</v>
      </c>
      <c r="C2895" s="1" t="s">
        <v>81</v>
      </c>
      <c r="D2895" s="2">
        <v>45484</v>
      </c>
      <c r="E2895" s="1" t="s">
        <v>2691</v>
      </c>
      <c r="F2895" s="5">
        <f t="shared" si="181"/>
        <v>7736.85</v>
      </c>
      <c r="G2895" s="1">
        <v>95</v>
      </c>
      <c r="H2895" s="1" t="str">
        <f t="shared" si="182"/>
        <v>High</v>
      </c>
      <c r="I2895" s="1" t="str">
        <f t="shared" si="183"/>
        <v>Other</v>
      </c>
      <c r="J2895" s="1">
        <f t="shared" si="184"/>
        <v>91565.25</v>
      </c>
    </row>
    <row r="2896" spans="1:10" ht="12.75">
      <c r="A2896" s="1" t="s">
        <v>8</v>
      </c>
      <c r="B2896" s="1" t="s">
        <v>5</v>
      </c>
      <c r="C2896" s="1" t="s">
        <v>40</v>
      </c>
      <c r="D2896" s="2">
        <v>45429</v>
      </c>
      <c r="E2896" s="1" t="s">
        <v>2692</v>
      </c>
      <c r="F2896" s="5">
        <f t="shared" si="181"/>
        <v>4860.75</v>
      </c>
      <c r="G2896" s="1">
        <v>162</v>
      </c>
      <c r="H2896" s="1" t="str">
        <f t="shared" si="182"/>
        <v>High</v>
      </c>
      <c r="I2896" s="1" t="str">
        <f t="shared" si="183"/>
        <v>Other</v>
      </c>
      <c r="J2896" s="1">
        <f t="shared" si="184"/>
        <v>91565.25</v>
      </c>
    </row>
    <row r="2897" spans="1:10" ht="12.75">
      <c r="A2897" s="1" t="s">
        <v>25</v>
      </c>
      <c r="B2897" s="1" t="s">
        <v>54</v>
      </c>
      <c r="C2897" s="1" t="s">
        <v>45</v>
      </c>
      <c r="D2897" s="2">
        <v>45494</v>
      </c>
      <c r="E2897" s="1" t="s">
        <v>2693</v>
      </c>
      <c r="F2897" s="5">
        <f t="shared" si="181"/>
        <v>1754.64</v>
      </c>
      <c r="G2897" s="1">
        <v>62</v>
      </c>
      <c r="H2897" s="1" t="str">
        <f t="shared" si="182"/>
        <v>High</v>
      </c>
      <c r="I2897" s="1" t="str">
        <f t="shared" si="183"/>
        <v>Other</v>
      </c>
      <c r="J2897" s="1">
        <f t="shared" si="184"/>
        <v>91565.25</v>
      </c>
    </row>
    <row r="2898" spans="1:10" ht="12.75">
      <c r="A2898" s="1" t="s">
        <v>24</v>
      </c>
      <c r="B2898" s="1" t="s">
        <v>62</v>
      </c>
      <c r="C2898" s="1" t="s">
        <v>68</v>
      </c>
      <c r="D2898" s="2">
        <v>45344</v>
      </c>
      <c r="E2898" s="1" t="s">
        <v>2694</v>
      </c>
      <c r="F2898" s="5">
        <f t="shared" si="181"/>
        <v>897.13</v>
      </c>
      <c r="G2898" s="1">
        <v>24</v>
      </c>
      <c r="H2898" s="1" t="str">
        <f t="shared" si="182"/>
        <v>High</v>
      </c>
      <c r="I2898" s="1" t="str">
        <f t="shared" si="183"/>
        <v>Other</v>
      </c>
      <c r="J2898" s="1">
        <f t="shared" si="184"/>
        <v>91565.25</v>
      </c>
    </row>
    <row r="2899" spans="1:10" ht="12.75">
      <c r="A2899" s="1" t="s">
        <v>15</v>
      </c>
      <c r="B2899" s="1" t="s">
        <v>42</v>
      </c>
      <c r="C2899" s="1" t="s">
        <v>51</v>
      </c>
      <c r="D2899" s="2">
        <v>45435</v>
      </c>
      <c r="E2899" s="1" t="s">
        <v>2695</v>
      </c>
      <c r="F2899" s="5">
        <f t="shared" si="181"/>
        <v>10607.29</v>
      </c>
      <c r="G2899" s="1">
        <v>182</v>
      </c>
      <c r="H2899" s="1" t="str">
        <f t="shared" si="182"/>
        <v>High</v>
      </c>
      <c r="I2899" s="1" t="str">
        <f t="shared" si="183"/>
        <v>Other</v>
      </c>
      <c r="J2899" s="1">
        <f t="shared" si="184"/>
        <v>91565.25</v>
      </c>
    </row>
    <row r="2900" spans="1:10" ht="12.75">
      <c r="A2900" s="1" t="s">
        <v>19</v>
      </c>
      <c r="B2900" s="1" t="s">
        <v>62</v>
      </c>
      <c r="C2900" s="1" t="s">
        <v>65</v>
      </c>
      <c r="D2900" s="2">
        <v>45485</v>
      </c>
      <c r="E2900" s="1" t="s">
        <v>2696</v>
      </c>
      <c r="F2900" s="5">
        <f t="shared" si="181"/>
        <v>10772</v>
      </c>
      <c r="G2900" s="1">
        <v>192</v>
      </c>
      <c r="H2900" s="1" t="str">
        <f t="shared" si="182"/>
        <v>High</v>
      </c>
      <c r="I2900" s="1" t="str">
        <f t="shared" si="183"/>
        <v>Other</v>
      </c>
      <c r="J2900" s="1">
        <f t="shared" si="184"/>
        <v>91565.25</v>
      </c>
    </row>
    <row r="2901" spans="1:10" ht="12.75">
      <c r="A2901" s="1" t="s">
        <v>15</v>
      </c>
      <c r="B2901" s="1" t="s">
        <v>39</v>
      </c>
      <c r="C2901" s="1" t="s">
        <v>60</v>
      </c>
      <c r="D2901" s="2">
        <v>45458</v>
      </c>
      <c r="E2901" s="1" t="s">
        <v>2697</v>
      </c>
      <c r="F2901" s="5">
        <f t="shared" si="181"/>
        <v>4116.96</v>
      </c>
      <c r="G2901" s="1">
        <v>203</v>
      </c>
      <c r="H2901" s="1" t="str">
        <f t="shared" si="182"/>
        <v>High</v>
      </c>
      <c r="I2901" s="1" t="str">
        <f t="shared" si="183"/>
        <v>Other</v>
      </c>
      <c r="J2901" s="1">
        <f t="shared" si="184"/>
        <v>91565.25</v>
      </c>
    </row>
    <row r="2902" spans="1:10" ht="12.75">
      <c r="A2902" s="1" t="s">
        <v>16</v>
      </c>
      <c r="B2902" s="1" t="s">
        <v>54</v>
      </c>
      <c r="C2902" s="1" t="s">
        <v>55</v>
      </c>
      <c r="D2902" s="2">
        <v>45466</v>
      </c>
      <c r="E2902" s="1" t="s">
        <v>2698</v>
      </c>
      <c r="F2902" s="5">
        <f t="shared" si="181"/>
        <v>5185.3599999999997</v>
      </c>
      <c r="G2902" s="1">
        <v>321</v>
      </c>
      <c r="H2902" s="1" t="str">
        <f t="shared" si="182"/>
        <v>High</v>
      </c>
      <c r="I2902" s="1" t="str">
        <f t="shared" si="183"/>
        <v>Other</v>
      </c>
      <c r="J2902" s="1">
        <f t="shared" si="184"/>
        <v>91565.25</v>
      </c>
    </row>
    <row r="2903" spans="1:10" ht="12.75">
      <c r="A2903" s="1" t="s">
        <v>24</v>
      </c>
      <c r="B2903" s="1" t="s">
        <v>5</v>
      </c>
      <c r="C2903" s="1" t="s">
        <v>63</v>
      </c>
      <c r="D2903" s="2">
        <v>45376</v>
      </c>
      <c r="E2903" s="1" t="s">
        <v>2699</v>
      </c>
      <c r="F2903" s="5">
        <f t="shared" si="181"/>
        <v>6974.95</v>
      </c>
      <c r="G2903" s="1">
        <v>58</v>
      </c>
      <c r="H2903" s="1" t="str">
        <f t="shared" si="182"/>
        <v>High</v>
      </c>
      <c r="I2903" s="1" t="str">
        <f t="shared" si="183"/>
        <v>Other</v>
      </c>
      <c r="J2903" s="1">
        <f t="shared" si="184"/>
        <v>91565.25</v>
      </c>
    </row>
    <row r="2904" spans="1:10" ht="12.75">
      <c r="A2904" s="1" t="s">
        <v>15</v>
      </c>
      <c r="B2904" s="1" t="s">
        <v>42</v>
      </c>
      <c r="C2904" s="1" t="s">
        <v>126</v>
      </c>
      <c r="D2904" s="2">
        <v>45477</v>
      </c>
      <c r="E2904" s="1" t="s">
        <v>2700</v>
      </c>
      <c r="F2904" s="5">
        <f t="shared" si="181"/>
        <v>99.5</v>
      </c>
      <c r="G2904" s="1">
        <v>161</v>
      </c>
      <c r="H2904" s="1" t="str">
        <f t="shared" si="182"/>
        <v>Low</v>
      </c>
      <c r="I2904" s="1" t="str">
        <f t="shared" si="183"/>
        <v>Other</v>
      </c>
      <c r="J2904" s="1">
        <f t="shared" si="184"/>
        <v>91565.25</v>
      </c>
    </row>
    <row r="2905" spans="1:10" ht="12.75">
      <c r="A2905" s="1" t="s">
        <v>27</v>
      </c>
      <c r="B2905" s="1" t="s">
        <v>39</v>
      </c>
      <c r="C2905" s="1" t="s">
        <v>84</v>
      </c>
      <c r="D2905" s="2">
        <v>45424</v>
      </c>
      <c r="E2905" s="1" t="s">
        <v>2701</v>
      </c>
      <c r="F2905" s="5">
        <f t="shared" si="181"/>
        <v>10203.469999999999</v>
      </c>
      <c r="G2905" s="1">
        <v>109</v>
      </c>
      <c r="H2905" s="1" t="str">
        <f t="shared" si="182"/>
        <v>High</v>
      </c>
      <c r="I2905" s="1" t="str">
        <f t="shared" si="183"/>
        <v>Other</v>
      </c>
      <c r="J2905" s="1">
        <f t="shared" si="184"/>
        <v>91565.25</v>
      </c>
    </row>
    <row r="2906" spans="1:10" ht="12.75">
      <c r="A2906" s="1" t="s">
        <v>25</v>
      </c>
      <c r="B2906" s="1" t="s">
        <v>54</v>
      </c>
      <c r="C2906" s="1" t="s">
        <v>100</v>
      </c>
      <c r="D2906" s="2">
        <v>45386</v>
      </c>
      <c r="E2906" s="1" t="s">
        <v>2702</v>
      </c>
      <c r="F2906" s="5">
        <f t="shared" si="181"/>
        <v>5081.5200000000004</v>
      </c>
      <c r="G2906" s="1">
        <v>148</v>
      </c>
      <c r="H2906" s="1" t="str">
        <f t="shared" si="182"/>
        <v>High</v>
      </c>
      <c r="I2906" s="1" t="str">
        <f t="shared" si="183"/>
        <v>Other</v>
      </c>
      <c r="J2906" s="1">
        <f t="shared" si="184"/>
        <v>91565.25</v>
      </c>
    </row>
    <row r="2907" spans="1:10" ht="12.75">
      <c r="A2907" s="1" t="s">
        <v>9</v>
      </c>
      <c r="B2907" s="1" t="s">
        <v>5</v>
      </c>
      <c r="C2907" s="1" t="s">
        <v>60</v>
      </c>
      <c r="D2907" s="2">
        <v>45397</v>
      </c>
      <c r="E2907" s="1" t="s">
        <v>2703</v>
      </c>
      <c r="F2907" s="5">
        <f t="shared" si="181"/>
        <v>7166.62</v>
      </c>
      <c r="G2907" s="1">
        <v>381</v>
      </c>
      <c r="H2907" s="1" t="str">
        <f t="shared" si="182"/>
        <v>High</v>
      </c>
      <c r="I2907" s="1" t="str">
        <f t="shared" si="183"/>
        <v>Other</v>
      </c>
      <c r="J2907" s="1">
        <f t="shared" si="184"/>
        <v>91565.25</v>
      </c>
    </row>
    <row r="2908" spans="1:10" ht="12.75">
      <c r="A2908" s="1" t="s">
        <v>26</v>
      </c>
      <c r="B2908" s="1" t="s">
        <v>62</v>
      </c>
      <c r="C2908" s="1" t="s">
        <v>63</v>
      </c>
      <c r="D2908" s="2">
        <v>45359</v>
      </c>
      <c r="E2908" s="1" t="s">
        <v>2704</v>
      </c>
      <c r="F2908" s="5">
        <f t="shared" si="181"/>
        <v>7026.54</v>
      </c>
      <c r="G2908" s="1">
        <v>95</v>
      </c>
      <c r="H2908" s="1" t="str">
        <f t="shared" si="182"/>
        <v>High</v>
      </c>
      <c r="I2908" s="1" t="str">
        <f t="shared" si="183"/>
        <v>Other</v>
      </c>
      <c r="J2908" s="1">
        <f t="shared" si="184"/>
        <v>91565.25</v>
      </c>
    </row>
    <row r="2909" spans="1:10" ht="12.75">
      <c r="A2909" s="1" t="s">
        <v>18</v>
      </c>
      <c r="B2909" s="1" t="s">
        <v>42</v>
      </c>
      <c r="C2909" s="1" t="s">
        <v>84</v>
      </c>
      <c r="D2909" s="2">
        <v>45308</v>
      </c>
      <c r="E2909" s="1" t="s">
        <v>2705</v>
      </c>
      <c r="F2909" s="5">
        <f t="shared" si="181"/>
        <v>8265.32</v>
      </c>
      <c r="G2909" s="1">
        <v>251</v>
      </c>
      <c r="H2909" s="1" t="str">
        <f t="shared" si="182"/>
        <v>High</v>
      </c>
      <c r="I2909" s="1" t="str">
        <f t="shared" si="183"/>
        <v>Other</v>
      </c>
      <c r="J2909" s="1">
        <f t="shared" si="184"/>
        <v>91565.25</v>
      </c>
    </row>
    <row r="2910" spans="1:10" ht="12.75">
      <c r="A2910" s="1" t="s">
        <v>29</v>
      </c>
      <c r="B2910" s="1" t="s">
        <v>42</v>
      </c>
      <c r="C2910" s="1" t="s">
        <v>40</v>
      </c>
      <c r="D2910" s="2">
        <v>45526</v>
      </c>
      <c r="E2910" s="1" t="s">
        <v>2706</v>
      </c>
      <c r="F2910" s="5">
        <f t="shared" si="181"/>
        <v>1516.19</v>
      </c>
      <c r="G2910" s="1">
        <v>53</v>
      </c>
      <c r="H2910" s="1" t="str">
        <f t="shared" si="182"/>
        <v>High</v>
      </c>
      <c r="I2910" s="1" t="str">
        <f t="shared" si="183"/>
        <v>Other</v>
      </c>
      <c r="J2910" s="1">
        <f t="shared" si="184"/>
        <v>91565.25</v>
      </c>
    </row>
    <row r="2911" spans="1:10" ht="12.75">
      <c r="A2911" s="1" t="s">
        <v>27</v>
      </c>
      <c r="B2911" s="1" t="s">
        <v>39</v>
      </c>
      <c r="C2911" s="1" t="s">
        <v>51</v>
      </c>
      <c r="D2911" s="2">
        <v>45498</v>
      </c>
      <c r="E2911" s="1" t="s">
        <v>2707</v>
      </c>
      <c r="F2911" s="5">
        <f t="shared" si="181"/>
        <v>1258.54</v>
      </c>
      <c r="G2911" s="1">
        <v>72</v>
      </c>
      <c r="H2911" s="1" t="str">
        <f t="shared" si="182"/>
        <v>High</v>
      </c>
      <c r="I2911" s="1" t="str">
        <f t="shared" si="183"/>
        <v>Other</v>
      </c>
      <c r="J2911" s="1">
        <f t="shared" si="184"/>
        <v>91565.25</v>
      </c>
    </row>
    <row r="2912" spans="1:10" ht="12.75">
      <c r="A2912" s="1" t="s">
        <v>14</v>
      </c>
      <c r="B2912" s="1" t="s">
        <v>39</v>
      </c>
      <c r="C2912" s="1" t="s">
        <v>55</v>
      </c>
      <c r="D2912" s="2">
        <v>45457</v>
      </c>
      <c r="E2912" s="1" t="s">
        <v>2708</v>
      </c>
      <c r="F2912" s="5">
        <f t="shared" si="181"/>
        <v>3506.38</v>
      </c>
      <c r="G2912" s="1">
        <v>126</v>
      </c>
      <c r="H2912" s="1" t="str">
        <f t="shared" si="182"/>
        <v>High</v>
      </c>
      <c r="I2912" s="1" t="str">
        <f t="shared" si="183"/>
        <v>Other</v>
      </c>
      <c r="J2912" s="1">
        <f t="shared" si="184"/>
        <v>91565.25</v>
      </c>
    </row>
    <row r="2913" spans="1:10" ht="12.75">
      <c r="A2913" s="1" t="s">
        <v>17</v>
      </c>
      <c r="B2913" s="1" t="s">
        <v>42</v>
      </c>
      <c r="C2913" s="1" t="s">
        <v>102</v>
      </c>
      <c r="D2913" s="2">
        <v>45387</v>
      </c>
      <c r="E2913" s="1" t="s">
        <v>719</v>
      </c>
      <c r="F2913" s="5">
        <f t="shared" si="181"/>
        <v>10969</v>
      </c>
      <c r="G2913" s="1">
        <v>83</v>
      </c>
      <c r="H2913" s="1" t="str">
        <f t="shared" si="182"/>
        <v>High</v>
      </c>
      <c r="I2913" s="1" t="str">
        <f t="shared" si="183"/>
        <v>Other</v>
      </c>
      <c r="J2913" s="1">
        <f t="shared" si="184"/>
        <v>91565.25</v>
      </c>
    </row>
    <row r="2914" spans="1:10" ht="12.75">
      <c r="A2914" s="1" t="s">
        <v>9</v>
      </c>
      <c r="B2914" s="1" t="s">
        <v>39</v>
      </c>
      <c r="C2914" s="1" t="s">
        <v>100</v>
      </c>
      <c r="D2914" s="2">
        <v>45530</v>
      </c>
      <c r="E2914" s="1" t="s">
        <v>2709</v>
      </c>
      <c r="F2914" s="5">
        <f t="shared" si="181"/>
        <v>8442.19</v>
      </c>
      <c r="G2914" s="1">
        <v>347</v>
      </c>
      <c r="H2914" s="1" t="str">
        <f t="shared" si="182"/>
        <v>High</v>
      </c>
      <c r="I2914" s="1" t="str">
        <f t="shared" si="183"/>
        <v>Other</v>
      </c>
      <c r="J2914" s="1">
        <f t="shared" si="184"/>
        <v>91565.25</v>
      </c>
    </row>
    <row r="2915" spans="1:10" ht="12.75">
      <c r="A2915" s="1" t="s">
        <v>29</v>
      </c>
      <c r="B2915" s="1" t="s">
        <v>5</v>
      </c>
      <c r="C2915" s="1" t="s">
        <v>55</v>
      </c>
      <c r="D2915" s="2">
        <v>45507</v>
      </c>
      <c r="E2915" s="1" t="s">
        <v>2710</v>
      </c>
      <c r="F2915" s="5">
        <f t="shared" si="181"/>
        <v>11000.85</v>
      </c>
      <c r="G2915" s="1">
        <v>112</v>
      </c>
      <c r="H2915" s="1" t="str">
        <f t="shared" si="182"/>
        <v>High</v>
      </c>
      <c r="I2915" s="1" t="str">
        <f t="shared" si="183"/>
        <v>Other</v>
      </c>
      <c r="J2915" s="1">
        <f t="shared" si="184"/>
        <v>91565.25</v>
      </c>
    </row>
    <row r="2916" spans="1:10" ht="12.75">
      <c r="A2916" s="1" t="s">
        <v>20</v>
      </c>
      <c r="B2916" s="1" t="s">
        <v>62</v>
      </c>
      <c r="C2916" s="1" t="s">
        <v>84</v>
      </c>
      <c r="D2916" s="2">
        <v>45484</v>
      </c>
      <c r="E2916" s="1" t="s">
        <v>2711</v>
      </c>
      <c r="F2916" s="5">
        <f t="shared" si="181"/>
        <v>6987.59</v>
      </c>
      <c r="G2916" s="1">
        <v>4</v>
      </c>
      <c r="H2916" s="1" t="str">
        <f t="shared" si="182"/>
        <v>High</v>
      </c>
      <c r="I2916" s="1" t="str">
        <f t="shared" si="183"/>
        <v>Other</v>
      </c>
      <c r="J2916" s="1">
        <f t="shared" si="184"/>
        <v>91565.25</v>
      </c>
    </row>
    <row r="2917" spans="1:10" ht="12.75">
      <c r="A2917" s="1" t="s">
        <v>29</v>
      </c>
      <c r="B2917" s="1" t="s">
        <v>54</v>
      </c>
      <c r="C2917" s="1" t="s">
        <v>63</v>
      </c>
      <c r="D2917" s="2">
        <v>45362</v>
      </c>
      <c r="E2917" s="1" t="s">
        <v>2712</v>
      </c>
      <c r="F2917" s="5">
        <f t="shared" si="181"/>
        <v>3735</v>
      </c>
      <c r="G2917" s="1">
        <v>21</v>
      </c>
      <c r="H2917" s="1" t="str">
        <f t="shared" si="182"/>
        <v>High</v>
      </c>
      <c r="I2917" s="1" t="str">
        <f t="shared" si="183"/>
        <v>Other</v>
      </c>
      <c r="J2917" s="1">
        <f t="shared" si="184"/>
        <v>91565.25</v>
      </c>
    </row>
    <row r="2918" spans="1:10" ht="12.75">
      <c r="A2918" s="1" t="s">
        <v>7</v>
      </c>
      <c r="B2918" s="1" t="s">
        <v>39</v>
      </c>
      <c r="C2918" s="1" t="s">
        <v>45</v>
      </c>
      <c r="D2918" s="2">
        <v>45301</v>
      </c>
      <c r="E2918" s="1" t="s">
        <v>2713</v>
      </c>
      <c r="F2918" s="5">
        <f t="shared" si="181"/>
        <v>17346.79</v>
      </c>
      <c r="G2918" s="1">
        <v>32</v>
      </c>
      <c r="H2918" s="1" t="str">
        <f t="shared" si="182"/>
        <v>High</v>
      </c>
      <c r="I2918" s="1" t="str">
        <f t="shared" si="183"/>
        <v>Other</v>
      </c>
      <c r="J2918" s="1">
        <f t="shared" si="184"/>
        <v>91565.25</v>
      </c>
    </row>
    <row r="2919" spans="1:10" ht="12.75">
      <c r="A2919" s="1" t="s">
        <v>26</v>
      </c>
      <c r="B2919" s="1" t="s">
        <v>39</v>
      </c>
      <c r="C2919" s="1" t="s">
        <v>122</v>
      </c>
      <c r="D2919" s="2">
        <v>45386</v>
      </c>
      <c r="E2919" s="1" t="s">
        <v>2714</v>
      </c>
      <c r="F2919" s="5">
        <f t="shared" si="181"/>
        <v>16517.2</v>
      </c>
      <c r="G2919" s="1">
        <v>349</v>
      </c>
      <c r="H2919" s="1" t="str">
        <f t="shared" si="182"/>
        <v>High</v>
      </c>
      <c r="I2919" s="1" t="str">
        <f t="shared" si="183"/>
        <v>Other</v>
      </c>
      <c r="J2919" s="1">
        <f t="shared" si="184"/>
        <v>91565.25</v>
      </c>
    </row>
    <row r="2920" spans="1:10" ht="12.75">
      <c r="A2920" s="1" t="s">
        <v>18</v>
      </c>
      <c r="B2920" s="1" t="s">
        <v>5</v>
      </c>
      <c r="C2920" s="1" t="s">
        <v>55</v>
      </c>
      <c r="D2920" s="2">
        <v>45308</v>
      </c>
      <c r="E2920" s="1" t="s">
        <v>2715</v>
      </c>
      <c r="F2920" s="5">
        <f t="shared" si="181"/>
        <v>7642.94</v>
      </c>
      <c r="G2920" s="1">
        <v>778</v>
      </c>
      <c r="H2920" s="1" t="str">
        <f t="shared" si="182"/>
        <v>High</v>
      </c>
      <c r="I2920" s="1" t="str">
        <f t="shared" si="183"/>
        <v>Other</v>
      </c>
      <c r="J2920" s="1">
        <f t="shared" si="184"/>
        <v>91565.25</v>
      </c>
    </row>
    <row r="2921" spans="1:10" ht="12.75">
      <c r="A2921" s="1" t="s">
        <v>14</v>
      </c>
      <c r="B2921" s="1" t="s">
        <v>54</v>
      </c>
      <c r="C2921" s="1" t="s">
        <v>68</v>
      </c>
      <c r="D2921" s="2">
        <v>45481</v>
      </c>
      <c r="E2921" s="1" t="s">
        <v>2716</v>
      </c>
      <c r="F2921" s="5">
        <f t="shared" si="181"/>
        <v>10337.23</v>
      </c>
      <c r="G2921" s="1">
        <v>49</v>
      </c>
      <c r="H2921" s="1" t="str">
        <f t="shared" si="182"/>
        <v>High</v>
      </c>
      <c r="I2921" s="1" t="str">
        <f t="shared" si="183"/>
        <v>Other</v>
      </c>
      <c r="J2921" s="1">
        <f t="shared" si="184"/>
        <v>91565.25</v>
      </c>
    </row>
    <row r="2922" spans="1:10" ht="12.75">
      <c r="A2922" s="1" t="s">
        <v>15</v>
      </c>
      <c r="B2922" s="1" t="s">
        <v>39</v>
      </c>
      <c r="C2922" s="1" t="s">
        <v>68</v>
      </c>
      <c r="D2922" s="2">
        <v>45394</v>
      </c>
      <c r="E2922" s="1" t="s">
        <v>2717</v>
      </c>
      <c r="F2922" s="5">
        <f t="shared" si="181"/>
        <v>1367.24</v>
      </c>
      <c r="G2922" s="1">
        <v>384</v>
      </c>
      <c r="H2922" s="1" t="str">
        <f t="shared" si="182"/>
        <v>High</v>
      </c>
      <c r="I2922" s="1" t="str">
        <f t="shared" si="183"/>
        <v>Other</v>
      </c>
      <c r="J2922" s="1">
        <f t="shared" si="184"/>
        <v>91565.25</v>
      </c>
    </row>
    <row r="2923" spans="1:10" ht="12.75">
      <c r="A2923" s="1" t="s">
        <v>19</v>
      </c>
      <c r="B2923" s="1" t="s">
        <v>62</v>
      </c>
      <c r="C2923" s="1" t="s">
        <v>81</v>
      </c>
      <c r="D2923" s="2">
        <v>45528</v>
      </c>
      <c r="E2923" s="1" t="s">
        <v>2718</v>
      </c>
      <c r="F2923" s="5">
        <f t="shared" si="181"/>
        <v>570.58000000000004</v>
      </c>
      <c r="G2923" s="1">
        <v>191</v>
      </c>
      <c r="H2923" s="1" t="str">
        <f t="shared" si="182"/>
        <v>Medium</v>
      </c>
      <c r="I2923" s="1" t="str">
        <f t="shared" si="183"/>
        <v>Other</v>
      </c>
      <c r="J2923" s="1">
        <f t="shared" si="184"/>
        <v>91565.25</v>
      </c>
    </row>
    <row r="2924" spans="1:10" ht="12.75">
      <c r="A2924" s="1" t="s">
        <v>17</v>
      </c>
      <c r="B2924" s="1" t="s">
        <v>39</v>
      </c>
      <c r="C2924" s="1" t="s">
        <v>102</v>
      </c>
      <c r="D2924" s="2">
        <v>45450</v>
      </c>
      <c r="E2924" s="1" t="s">
        <v>2719</v>
      </c>
      <c r="F2924" s="5">
        <f t="shared" si="181"/>
        <v>2012.27</v>
      </c>
      <c r="G2924" s="1">
        <v>259</v>
      </c>
      <c r="H2924" s="1" t="str">
        <f t="shared" si="182"/>
        <v>High</v>
      </c>
      <c r="I2924" s="1" t="str">
        <f t="shared" si="183"/>
        <v>Other</v>
      </c>
      <c r="J2924" s="1">
        <f t="shared" si="184"/>
        <v>91565.25</v>
      </c>
    </row>
    <row r="2925" spans="1:10" ht="12.75">
      <c r="A2925" s="1" t="s">
        <v>23</v>
      </c>
      <c r="B2925" s="1" t="s">
        <v>62</v>
      </c>
      <c r="C2925" s="1" t="s">
        <v>91</v>
      </c>
      <c r="D2925" s="2">
        <v>45501</v>
      </c>
      <c r="E2925" s="1" t="s">
        <v>2720</v>
      </c>
      <c r="F2925" s="5">
        <f t="shared" si="181"/>
        <v>1469.24</v>
      </c>
      <c r="G2925" s="1">
        <v>29</v>
      </c>
      <c r="H2925" s="1" t="str">
        <f t="shared" si="182"/>
        <v>High</v>
      </c>
      <c r="I2925" s="1" t="str">
        <f t="shared" si="183"/>
        <v>Other</v>
      </c>
      <c r="J2925" s="1">
        <f t="shared" si="184"/>
        <v>91565.25</v>
      </c>
    </row>
    <row r="2926" spans="1:10" ht="12.75">
      <c r="A2926" s="1" t="s">
        <v>13</v>
      </c>
      <c r="B2926" s="1" t="s">
        <v>59</v>
      </c>
      <c r="C2926" s="1" t="s">
        <v>51</v>
      </c>
      <c r="D2926" s="2">
        <v>45343</v>
      </c>
      <c r="E2926" s="1" t="s">
        <v>2721</v>
      </c>
      <c r="F2926" s="5">
        <f t="shared" si="181"/>
        <v>10020.18</v>
      </c>
      <c r="G2926" s="1">
        <v>113</v>
      </c>
      <c r="H2926" s="1" t="str">
        <f t="shared" si="182"/>
        <v>High</v>
      </c>
      <c r="I2926" s="1" t="str">
        <f t="shared" si="183"/>
        <v>Other</v>
      </c>
      <c r="J2926" s="1">
        <f t="shared" si="184"/>
        <v>91565.25</v>
      </c>
    </row>
    <row r="2927" spans="1:10" ht="12.75">
      <c r="A2927" s="1" t="s">
        <v>6</v>
      </c>
      <c r="B2927" s="1" t="s">
        <v>62</v>
      </c>
      <c r="C2927" s="1" t="s">
        <v>40</v>
      </c>
      <c r="D2927" s="2">
        <v>45390</v>
      </c>
      <c r="E2927" s="1" t="s">
        <v>2722</v>
      </c>
      <c r="F2927" s="5">
        <f t="shared" si="181"/>
        <v>1914.65</v>
      </c>
      <c r="G2927" s="1">
        <v>304</v>
      </c>
      <c r="H2927" s="1" t="str">
        <f t="shared" si="182"/>
        <v>High</v>
      </c>
      <c r="I2927" s="1" t="str">
        <f t="shared" si="183"/>
        <v>Other</v>
      </c>
      <c r="J2927" s="1">
        <f t="shared" si="184"/>
        <v>91565.25</v>
      </c>
    </row>
    <row r="2928" spans="1:10" ht="12.75">
      <c r="A2928" s="1" t="s">
        <v>7</v>
      </c>
      <c r="B2928" s="1" t="s">
        <v>39</v>
      </c>
      <c r="C2928" s="1" t="s">
        <v>86</v>
      </c>
      <c r="D2928" s="2">
        <v>45471</v>
      </c>
      <c r="E2928" s="1" t="s">
        <v>2723</v>
      </c>
      <c r="F2928" s="5">
        <f t="shared" si="181"/>
        <v>73.91</v>
      </c>
      <c r="G2928" s="1">
        <v>101</v>
      </c>
      <c r="H2928" s="1" t="str">
        <f t="shared" si="182"/>
        <v>Low</v>
      </c>
      <c r="I2928" s="1" t="str">
        <f t="shared" si="183"/>
        <v>Other</v>
      </c>
      <c r="J2928" s="1">
        <f t="shared" si="184"/>
        <v>91565.25</v>
      </c>
    </row>
    <row r="2929" spans="1:10" ht="12.75">
      <c r="A2929" s="1" t="s">
        <v>10</v>
      </c>
      <c r="B2929" s="1" t="s">
        <v>39</v>
      </c>
      <c r="C2929" s="1" t="s">
        <v>122</v>
      </c>
      <c r="D2929" s="2">
        <v>45375</v>
      </c>
      <c r="E2929" s="1" t="s">
        <v>2724</v>
      </c>
      <c r="F2929" s="5">
        <f t="shared" si="181"/>
        <v>2794.33</v>
      </c>
      <c r="G2929" s="1">
        <v>21</v>
      </c>
      <c r="H2929" s="1" t="str">
        <f t="shared" si="182"/>
        <v>High</v>
      </c>
      <c r="I2929" s="1" t="str">
        <f t="shared" si="183"/>
        <v>Other</v>
      </c>
      <c r="J2929" s="1">
        <f t="shared" si="184"/>
        <v>91565.25</v>
      </c>
    </row>
    <row r="2930" spans="1:10" ht="12.75">
      <c r="A2930" s="1" t="s">
        <v>16</v>
      </c>
      <c r="B2930" s="1" t="s">
        <v>5</v>
      </c>
      <c r="C2930" s="1" t="s">
        <v>126</v>
      </c>
      <c r="D2930" s="2">
        <v>45502</v>
      </c>
      <c r="E2930" s="1" t="s">
        <v>2725</v>
      </c>
      <c r="F2930" s="5">
        <f t="shared" si="181"/>
        <v>3192.06</v>
      </c>
      <c r="G2930" s="1">
        <v>54</v>
      </c>
      <c r="H2930" s="1" t="str">
        <f t="shared" si="182"/>
        <v>High</v>
      </c>
      <c r="I2930" s="1" t="str">
        <f t="shared" si="183"/>
        <v>Other</v>
      </c>
      <c r="J2930" s="1">
        <f t="shared" si="184"/>
        <v>91565.25</v>
      </c>
    </row>
    <row r="2931" spans="1:10" ht="12.75">
      <c r="A2931" s="1" t="s">
        <v>6</v>
      </c>
      <c r="B2931" s="1" t="s">
        <v>59</v>
      </c>
      <c r="C2931" s="1" t="s">
        <v>63</v>
      </c>
      <c r="D2931" s="2">
        <v>45437</v>
      </c>
      <c r="E2931" s="1" t="s">
        <v>2726</v>
      </c>
      <c r="F2931" s="5">
        <f t="shared" si="181"/>
        <v>2447.37</v>
      </c>
      <c r="G2931" s="1">
        <v>98</v>
      </c>
      <c r="H2931" s="1" t="str">
        <f t="shared" si="182"/>
        <v>High</v>
      </c>
      <c r="I2931" s="1" t="str">
        <f t="shared" si="183"/>
        <v>Other</v>
      </c>
      <c r="J2931" s="1">
        <f t="shared" si="184"/>
        <v>91565.25</v>
      </c>
    </row>
    <row r="2932" spans="1:10" ht="12.75">
      <c r="A2932" s="1" t="s">
        <v>20</v>
      </c>
      <c r="B2932" s="1" t="s">
        <v>5</v>
      </c>
      <c r="C2932" s="1" t="s">
        <v>100</v>
      </c>
      <c r="D2932" s="2">
        <v>45381</v>
      </c>
      <c r="E2932" s="1" t="s">
        <v>2727</v>
      </c>
      <c r="F2932" s="5">
        <f t="shared" si="181"/>
        <v>7696.46</v>
      </c>
      <c r="G2932" s="1">
        <v>313</v>
      </c>
      <c r="H2932" s="1" t="str">
        <f t="shared" si="182"/>
        <v>High</v>
      </c>
      <c r="I2932" s="1" t="str">
        <f t="shared" si="183"/>
        <v>Other</v>
      </c>
      <c r="J2932" s="1">
        <f t="shared" si="184"/>
        <v>91565.25</v>
      </c>
    </row>
    <row r="2933" spans="1:10" ht="12.75">
      <c r="A2933" s="1" t="s">
        <v>6</v>
      </c>
      <c r="B2933" s="1" t="s">
        <v>59</v>
      </c>
      <c r="C2933" s="1" t="s">
        <v>68</v>
      </c>
      <c r="D2933" s="2">
        <v>45491</v>
      </c>
      <c r="E2933" s="1" t="s">
        <v>2728</v>
      </c>
      <c r="F2933" s="5">
        <f t="shared" si="181"/>
        <v>14731.55</v>
      </c>
      <c r="G2933" s="1">
        <v>132</v>
      </c>
      <c r="H2933" s="1" t="str">
        <f t="shared" si="182"/>
        <v>High</v>
      </c>
      <c r="I2933" s="1" t="str">
        <f t="shared" si="183"/>
        <v>Other</v>
      </c>
      <c r="J2933" s="1">
        <f t="shared" si="184"/>
        <v>91565.25</v>
      </c>
    </row>
    <row r="2934" spans="1:10" ht="12.75">
      <c r="A2934" s="1" t="s">
        <v>28</v>
      </c>
      <c r="B2934" s="1" t="s">
        <v>62</v>
      </c>
      <c r="C2934" s="1" t="s">
        <v>60</v>
      </c>
      <c r="D2934" s="2">
        <v>45422</v>
      </c>
      <c r="E2934" s="1" t="s">
        <v>2729</v>
      </c>
      <c r="F2934" s="5">
        <f t="shared" si="181"/>
        <v>9321.64</v>
      </c>
      <c r="G2934" s="1">
        <v>111</v>
      </c>
      <c r="H2934" s="1" t="str">
        <f t="shared" si="182"/>
        <v>High</v>
      </c>
      <c r="I2934" s="1" t="str">
        <f t="shared" si="183"/>
        <v>Other</v>
      </c>
      <c r="J2934" s="1">
        <f t="shared" si="184"/>
        <v>91565.25</v>
      </c>
    </row>
    <row r="2935" spans="1:10" ht="12.75">
      <c r="A2935" s="1" t="s">
        <v>2</v>
      </c>
      <c r="B2935" s="1" t="s">
        <v>5</v>
      </c>
      <c r="C2935" s="1" t="s">
        <v>102</v>
      </c>
      <c r="D2935" s="2">
        <v>45369</v>
      </c>
      <c r="E2935" s="1" t="s">
        <v>2730</v>
      </c>
      <c r="F2935" s="5">
        <f t="shared" si="181"/>
        <v>18473.63</v>
      </c>
      <c r="G2935" s="1">
        <v>88</v>
      </c>
      <c r="H2935" s="1" t="str">
        <f t="shared" si="182"/>
        <v>High</v>
      </c>
      <c r="I2935" s="1" t="str">
        <f t="shared" si="183"/>
        <v>Top Local</v>
      </c>
      <c r="J2935" s="1">
        <f t="shared" si="184"/>
        <v>91565.25</v>
      </c>
    </row>
    <row r="2936" spans="1:10" ht="12.75">
      <c r="A2936" s="1" t="s">
        <v>17</v>
      </c>
      <c r="B2936" s="1" t="s">
        <v>42</v>
      </c>
      <c r="C2936" s="1" t="s">
        <v>126</v>
      </c>
      <c r="D2936" s="2">
        <v>45458</v>
      </c>
      <c r="E2936" s="1" t="s">
        <v>2731</v>
      </c>
      <c r="F2936" s="5">
        <f t="shared" si="181"/>
        <v>7437.55</v>
      </c>
      <c r="G2936" s="1">
        <v>54</v>
      </c>
      <c r="H2936" s="1" t="str">
        <f t="shared" si="182"/>
        <v>High</v>
      </c>
      <c r="I2936" s="1" t="str">
        <f t="shared" si="183"/>
        <v>Other</v>
      </c>
      <c r="J2936" s="1">
        <f t="shared" si="184"/>
        <v>73091.62000000001</v>
      </c>
    </row>
    <row r="2937" spans="1:10" ht="12.75">
      <c r="A2937" s="1" t="s">
        <v>10</v>
      </c>
      <c r="B2937" s="1" t="s">
        <v>62</v>
      </c>
      <c r="C2937" s="1" t="s">
        <v>55</v>
      </c>
      <c r="D2937" s="2">
        <v>45424</v>
      </c>
      <c r="E2937" s="1" t="s">
        <v>2732</v>
      </c>
      <c r="F2937" s="5">
        <f t="shared" si="181"/>
        <v>14581.33</v>
      </c>
      <c r="G2937" s="1">
        <v>58</v>
      </c>
      <c r="H2937" s="1" t="str">
        <f t="shared" si="182"/>
        <v>High</v>
      </c>
      <c r="I2937" s="1" t="str">
        <f t="shared" si="183"/>
        <v>Other</v>
      </c>
      <c r="J2937" s="1">
        <f t="shared" si="184"/>
        <v>73091.62000000001</v>
      </c>
    </row>
    <row r="2938" spans="1:10" ht="12.75">
      <c r="A2938" s="1" t="s">
        <v>12</v>
      </c>
      <c r="B2938" s="1" t="s">
        <v>54</v>
      </c>
      <c r="C2938" s="1" t="s">
        <v>122</v>
      </c>
      <c r="D2938" s="2">
        <v>45466</v>
      </c>
      <c r="E2938" s="1" t="s">
        <v>2733</v>
      </c>
      <c r="F2938" s="5">
        <f t="shared" si="181"/>
        <v>3389.96</v>
      </c>
      <c r="G2938" s="1">
        <v>115</v>
      </c>
      <c r="H2938" s="1" t="str">
        <f t="shared" si="182"/>
        <v>High</v>
      </c>
      <c r="I2938" s="1" t="str">
        <f t="shared" si="183"/>
        <v>Other</v>
      </c>
      <c r="J2938" s="1">
        <f t="shared" si="184"/>
        <v>73091.62000000001</v>
      </c>
    </row>
    <row r="2939" spans="1:10" ht="12.75">
      <c r="A2939" s="1" t="s">
        <v>28</v>
      </c>
      <c r="B2939" s="1" t="s">
        <v>42</v>
      </c>
      <c r="C2939" s="1" t="s">
        <v>76</v>
      </c>
      <c r="D2939" s="2">
        <v>45403</v>
      </c>
      <c r="E2939" s="1" t="s">
        <v>2734</v>
      </c>
      <c r="F2939" s="5">
        <f t="shared" si="181"/>
        <v>3968.38</v>
      </c>
      <c r="G2939" s="1">
        <v>182</v>
      </c>
      <c r="H2939" s="1" t="str">
        <f t="shared" si="182"/>
        <v>High</v>
      </c>
      <c r="I2939" s="1" t="str">
        <f t="shared" si="183"/>
        <v>Other</v>
      </c>
      <c r="J2939" s="1">
        <f t="shared" si="184"/>
        <v>73091.62000000001</v>
      </c>
    </row>
    <row r="2940" spans="1:10" ht="12.75">
      <c r="A2940" s="1" t="s">
        <v>20</v>
      </c>
      <c r="B2940" s="1" t="s">
        <v>5</v>
      </c>
      <c r="C2940" s="1" t="s">
        <v>91</v>
      </c>
      <c r="D2940" s="2">
        <v>45521</v>
      </c>
      <c r="E2940" s="1" t="s">
        <v>2735</v>
      </c>
      <c r="F2940" s="5">
        <f t="shared" si="181"/>
        <v>1084.26</v>
      </c>
      <c r="G2940" s="1">
        <v>120</v>
      </c>
      <c r="H2940" s="1" t="str">
        <f t="shared" si="182"/>
        <v>High</v>
      </c>
      <c r="I2940" s="1" t="str">
        <f t="shared" si="183"/>
        <v>Other</v>
      </c>
      <c r="J2940" s="1">
        <f t="shared" si="184"/>
        <v>73091.62000000001</v>
      </c>
    </row>
    <row r="2941" spans="1:10" ht="12.75">
      <c r="A2941" s="1" t="s">
        <v>19</v>
      </c>
      <c r="B2941" s="1" t="s">
        <v>54</v>
      </c>
      <c r="C2941" s="1" t="s">
        <v>63</v>
      </c>
      <c r="D2941" s="2">
        <v>45329</v>
      </c>
      <c r="E2941" s="1" t="s">
        <v>2736</v>
      </c>
      <c r="F2941" s="5">
        <f t="shared" si="181"/>
        <v>20690.2</v>
      </c>
      <c r="G2941" s="1">
        <v>51</v>
      </c>
      <c r="H2941" s="1" t="str">
        <f t="shared" si="182"/>
        <v>High</v>
      </c>
      <c r="I2941" s="1" t="str">
        <f t="shared" si="183"/>
        <v>Other</v>
      </c>
      <c r="J2941" s="1">
        <f t="shared" si="184"/>
        <v>73091.62000000001</v>
      </c>
    </row>
    <row r="2942" spans="1:10" ht="12.75">
      <c r="A2942" s="1" t="s">
        <v>12</v>
      </c>
      <c r="B2942" s="1" t="s">
        <v>62</v>
      </c>
      <c r="C2942" s="1" t="s">
        <v>49</v>
      </c>
      <c r="D2942" s="2">
        <v>45368</v>
      </c>
      <c r="E2942" s="1" t="s">
        <v>2737</v>
      </c>
      <c r="F2942" s="5">
        <f t="shared" si="181"/>
        <v>8929.57</v>
      </c>
      <c r="G2942" s="1">
        <v>121</v>
      </c>
      <c r="H2942" s="1" t="str">
        <f t="shared" si="182"/>
        <v>High</v>
      </c>
      <c r="I2942" s="1" t="str">
        <f t="shared" si="183"/>
        <v>Other</v>
      </c>
      <c r="J2942" s="1">
        <f t="shared" si="184"/>
        <v>73091.62000000001</v>
      </c>
    </row>
    <row r="2943" spans="1:10" ht="12.75">
      <c r="A2943" s="1" t="s">
        <v>15</v>
      </c>
      <c r="B2943" s="1" t="s">
        <v>42</v>
      </c>
      <c r="C2943" s="1" t="s">
        <v>122</v>
      </c>
      <c r="D2943" s="2">
        <v>45505</v>
      </c>
      <c r="E2943" s="1" t="s">
        <v>2738</v>
      </c>
      <c r="F2943" s="5">
        <f t="shared" si="181"/>
        <v>15497.27</v>
      </c>
      <c r="G2943" s="1">
        <v>85</v>
      </c>
      <c r="H2943" s="1" t="str">
        <f t="shared" si="182"/>
        <v>High</v>
      </c>
      <c r="I2943" s="1" t="str">
        <f t="shared" si="183"/>
        <v>Other</v>
      </c>
      <c r="J2943" s="1">
        <f t="shared" si="184"/>
        <v>73091.62000000001</v>
      </c>
    </row>
    <row r="2944" spans="1:10" ht="12.75">
      <c r="A2944" s="1" t="s">
        <v>11</v>
      </c>
      <c r="B2944" s="1" t="s">
        <v>5</v>
      </c>
      <c r="C2944" s="1" t="s">
        <v>72</v>
      </c>
      <c r="D2944" s="2">
        <v>45369</v>
      </c>
      <c r="E2944" s="1" t="s">
        <v>2739</v>
      </c>
      <c r="F2944" s="5">
        <f t="shared" si="181"/>
        <v>9172.1299999999992</v>
      </c>
      <c r="G2944" s="1">
        <v>30</v>
      </c>
      <c r="H2944" s="1" t="str">
        <f t="shared" si="182"/>
        <v>High</v>
      </c>
      <c r="I2944" s="1" t="str">
        <f t="shared" si="183"/>
        <v>Other</v>
      </c>
      <c r="J2944" s="1">
        <f t="shared" si="184"/>
        <v>73091.62000000001</v>
      </c>
    </row>
    <row r="2945" spans="1:10" ht="12.75">
      <c r="A2945" s="1" t="s">
        <v>20</v>
      </c>
      <c r="B2945" s="1" t="s">
        <v>62</v>
      </c>
      <c r="C2945" s="1" t="s">
        <v>81</v>
      </c>
      <c r="D2945" s="2">
        <v>45457</v>
      </c>
      <c r="E2945" s="1" t="s">
        <v>2740</v>
      </c>
      <c r="F2945" s="5">
        <f t="shared" si="181"/>
        <v>6093.61</v>
      </c>
      <c r="G2945" s="1">
        <v>104</v>
      </c>
      <c r="H2945" s="1" t="str">
        <f t="shared" si="182"/>
        <v>High</v>
      </c>
      <c r="I2945" s="1" t="str">
        <f t="shared" si="183"/>
        <v>Other</v>
      </c>
      <c r="J2945" s="1">
        <f t="shared" si="184"/>
        <v>73091.62000000001</v>
      </c>
    </row>
    <row r="2946" spans="1:10" ht="12.75">
      <c r="A2946" s="1" t="s">
        <v>28</v>
      </c>
      <c r="B2946" s="1" t="s">
        <v>39</v>
      </c>
      <c r="C2946" s="1" t="s">
        <v>63</v>
      </c>
      <c r="D2946" s="2">
        <v>45404</v>
      </c>
      <c r="E2946" s="1" t="s">
        <v>2741</v>
      </c>
      <c r="F2946" s="5">
        <f t="shared" ref="F2946:F3009" si="185">VALUE(SUBSTITUTE(E2946,"$",""))</f>
        <v>9144.7900000000009</v>
      </c>
      <c r="G2946" s="1">
        <v>156</v>
      </c>
      <c r="H2946" s="1" t="str">
        <f t="shared" ref="H2946:H3009" si="186">IF(F2946&gt;800,"High",IF(F2946&gt;500,"Medium","Low"))</f>
        <v>High</v>
      </c>
      <c r="I2946" s="1" t="str">
        <f t="shared" ref="I2946:I3009" si="187">IF(AND(B2946="Australia",A2946="Mallorie Waber"),"Top Local","Other")</f>
        <v>Other</v>
      </c>
      <c r="J2946" s="1">
        <f t="shared" ref="J2946:J3009" si="188">SUMIF(A2946:A6226,"Mallorie Waber",F2946:F6226)</f>
        <v>73091.62000000001</v>
      </c>
    </row>
    <row r="2947" spans="1:10" ht="12.75">
      <c r="A2947" s="1" t="s">
        <v>14</v>
      </c>
      <c r="B2947" s="1" t="s">
        <v>54</v>
      </c>
      <c r="C2947" s="1" t="s">
        <v>63</v>
      </c>
      <c r="D2947" s="2">
        <v>45309</v>
      </c>
      <c r="E2947" s="1" t="s">
        <v>2742</v>
      </c>
      <c r="F2947" s="5">
        <f t="shared" si="185"/>
        <v>5902.91</v>
      </c>
      <c r="G2947" s="1">
        <v>31</v>
      </c>
      <c r="H2947" s="1" t="str">
        <f t="shared" si="186"/>
        <v>High</v>
      </c>
      <c r="I2947" s="1" t="str">
        <f t="shared" si="187"/>
        <v>Other</v>
      </c>
      <c r="J2947" s="1">
        <f t="shared" si="188"/>
        <v>73091.62000000001</v>
      </c>
    </row>
    <row r="2948" spans="1:10" ht="12.75">
      <c r="A2948" s="1" t="s">
        <v>13</v>
      </c>
      <c r="B2948" s="1" t="s">
        <v>5</v>
      </c>
      <c r="C2948" s="1" t="s">
        <v>51</v>
      </c>
      <c r="D2948" s="2">
        <v>45530</v>
      </c>
      <c r="E2948" s="1" t="s">
        <v>2743</v>
      </c>
      <c r="F2948" s="5">
        <f t="shared" si="185"/>
        <v>3277.47</v>
      </c>
      <c r="G2948" s="1">
        <v>131</v>
      </c>
      <c r="H2948" s="1" t="str">
        <f t="shared" si="186"/>
        <v>High</v>
      </c>
      <c r="I2948" s="1" t="str">
        <f t="shared" si="187"/>
        <v>Other</v>
      </c>
      <c r="J2948" s="1">
        <f t="shared" si="188"/>
        <v>73091.62000000001</v>
      </c>
    </row>
    <row r="2949" spans="1:10" ht="12.75">
      <c r="A2949" s="1" t="s">
        <v>23</v>
      </c>
      <c r="B2949" s="1" t="s">
        <v>54</v>
      </c>
      <c r="C2949" s="1" t="s">
        <v>81</v>
      </c>
      <c r="D2949" s="2">
        <v>45453</v>
      </c>
      <c r="E2949" s="1" t="s">
        <v>2744</v>
      </c>
      <c r="F2949" s="5">
        <f t="shared" si="185"/>
        <v>9759.5300000000007</v>
      </c>
      <c r="G2949" s="1">
        <v>424</v>
      </c>
      <c r="H2949" s="1" t="str">
        <f t="shared" si="186"/>
        <v>High</v>
      </c>
      <c r="I2949" s="1" t="str">
        <f t="shared" si="187"/>
        <v>Other</v>
      </c>
      <c r="J2949" s="1">
        <f t="shared" si="188"/>
        <v>73091.62000000001</v>
      </c>
    </row>
    <row r="2950" spans="1:10" ht="12.75">
      <c r="A2950" s="1" t="s">
        <v>24</v>
      </c>
      <c r="B2950" s="1" t="s">
        <v>62</v>
      </c>
      <c r="C2950" s="1" t="s">
        <v>147</v>
      </c>
      <c r="D2950" s="2">
        <v>45322</v>
      </c>
      <c r="E2950" s="1" t="s">
        <v>2745</v>
      </c>
      <c r="F2950" s="5">
        <f t="shared" si="185"/>
        <v>2504.9</v>
      </c>
      <c r="G2950" s="1">
        <v>7</v>
      </c>
      <c r="H2950" s="1" t="str">
        <f t="shared" si="186"/>
        <v>High</v>
      </c>
      <c r="I2950" s="1" t="str">
        <f t="shared" si="187"/>
        <v>Other</v>
      </c>
      <c r="J2950" s="1">
        <f t="shared" si="188"/>
        <v>73091.62000000001</v>
      </c>
    </row>
    <row r="2951" spans="1:10" ht="12.75">
      <c r="A2951" s="1" t="s">
        <v>12</v>
      </c>
      <c r="B2951" s="1" t="s">
        <v>54</v>
      </c>
      <c r="C2951" s="1" t="s">
        <v>86</v>
      </c>
      <c r="D2951" s="2">
        <v>45390</v>
      </c>
      <c r="E2951" s="1" t="s">
        <v>2746</v>
      </c>
      <c r="F2951" s="5">
        <f t="shared" si="185"/>
        <v>1527.99</v>
      </c>
      <c r="G2951" s="1">
        <v>107</v>
      </c>
      <c r="H2951" s="1" t="str">
        <f t="shared" si="186"/>
        <v>High</v>
      </c>
      <c r="I2951" s="1" t="str">
        <f t="shared" si="187"/>
        <v>Other</v>
      </c>
      <c r="J2951" s="1">
        <f t="shared" si="188"/>
        <v>73091.62000000001</v>
      </c>
    </row>
    <row r="2952" spans="1:10" ht="12.75">
      <c r="A2952" s="1" t="s">
        <v>21</v>
      </c>
      <c r="B2952" s="1" t="s">
        <v>5</v>
      </c>
      <c r="C2952" s="1" t="s">
        <v>122</v>
      </c>
      <c r="D2952" s="2">
        <v>45450</v>
      </c>
      <c r="E2952" s="1" t="s">
        <v>2747</v>
      </c>
      <c r="F2952" s="5">
        <f t="shared" si="185"/>
        <v>3767.49</v>
      </c>
      <c r="G2952" s="1">
        <v>65</v>
      </c>
      <c r="H2952" s="1" t="str">
        <f t="shared" si="186"/>
        <v>High</v>
      </c>
      <c r="I2952" s="1" t="str">
        <f t="shared" si="187"/>
        <v>Other</v>
      </c>
      <c r="J2952" s="1">
        <f t="shared" si="188"/>
        <v>73091.62000000001</v>
      </c>
    </row>
    <row r="2953" spans="1:10" ht="12.75">
      <c r="A2953" s="1" t="s">
        <v>16</v>
      </c>
      <c r="B2953" s="1" t="s">
        <v>5</v>
      </c>
      <c r="C2953" s="1" t="s">
        <v>43</v>
      </c>
      <c r="D2953" s="2">
        <v>45332</v>
      </c>
      <c r="E2953" s="1" t="s">
        <v>2748</v>
      </c>
      <c r="F2953" s="5">
        <f t="shared" si="185"/>
        <v>9452.18</v>
      </c>
      <c r="G2953" s="1">
        <v>42</v>
      </c>
      <c r="H2953" s="1" t="str">
        <f t="shared" si="186"/>
        <v>High</v>
      </c>
      <c r="I2953" s="1" t="str">
        <f t="shared" si="187"/>
        <v>Other</v>
      </c>
      <c r="J2953" s="1">
        <f t="shared" si="188"/>
        <v>73091.62000000001</v>
      </c>
    </row>
    <row r="2954" spans="1:10" ht="12.75">
      <c r="A2954" s="1" t="s">
        <v>28</v>
      </c>
      <c r="B2954" s="1" t="s">
        <v>5</v>
      </c>
      <c r="C2954" s="1" t="s">
        <v>55</v>
      </c>
      <c r="D2954" s="2">
        <v>45428</v>
      </c>
      <c r="E2954" s="1" t="s">
        <v>2749</v>
      </c>
      <c r="F2954" s="5">
        <f t="shared" si="185"/>
        <v>764.63</v>
      </c>
      <c r="G2954" s="1">
        <v>441</v>
      </c>
      <c r="H2954" s="1" t="str">
        <f t="shared" si="186"/>
        <v>Medium</v>
      </c>
      <c r="I2954" s="1" t="str">
        <f t="shared" si="187"/>
        <v>Other</v>
      </c>
      <c r="J2954" s="1">
        <f t="shared" si="188"/>
        <v>73091.62000000001</v>
      </c>
    </row>
    <row r="2955" spans="1:10" ht="12.75">
      <c r="A2955" s="1" t="s">
        <v>23</v>
      </c>
      <c r="B2955" s="1" t="s">
        <v>42</v>
      </c>
      <c r="C2955" s="1" t="s">
        <v>122</v>
      </c>
      <c r="D2955" s="2">
        <v>45369</v>
      </c>
      <c r="E2955" s="1" t="s">
        <v>2750</v>
      </c>
      <c r="F2955" s="5">
        <f t="shared" si="185"/>
        <v>2432.75</v>
      </c>
      <c r="G2955" s="1">
        <v>535</v>
      </c>
      <c r="H2955" s="1" t="str">
        <f t="shared" si="186"/>
        <v>High</v>
      </c>
      <c r="I2955" s="1" t="str">
        <f t="shared" si="187"/>
        <v>Other</v>
      </c>
      <c r="J2955" s="1">
        <f t="shared" si="188"/>
        <v>73091.62000000001</v>
      </c>
    </row>
    <row r="2956" spans="1:10" ht="12.75">
      <c r="A2956" s="1" t="s">
        <v>10</v>
      </c>
      <c r="B2956" s="1" t="s">
        <v>5</v>
      </c>
      <c r="C2956" s="1" t="s">
        <v>55</v>
      </c>
      <c r="D2956" s="2">
        <v>45486</v>
      </c>
      <c r="E2956" s="1" t="s">
        <v>2751</v>
      </c>
      <c r="F2956" s="5">
        <f t="shared" si="185"/>
        <v>779.04</v>
      </c>
      <c r="G2956" s="1">
        <v>134</v>
      </c>
      <c r="H2956" s="1" t="str">
        <f t="shared" si="186"/>
        <v>Medium</v>
      </c>
      <c r="I2956" s="1" t="str">
        <f t="shared" si="187"/>
        <v>Other</v>
      </c>
      <c r="J2956" s="1">
        <f t="shared" si="188"/>
        <v>73091.62000000001</v>
      </c>
    </row>
    <row r="2957" spans="1:10" ht="12.75">
      <c r="A2957" s="1" t="s">
        <v>22</v>
      </c>
      <c r="B2957" s="1" t="s">
        <v>59</v>
      </c>
      <c r="C2957" s="1" t="s">
        <v>86</v>
      </c>
      <c r="D2957" s="2">
        <v>45498</v>
      </c>
      <c r="E2957" s="1" t="s">
        <v>2752</v>
      </c>
      <c r="F2957" s="5">
        <f t="shared" si="185"/>
        <v>5050.53</v>
      </c>
      <c r="G2957" s="1">
        <v>85</v>
      </c>
      <c r="H2957" s="1" t="str">
        <f t="shared" si="186"/>
        <v>High</v>
      </c>
      <c r="I2957" s="1" t="str">
        <f t="shared" si="187"/>
        <v>Other</v>
      </c>
      <c r="J2957" s="1">
        <f t="shared" si="188"/>
        <v>73091.62000000001</v>
      </c>
    </row>
    <row r="2958" spans="1:10" ht="12.75">
      <c r="A2958" s="1" t="s">
        <v>10</v>
      </c>
      <c r="B2958" s="1" t="s">
        <v>62</v>
      </c>
      <c r="C2958" s="1" t="s">
        <v>102</v>
      </c>
      <c r="D2958" s="2">
        <v>45523</v>
      </c>
      <c r="E2958" s="1" t="s">
        <v>2753</v>
      </c>
      <c r="F2958" s="5">
        <f t="shared" si="185"/>
        <v>2727.35</v>
      </c>
      <c r="G2958" s="1">
        <v>293</v>
      </c>
      <c r="H2958" s="1" t="str">
        <f t="shared" si="186"/>
        <v>High</v>
      </c>
      <c r="I2958" s="1" t="str">
        <f t="shared" si="187"/>
        <v>Other</v>
      </c>
      <c r="J2958" s="1">
        <f t="shared" si="188"/>
        <v>73091.62000000001</v>
      </c>
    </row>
    <row r="2959" spans="1:10" ht="12.75">
      <c r="A2959" s="1" t="s">
        <v>18</v>
      </c>
      <c r="B2959" s="1" t="s">
        <v>62</v>
      </c>
      <c r="C2959" s="1" t="s">
        <v>147</v>
      </c>
      <c r="D2959" s="2">
        <v>45467</v>
      </c>
      <c r="E2959" s="1" t="s">
        <v>2754</v>
      </c>
      <c r="F2959" s="5">
        <f t="shared" si="185"/>
        <v>9089.2099999999991</v>
      </c>
      <c r="G2959" s="1">
        <v>602</v>
      </c>
      <c r="H2959" s="1" t="str">
        <f t="shared" si="186"/>
        <v>High</v>
      </c>
      <c r="I2959" s="1" t="str">
        <f t="shared" si="187"/>
        <v>Other</v>
      </c>
      <c r="J2959" s="1">
        <f t="shared" si="188"/>
        <v>73091.62000000001</v>
      </c>
    </row>
    <row r="2960" spans="1:10" ht="12.75">
      <c r="A2960" s="1" t="s">
        <v>12</v>
      </c>
      <c r="B2960" s="1" t="s">
        <v>62</v>
      </c>
      <c r="C2960" s="1" t="s">
        <v>81</v>
      </c>
      <c r="D2960" s="2">
        <v>45463</v>
      </c>
      <c r="E2960" s="1" t="s">
        <v>2755</v>
      </c>
      <c r="F2960" s="5">
        <f t="shared" si="185"/>
        <v>881.49</v>
      </c>
      <c r="G2960" s="1">
        <v>152</v>
      </c>
      <c r="H2960" s="1" t="str">
        <f t="shared" si="186"/>
        <v>High</v>
      </c>
      <c r="I2960" s="1" t="str">
        <f t="shared" si="187"/>
        <v>Other</v>
      </c>
      <c r="J2960" s="1">
        <f t="shared" si="188"/>
        <v>73091.62000000001</v>
      </c>
    </row>
    <row r="2961" spans="1:10" ht="12.75">
      <c r="A2961" s="1" t="s">
        <v>25</v>
      </c>
      <c r="B2961" s="1" t="s">
        <v>42</v>
      </c>
      <c r="C2961" s="1" t="s">
        <v>51</v>
      </c>
      <c r="D2961" s="2">
        <v>45506</v>
      </c>
      <c r="E2961" s="1" t="s">
        <v>2756</v>
      </c>
      <c r="F2961" s="5">
        <f t="shared" si="185"/>
        <v>227.55</v>
      </c>
      <c r="G2961" s="1">
        <v>225</v>
      </c>
      <c r="H2961" s="1" t="str">
        <f t="shared" si="186"/>
        <v>Low</v>
      </c>
      <c r="I2961" s="1" t="str">
        <f t="shared" si="187"/>
        <v>Other</v>
      </c>
      <c r="J2961" s="1">
        <f t="shared" si="188"/>
        <v>73091.62000000001</v>
      </c>
    </row>
    <row r="2962" spans="1:10" ht="12.75">
      <c r="A2962" s="1" t="s">
        <v>9</v>
      </c>
      <c r="B2962" s="1" t="s">
        <v>54</v>
      </c>
      <c r="C2962" s="1" t="s">
        <v>147</v>
      </c>
      <c r="D2962" s="2">
        <v>45344</v>
      </c>
      <c r="E2962" s="1" t="s">
        <v>2757</v>
      </c>
      <c r="F2962" s="5">
        <f t="shared" si="185"/>
        <v>14193.58</v>
      </c>
      <c r="G2962" s="1">
        <v>102</v>
      </c>
      <c r="H2962" s="1" t="str">
        <f t="shared" si="186"/>
        <v>High</v>
      </c>
      <c r="I2962" s="1" t="str">
        <f t="shared" si="187"/>
        <v>Other</v>
      </c>
      <c r="J2962" s="1">
        <f t="shared" si="188"/>
        <v>73091.62000000001</v>
      </c>
    </row>
    <row r="2963" spans="1:10" ht="12.75">
      <c r="A2963" s="1" t="s">
        <v>2</v>
      </c>
      <c r="B2963" s="1" t="s">
        <v>54</v>
      </c>
      <c r="C2963" s="1" t="s">
        <v>60</v>
      </c>
      <c r="D2963" s="2">
        <v>45323</v>
      </c>
      <c r="E2963" s="1" t="s">
        <v>2758</v>
      </c>
      <c r="F2963" s="5">
        <f t="shared" si="185"/>
        <v>7459.88</v>
      </c>
      <c r="G2963" s="1">
        <v>23</v>
      </c>
      <c r="H2963" s="1" t="str">
        <f t="shared" si="186"/>
        <v>High</v>
      </c>
      <c r="I2963" s="1" t="str">
        <f t="shared" si="187"/>
        <v>Other</v>
      </c>
      <c r="J2963" s="1">
        <f t="shared" si="188"/>
        <v>73091.62000000001</v>
      </c>
    </row>
    <row r="2964" spans="1:10" ht="12.75">
      <c r="A2964" s="1" t="s">
        <v>15</v>
      </c>
      <c r="B2964" s="1" t="s">
        <v>62</v>
      </c>
      <c r="C2964" s="1" t="s">
        <v>147</v>
      </c>
      <c r="D2964" s="2">
        <v>45336</v>
      </c>
      <c r="E2964" s="1" t="s">
        <v>2759</v>
      </c>
      <c r="F2964" s="5">
        <f t="shared" si="185"/>
        <v>6578.55</v>
      </c>
      <c r="G2964" s="1">
        <v>312</v>
      </c>
      <c r="H2964" s="1" t="str">
        <f t="shared" si="186"/>
        <v>High</v>
      </c>
      <c r="I2964" s="1" t="str">
        <f t="shared" si="187"/>
        <v>Other</v>
      </c>
      <c r="J2964" s="1">
        <f t="shared" si="188"/>
        <v>65631.740000000005</v>
      </c>
    </row>
    <row r="2965" spans="1:10" ht="12.75">
      <c r="A2965" s="1" t="s">
        <v>12</v>
      </c>
      <c r="B2965" s="1" t="s">
        <v>5</v>
      </c>
      <c r="C2965" s="1" t="s">
        <v>72</v>
      </c>
      <c r="D2965" s="2">
        <v>45346</v>
      </c>
      <c r="E2965" s="1" t="s">
        <v>2760</v>
      </c>
      <c r="F2965" s="5">
        <f t="shared" si="185"/>
        <v>8975.44</v>
      </c>
      <c r="G2965" s="1">
        <v>137</v>
      </c>
      <c r="H2965" s="1" t="str">
        <f t="shared" si="186"/>
        <v>High</v>
      </c>
      <c r="I2965" s="1" t="str">
        <f t="shared" si="187"/>
        <v>Other</v>
      </c>
      <c r="J2965" s="1">
        <f t="shared" si="188"/>
        <v>65631.740000000005</v>
      </c>
    </row>
    <row r="2966" spans="1:10" ht="12.75">
      <c r="A2966" s="1" t="s">
        <v>6</v>
      </c>
      <c r="B2966" s="1" t="s">
        <v>42</v>
      </c>
      <c r="C2966" s="1" t="s">
        <v>60</v>
      </c>
      <c r="D2966" s="2">
        <v>45369</v>
      </c>
      <c r="E2966" s="1" t="s">
        <v>2761</v>
      </c>
      <c r="F2966" s="5">
        <f t="shared" si="185"/>
        <v>852.29</v>
      </c>
      <c r="G2966" s="1">
        <v>123</v>
      </c>
      <c r="H2966" s="1" t="str">
        <f t="shared" si="186"/>
        <v>High</v>
      </c>
      <c r="I2966" s="1" t="str">
        <f t="shared" si="187"/>
        <v>Other</v>
      </c>
      <c r="J2966" s="1">
        <f t="shared" si="188"/>
        <v>65631.740000000005</v>
      </c>
    </row>
    <row r="2967" spans="1:10" ht="12.75">
      <c r="A2967" s="1" t="s">
        <v>13</v>
      </c>
      <c r="B2967" s="1" t="s">
        <v>39</v>
      </c>
      <c r="C2967" s="1" t="s">
        <v>63</v>
      </c>
      <c r="D2967" s="2">
        <v>45534</v>
      </c>
      <c r="E2967" s="1" t="s">
        <v>2762</v>
      </c>
      <c r="F2967" s="5">
        <f t="shared" si="185"/>
        <v>1955.2</v>
      </c>
      <c r="G2967" s="1">
        <v>250</v>
      </c>
      <c r="H2967" s="1" t="str">
        <f t="shared" si="186"/>
        <v>High</v>
      </c>
      <c r="I2967" s="1" t="str">
        <f t="shared" si="187"/>
        <v>Other</v>
      </c>
      <c r="J2967" s="1">
        <f t="shared" si="188"/>
        <v>65631.740000000005</v>
      </c>
    </row>
    <row r="2968" spans="1:10" ht="12.75">
      <c r="A2968" s="1" t="s">
        <v>20</v>
      </c>
      <c r="B2968" s="1" t="s">
        <v>59</v>
      </c>
      <c r="C2968" s="1" t="s">
        <v>45</v>
      </c>
      <c r="D2968" s="2">
        <v>45421</v>
      </c>
      <c r="E2968" s="1" t="s">
        <v>2763</v>
      </c>
      <c r="F2968" s="5">
        <f t="shared" si="185"/>
        <v>323.29000000000002</v>
      </c>
      <c r="G2968" s="1">
        <v>72</v>
      </c>
      <c r="H2968" s="1" t="str">
        <f t="shared" si="186"/>
        <v>Low</v>
      </c>
      <c r="I2968" s="1" t="str">
        <f t="shared" si="187"/>
        <v>Other</v>
      </c>
      <c r="J2968" s="1">
        <f t="shared" si="188"/>
        <v>65631.740000000005</v>
      </c>
    </row>
    <row r="2969" spans="1:10" ht="12.75">
      <c r="A2969" s="1" t="s">
        <v>29</v>
      </c>
      <c r="B2969" s="1" t="s">
        <v>59</v>
      </c>
      <c r="C2969" s="1" t="s">
        <v>49</v>
      </c>
      <c r="D2969" s="2">
        <v>45309</v>
      </c>
      <c r="E2969" s="1" t="s">
        <v>2764</v>
      </c>
      <c r="F2969" s="5">
        <f t="shared" si="185"/>
        <v>542.39</v>
      </c>
      <c r="G2969" s="1">
        <v>86</v>
      </c>
      <c r="H2969" s="1" t="str">
        <f t="shared" si="186"/>
        <v>Medium</v>
      </c>
      <c r="I2969" s="1" t="str">
        <f t="shared" si="187"/>
        <v>Other</v>
      </c>
      <c r="J2969" s="1">
        <f t="shared" si="188"/>
        <v>65631.740000000005</v>
      </c>
    </row>
    <row r="2970" spans="1:10" ht="12.75">
      <c r="A2970" s="1" t="s">
        <v>24</v>
      </c>
      <c r="B2970" s="1" t="s">
        <v>42</v>
      </c>
      <c r="C2970" s="1" t="s">
        <v>84</v>
      </c>
      <c r="D2970" s="2">
        <v>45477</v>
      </c>
      <c r="E2970" s="1" t="s">
        <v>2765</v>
      </c>
      <c r="F2970" s="5">
        <f t="shared" si="185"/>
        <v>7666.62</v>
      </c>
      <c r="G2970" s="1">
        <v>347</v>
      </c>
      <c r="H2970" s="1" t="str">
        <f t="shared" si="186"/>
        <v>High</v>
      </c>
      <c r="I2970" s="1" t="str">
        <f t="shared" si="187"/>
        <v>Other</v>
      </c>
      <c r="J2970" s="1">
        <f t="shared" si="188"/>
        <v>65631.740000000005</v>
      </c>
    </row>
    <row r="2971" spans="1:10" ht="12.75">
      <c r="A2971" s="1" t="s">
        <v>22</v>
      </c>
      <c r="B2971" s="1" t="s">
        <v>54</v>
      </c>
      <c r="C2971" s="1" t="s">
        <v>76</v>
      </c>
      <c r="D2971" s="2">
        <v>45446</v>
      </c>
      <c r="E2971" s="1" t="s">
        <v>2766</v>
      </c>
      <c r="F2971" s="5">
        <f t="shared" si="185"/>
        <v>1826.32</v>
      </c>
      <c r="G2971" s="1">
        <v>13</v>
      </c>
      <c r="H2971" s="1" t="str">
        <f t="shared" si="186"/>
        <v>High</v>
      </c>
      <c r="I2971" s="1" t="str">
        <f t="shared" si="187"/>
        <v>Other</v>
      </c>
      <c r="J2971" s="1">
        <f t="shared" si="188"/>
        <v>65631.740000000005</v>
      </c>
    </row>
    <row r="2972" spans="1:10" ht="12.75">
      <c r="A2972" s="1" t="s">
        <v>28</v>
      </c>
      <c r="B2972" s="1" t="s">
        <v>54</v>
      </c>
      <c r="C2972" s="1" t="s">
        <v>45</v>
      </c>
      <c r="D2972" s="2">
        <v>45345</v>
      </c>
      <c r="E2972" s="1" t="s">
        <v>2767</v>
      </c>
      <c r="F2972" s="5">
        <f t="shared" si="185"/>
        <v>11510.68</v>
      </c>
      <c r="G2972" s="1">
        <v>30</v>
      </c>
      <c r="H2972" s="1" t="str">
        <f t="shared" si="186"/>
        <v>High</v>
      </c>
      <c r="I2972" s="1" t="str">
        <f t="shared" si="187"/>
        <v>Other</v>
      </c>
      <c r="J2972" s="1">
        <f t="shared" si="188"/>
        <v>65631.740000000005</v>
      </c>
    </row>
    <row r="2973" spans="1:10" ht="12.75">
      <c r="A2973" s="1" t="s">
        <v>21</v>
      </c>
      <c r="B2973" s="1" t="s">
        <v>54</v>
      </c>
      <c r="C2973" s="1" t="s">
        <v>51</v>
      </c>
      <c r="D2973" s="2">
        <v>45421</v>
      </c>
      <c r="E2973" s="1" t="s">
        <v>2768</v>
      </c>
      <c r="F2973" s="5">
        <f t="shared" si="185"/>
        <v>12263.85</v>
      </c>
      <c r="G2973" s="1">
        <v>223</v>
      </c>
      <c r="H2973" s="1" t="str">
        <f t="shared" si="186"/>
        <v>High</v>
      </c>
      <c r="I2973" s="1" t="str">
        <f t="shared" si="187"/>
        <v>Other</v>
      </c>
      <c r="J2973" s="1">
        <f t="shared" si="188"/>
        <v>65631.740000000005</v>
      </c>
    </row>
    <row r="2974" spans="1:10" ht="12.75">
      <c r="A2974" s="1" t="s">
        <v>12</v>
      </c>
      <c r="B2974" s="1" t="s">
        <v>42</v>
      </c>
      <c r="C2974" s="1" t="s">
        <v>147</v>
      </c>
      <c r="D2974" s="2">
        <v>45449</v>
      </c>
      <c r="E2974" s="1" t="s">
        <v>2769</v>
      </c>
      <c r="F2974" s="5">
        <f t="shared" si="185"/>
        <v>3878.6</v>
      </c>
      <c r="G2974" s="1">
        <v>108</v>
      </c>
      <c r="H2974" s="1" t="str">
        <f t="shared" si="186"/>
        <v>High</v>
      </c>
      <c r="I2974" s="1" t="str">
        <f t="shared" si="187"/>
        <v>Other</v>
      </c>
      <c r="J2974" s="1">
        <f t="shared" si="188"/>
        <v>65631.740000000005</v>
      </c>
    </row>
    <row r="2975" spans="1:10" ht="12.75">
      <c r="A2975" s="1" t="s">
        <v>12</v>
      </c>
      <c r="B2975" s="1" t="s">
        <v>42</v>
      </c>
      <c r="C2975" s="1" t="s">
        <v>65</v>
      </c>
      <c r="D2975" s="2">
        <v>45477</v>
      </c>
      <c r="E2975" s="1" t="s">
        <v>2770</v>
      </c>
      <c r="F2975" s="5">
        <f t="shared" si="185"/>
        <v>8328.52</v>
      </c>
      <c r="G2975" s="1">
        <v>238</v>
      </c>
      <c r="H2975" s="1" t="str">
        <f t="shared" si="186"/>
        <v>High</v>
      </c>
      <c r="I2975" s="1" t="str">
        <f t="shared" si="187"/>
        <v>Other</v>
      </c>
      <c r="J2975" s="1">
        <f t="shared" si="188"/>
        <v>65631.740000000005</v>
      </c>
    </row>
    <row r="2976" spans="1:10" ht="12.75">
      <c r="A2976" s="1" t="s">
        <v>7</v>
      </c>
      <c r="B2976" s="1" t="s">
        <v>54</v>
      </c>
      <c r="C2976" s="1" t="s">
        <v>65</v>
      </c>
      <c r="D2976" s="2">
        <v>45449</v>
      </c>
      <c r="E2976" s="1" t="s">
        <v>2771</v>
      </c>
      <c r="F2976" s="5">
        <f t="shared" si="185"/>
        <v>1666.46</v>
      </c>
      <c r="G2976" s="1">
        <v>98</v>
      </c>
      <c r="H2976" s="1" t="str">
        <f t="shared" si="186"/>
        <v>High</v>
      </c>
      <c r="I2976" s="1" t="str">
        <f t="shared" si="187"/>
        <v>Other</v>
      </c>
      <c r="J2976" s="1">
        <f t="shared" si="188"/>
        <v>65631.740000000005</v>
      </c>
    </row>
    <row r="2977" spans="1:10" ht="12.75">
      <c r="A2977" s="1" t="s">
        <v>21</v>
      </c>
      <c r="B2977" s="1" t="s">
        <v>5</v>
      </c>
      <c r="C2977" s="1" t="s">
        <v>91</v>
      </c>
      <c r="D2977" s="2">
        <v>45425</v>
      </c>
      <c r="E2977" s="1" t="s">
        <v>2772</v>
      </c>
      <c r="F2977" s="5">
        <f t="shared" si="185"/>
        <v>1754.11</v>
      </c>
      <c r="G2977" s="1">
        <v>95</v>
      </c>
      <c r="H2977" s="1" t="str">
        <f t="shared" si="186"/>
        <v>High</v>
      </c>
      <c r="I2977" s="1" t="str">
        <f t="shared" si="187"/>
        <v>Other</v>
      </c>
      <c r="J2977" s="1">
        <f t="shared" si="188"/>
        <v>65631.740000000005</v>
      </c>
    </row>
    <row r="2978" spans="1:10" ht="12.75">
      <c r="A2978" s="1" t="s">
        <v>29</v>
      </c>
      <c r="B2978" s="1" t="s">
        <v>54</v>
      </c>
      <c r="C2978" s="1" t="s">
        <v>68</v>
      </c>
      <c r="D2978" s="2">
        <v>45322</v>
      </c>
      <c r="E2978" s="1" t="s">
        <v>2773</v>
      </c>
      <c r="F2978" s="5">
        <f t="shared" si="185"/>
        <v>2390.6999999999998</v>
      </c>
      <c r="G2978" s="1">
        <v>274</v>
      </c>
      <c r="H2978" s="1" t="str">
        <f t="shared" si="186"/>
        <v>High</v>
      </c>
      <c r="I2978" s="1" t="str">
        <f t="shared" si="187"/>
        <v>Other</v>
      </c>
      <c r="J2978" s="1">
        <f t="shared" si="188"/>
        <v>65631.740000000005</v>
      </c>
    </row>
    <row r="2979" spans="1:10" ht="12.75">
      <c r="A2979" s="1" t="s">
        <v>17</v>
      </c>
      <c r="B2979" s="1" t="s">
        <v>54</v>
      </c>
      <c r="C2979" s="1" t="s">
        <v>126</v>
      </c>
      <c r="D2979" s="2">
        <v>45473</v>
      </c>
      <c r="E2979" s="1" t="s">
        <v>2774</v>
      </c>
      <c r="F2979" s="5">
        <f t="shared" si="185"/>
        <v>8546.7199999999993</v>
      </c>
      <c r="G2979" s="1">
        <v>41</v>
      </c>
      <c r="H2979" s="1" t="str">
        <f t="shared" si="186"/>
        <v>High</v>
      </c>
      <c r="I2979" s="1" t="str">
        <f t="shared" si="187"/>
        <v>Other</v>
      </c>
      <c r="J2979" s="1">
        <f t="shared" si="188"/>
        <v>65631.740000000005</v>
      </c>
    </row>
    <row r="2980" spans="1:10" ht="12.75">
      <c r="A2980" s="1" t="s">
        <v>16</v>
      </c>
      <c r="B2980" s="1" t="s">
        <v>62</v>
      </c>
      <c r="C2980" s="1" t="s">
        <v>86</v>
      </c>
      <c r="D2980" s="2">
        <v>45529</v>
      </c>
      <c r="E2980" s="1" t="s">
        <v>2775</v>
      </c>
      <c r="F2980" s="5">
        <f t="shared" si="185"/>
        <v>4115.57</v>
      </c>
      <c r="G2980" s="1">
        <v>274</v>
      </c>
      <c r="H2980" s="1" t="str">
        <f t="shared" si="186"/>
        <v>High</v>
      </c>
      <c r="I2980" s="1" t="str">
        <f t="shared" si="187"/>
        <v>Other</v>
      </c>
      <c r="J2980" s="1">
        <f t="shared" si="188"/>
        <v>65631.740000000005</v>
      </c>
    </row>
    <row r="2981" spans="1:10" ht="12.75">
      <c r="A2981" s="1" t="s">
        <v>20</v>
      </c>
      <c r="B2981" s="1" t="s">
        <v>54</v>
      </c>
      <c r="C2981" s="1" t="s">
        <v>49</v>
      </c>
      <c r="D2981" s="2">
        <v>45301</v>
      </c>
      <c r="E2981" s="1" t="s">
        <v>2776</v>
      </c>
      <c r="F2981" s="5">
        <f t="shared" si="185"/>
        <v>787.38</v>
      </c>
      <c r="G2981" s="1">
        <v>95</v>
      </c>
      <c r="H2981" s="1" t="str">
        <f t="shared" si="186"/>
        <v>Medium</v>
      </c>
      <c r="I2981" s="1" t="str">
        <f t="shared" si="187"/>
        <v>Other</v>
      </c>
      <c r="J2981" s="1">
        <f t="shared" si="188"/>
        <v>65631.740000000005</v>
      </c>
    </row>
    <row r="2982" spans="1:10" ht="12.75">
      <c r="A2982" s="1" t="s">
        <v>7</v>
      </c>
      <c r="B2982" s="1" t="s">
        <v>59</v>
      </c>
      <c r="C2982" s="1" t="s">
        <v>86</v>
      </c>
      <c r="D2982" s="2">
        <v>45526</v>
      </c>
      <c r="E2982" s="1" t="s">
        <v>2777</v>
      </c>
      <c r="F2982" s="5">
        <f t="shared" si="185"/>
        <v>2095.7800000000002</v>
      </c>
      <c r="G2982" s="1">
        <v>8</v>
      </c>
      <c r="H2982" s="1" t="str">
        <f t="shared" si="186"/>
        <v>High</v>
      </c>
      <c r="I2982" s="1" t="str">
        <f t="shared" si="187"/>
        <v>Other</v>
      </c>
      <c r="J2982" s="1">
        <f t="shared" si="188"/>
        <v>65631.740000000005</v>
      </c>
    </row>
    <row r="2983" spans="1:10" ht="12.75">
      <c r="A2983" s="1" t="s">
        <v>26</v>
      </c>
      <c r="B2983" s="1" t="s">
        <v>54</v>
      </c>
      <c r="C2983" s="1" t="s">
        <v>43</v>
      </c>
      <c r="D2983" s="2">
        <v>45396</v>
      </c>
      <c r="E2983" s="1" t="s">
        <v>2778</v>
      </c>
      <c r="F2983" s="5">
        <f t="shared" si="185"/>
        <v>5220.8</v>
      </c>
      <c r="G2983" s="1">
        <v>267</v>
      </c>
      <c r="H2983" s="1" t="str">
        <f t="shared" si="186"/>
        <v>High</v>
      </c>
      <c r="I2983" s="1" t="str">
        <f t="shared" si="187"/>
        <v>Other</v>
      </c>
      <c r="J2983" s="1">
        <f t="shared" si="188"/>
        <v>65631.740000000005</v>
      </c>
    </row>
    <row r="2984" spans="1:10" ht="12.75">
      <c r="A2984" s="1" t="s">
        <v>22</v>
      </c>
      <c r="B2984" s="1" t="s">
        <v>39</v>
      </c>
      <c r="C2984" s="1" t="s">
        <v>49</v>
      </c>
      <c r="D2984" s="2">
        <v>45443</v>
      </c>
      <c r="E2984" s="1" t="s">
        <v>2779</v>
      </c>
      <c r="F2984" s="5">
        <f t="shared" si="185"/>
        <v>11264.45</v>
      </c>
      <c r="G2984" s="1">
        <v>340</v>
      </c>
      <c r="H2984" s="1" t="str">
        <f t="shared" si="186"/>
        <v>High</v>
      </c>
      <c r="I2984" s="1" t="str">
        <f t="shared" si="187"/>
        <v>Other</v>
      </c>
      <c r="J2984" s="1">
        <f t="shared" si="188"/>
        <v>65631.740000000005</v>
      </c>
    </row>
    <row r="2985" spans="1:10" ht="12.75">
      <c r="A2985" s="1" t="s">
        <v>22</v>
      </c>
      <c r="B2985" s="1" t="s">
        <v>39</v>
      </c>
      <c r="C2985" s="1" t="s">
        <v>100</v>
      </c>
      <c r="D2985" s="2">
        <v>45390</v>
      </c>
      <c r="E2985" s="1" t="s">
        <v>2780</v>
      </c>
      <c r="F2985" s="5">
        <f t="shared" si="185"/>
        <v>5477.33</v>
      </c>
      <c r="G2985" s="1">
        <v>341</v>
      </c>
      <c r="H2985" s="1" t="str">
        <f t="shared" si="186"/>
        <v>High</v>
      </c>
      <c r="I2985" s="1" t="str">
        <f t="shared" si="187"/>
        <v>Other</v>
      </c>
      <c r="J2985" s="1">
        <f t="shared" si="188"/>
        <v>65631.740000000005</v>
      </c>
    </row>
    <row r="2986" spans="1:10" ht="12.75">
      <c r="A2986" s="1" t="s">
        <v>26</v>
      </c>
      <c r="B2986" s="1" t="s">
        <v>59</v>
      </c>
      <c r="C2986" s="1" t="s">
        <v>65</v>
      </c>
      <c r="D2986" s="2">
        <v>45343</v>
      </c>
      <c r="E2986" s="1" t="s">
        <v>2781</v>
      </c>
      <c r="F2986" s="5">
        <f t="shared" si="185"/>
        <v>3389</v>
      </c>
      <c r="G2986" s="1">
        <v>160</v>
      </c>
      <c r="H2986" s="1" t="str">
        <f t="shared" si="186"/>
        <v>High</v>
      </c>
      <c r="I2986" s="1" t="str">
        <f t="shared" si="187"/>
        <v>Other</v>
      </c>
      <c r="J2986" s="1">
        <f t="shared" si="188"/>
        <v>65631.740000000005</v>
      </c>
    </row>
    <row r="2987" spans="1:10" ht="12.75">
      <c r="A2987" s="1" t="s">
        <v>27</v>
      </c>
      <c r="B2987" s="1" t="s">
        <v>5</v>
      </c>
      <c r="C2987" s="1" t="s">
        <v>86</v>
      </c>
      <c r="D2987" s="2">
        <v>45381</v>
      </c>
      <c r="E2987" s="1" t="s">
        <v>2782</v>
      </c>
      <c r="F2987" s="5">
        <f t="shared" si="185"/>
        <v>11559.52</v>
      </c>
      <c r="G2987" s="1">
        <v>413</v>
      </c>
      <c r="H2987" s="1" t="str">
        <f t="shared" si="186"/>
        <v>High</v>
      </c>
      <c r="I2987" s="1" t="str">
        <f t="shared" si="187"/>
        <v>Other</v>
      </c>
      <c r="J2987" s="1">
        <f t="shared" si="188"/>
        <v>65631.740000000005</v>
      </c>
    </row>
    <row r="2988" spans="1:10" ht="12.75">
      <c r="A2988" s="1" t="s">
        <v>2</v>
      </c>
      <c r="B2988" s="1" t="s">
        <v>42</v>
      </c>
      <c r="C2988" s="1" t="s">
        <v>100</v>
      </c>
      <c r="D2988" s="2">
        <v>45353</v>
      </c>
      <c r="E2988" s="1" t="s">
        <v>2783</v>
      </c>
      <c r="F2988" s="5">
        <f t="shared" si="185"/>
        <v>1676.82</v>
      </c>
      <c r="G2988" s="1">
        <v>2</v>
      </c>
      <c r="H2988" s="1" t="str">
        <f t="shared" si="186"/>
        <v>High</v>
      </c>
      <c r="I2988" s="1" t="str">
        <f t="shared" si="187"/>
        <v>Other</v>
      </c>
      <c r="J2988" s="1">
        <f t="shared" si="188"/>
        <v>65631.740000000005</v>
      </c>
    </row>
    <row r="2989" spans="1:10" ht="12.75">
      <c r="A2989" s="1" t="s">
        <v>11</v>
      </c>
      <c r="B2989" s="1" t="s">
        <v>59</v>
      </c>
      <c r="C2989" s="1" t="s">
        <v>60</v>
      </c>
      <c r="D2989" s="2">
        <v>45501</v>
      </c>
      <c r="E2989" s="1" t="s">
        <v>2784</v>
      </c>
      <c r="F2989" s="5">
        <f t="shared" si="185"/>
        <v>437.48</v>
      </c>
      <c r="G2989" s="1">
        <v>174</v>
      </c>
      <c r="H2989" s="1" t="str">
        <f t="shared" si="186"/>
        <v>Low</v>
      </c>
      <c r="I2989" s="1" t="str">
        <f t="shared" si="187"/>
        <v>Other</v>
      </c>
      <c r="J2989" s="1">
        <f t="shared" si="188"/>
        <v>63954.920000000006</v>
      </c>
    </row>
    <row r="2990" spans="1:10" ht="12.75">
      <c r="A2990" s="1" t="s">
        <v>8</v>
      </c>
      <c r="B2990" s="1" t="s">
        <v>54</v>
      </c>
      <c r="C2990" s="1" t="s">
        <v>147</v>
      </c>
      <c r="D2990" s="2">
        <v>45375</v>
      </c>
      <c r="E2990" s="1" t="s">
        <v>2785</v>
      </c>
      <c r="F2990" s="5">
        <f t="shared" si="185"/>
        <v>8487.6299999999992</v>
      </c>
      <c r="G2990" s="1">
        <v>40</v>
      </c>
      <c r="H2990" s="1" t="str">
        <f t="shared" si="186"/>
        <v>High</v>
      </c>
      <c r="I2990" s="1" t="str">
        <f t="shared" si="187"/>
        <v>Other</v>
      </c>
      <c r="J2990" s="1">
        <f t="shared" si="188"/>
        <v>63954.920000000006</v>
      </c>
    </row>
    <row r="2991" spans="1:10" ht="12.75">
      <c r="A2991" s="1" t="s">
        <v>24</v>
      </c>
      <c r="B2991" s="1" t="s">
        <v>5</v>
      </c>
      <c r="C2991" s="1" t="s">
        <v>52</v>
      </c>
      <c r="D2991" s="2">
        <v>45515</v>
      </c>
      <c r="E2991" s="1" t="s">
        <v>2786</v>
      </c>
      <c r="F2991" s="5">
        <f t="shared" si="185"/>
        <v>71.989999999999995</v>
      </c>
      <c r="G2991" s="1">
        <v>101</v>
      </c>
      <c r="H2991" s="1" t="str">
        <f t="shared" si="186"/>
        <v>Low</v>
      </c>
      <c r="I2991" s="1" t="str">
        <f t="shared" si="187"/>
        <v>Other</v>
      </c>
      <c r="J2991" s="1">
        <f t="shared" si="188"/>
        <v>63954.920000000006</v>
      </c>
    </row>
    <row r="2992" spans="1:10" ht="12.75">
      <c r="A2992" s="1" t="s">
        <v>13</v>
      </c>
      <c r="B2992" s="1" t="s">
        <v>39</v>
      </c>
      <c r="C2992" s="1" t="s">
        <v>91</v>
      </c>
      <c r="D2992" s="2">
        <v>45429</v>
      </c>
      <c r="E2992" s="1" t="s">
        <v>2787</v>
      </c>
      <c r="F2992" s="5">
        <f t="shared" si="185"/>
        <v>9863.6200000000008</v>
      </c>
      <c r="G2992" s="1">
        <v>167</v>
      </c>
      <c r="H2992" s="1" t="str">
        <f t="shared" si="186"/>
        <v>High</v>
      </c>
      <c r="I2992" s="1" t="str">
        <f t="shared" si="187"/>
        <v>Other</v>
      </c>
      <c r="J2992" s="1">
        <f t="shared" si="188"/>
        <v>63954.920000000006</v>
      </c>
    </row>
    <row r="2993" spans="1:10" ht="12.75">
      <c r="A2993" s="1" t="s">
        <v>8</v>
      </c>
      <c r="B2993" s="1" t="s">
        <v>62</v>
      </c>
      <c r="C2993" s="1" t="s">
        <v>102</v>
      </c>
      <c r="D2993" s="2">
        <v>45430</v>
      </c>
      <c r="E2993" s="1" t="s">
        <v>2788</v>
      </c>
      <c r="F2993" s="5">
        <f t="shared" si="185"/>
        <v>3468.53</v>
      </c>
      <c r="G2993" s="1">
        <v>166</v>
      </c>
      <c r="H2993" s="1" t="str">
        <f t="shared" si="186"/>
        <v>High</v>
      </c>
      <c r="I2993" s="1" t="str">
        <f t="shared" si="187"/>
        <v>Other</v>
      </c>
      <c r="J2993" s="1">
        <f t="shared" si="188"/>
        <v>63954.920000000006</v>
      </c>
    </row>
    <row r="2994" spans="1:10" ht="12.75">
      <c r="A2994" s="1" t="s">
        <v>26</v>
      </c>
      <c r="B2994" s="1" t="s">
        <v>39</v>
      </c>
      <c r="C2994" s="1" t="s">
        <v>45</v>
      </c>
      <c r="D2994" s="2">
        <v>45521</v>
      </c>
      <c r="E2994" s="1" t="s">
        <v>2789</v>
      </c>
      <c r="F2994" s="5">
        <f t="shared" si="185"/>
        <v>6770.35</v>
      </c>
      <c r="G2994" s="1">
        <v>173</v>
      </c>
      <c r="H2994" s="1" t="str">
        <f t="shared" si="186"/>
        <v>High</v>
      </c>
      <c r="I2994" s="1" t="str">
        <f t="shared" si="187"/>
        <v>Other</v>
      </c>
      <c r="J2994" s="1">
        <f t="shared" si="188"/>
        <v>63954.920000000006</v>
      </c>
    </row>
    <row r="2995" spans="1:10" ht="12.75">
      <c r="A2995" s="1" t="s">
        <v>17</v>
      </c>
      <c r="B2995" s="1" t="s">
        <v>54</v>
      </c>
      <c r="C2995" s="1" t="s">
        <v>63</v>
      </c>
      <c r="D2995" s="2">
        <v>45386</v>
      </c>
      <c r="E2995" s="1" t="s">
        <v>2790</v>
      </c>
      <c r="F2995" s="5">
        <f t="shared" si="185"/>
        <v>564.14</v>
      </c>
      <c r="G2995" s="1">
        <v>50</v>
      </c>
      <c r="H2995" s="1" t="str">
        <f t="shared" si="186"/>
        <v>Medium</v>
      </c>
      <c r="I2995" s="1" t="str">
        <f t="shared" si="187"/>
        <v>Other</v>
      </c>
      <c r="J2995" s="1">
        <f t="shared" si="188"/>
        <v>63954.920000000006</v>
      </c>
    </row>
    <row r="2996" spans="1:10" ht="12.75">
      <c r="A2996" s="1" t="s">
        <v>7</v>
      </c>
      <c r="B2996" s="1" t="s">
        <v>42</v>
      </c>
      <c r="C2996" s="1" t="s">
        <v>43</v>
      </c>
      <c r="D2996" s="2">
        <v>45513</v>
      </c>
      <c r="E2996" s="1" t="s">
        <v>2791</v>
      </c>
      <c r="F2996" s="5">
        <f t="shared" si="185"/>
        <v>21044.07</v>
      </c>
      <c r="G2996" s="1">
        <v>210</v>
      </c>
      <c r="H2996" s="1" t="str">
        <f t="shared" si="186"/>
        <v>High</v>
      </c>
      <c r="I2996" s="1" t="str">
        <f t="shared" si="187"/>
        <v>Other</v>
      </c>
      <c r="J2996" s="1">
        <f t="shared" si="188"/>
        <v>63954.920000000006</v>
      </c>
    </row>
    <row r="2997" spans="1:10" ht="12.75">
      <c r="A2997" s="1" t="s">
        <v>7</v>
      </c>
      <c r="B2997" s="1" t="s">
        <v>54</v>
      </c>
      <c r="C2997" s="1" t="s">
        <v>68</v>
      </c>
      <c r="D2997" s="2">
        <v>45308</v>
      </c>
      <c r="E2997" s="1" t="s">
        <v>2792</v>
      </c>
      <c r="F2997" s="5">
        <f t="shared" si="185"/>
        <v>677.38</v>
      </c>
      <c r="G2997" s="1">
        <v>327</v>
      </c>
      <c r="H2997" s="1" t="str">
        <f t="shared" si="186"/>
        <v>Medium</v>
      </c>
      <c r="I2997" s="1" t="str">
        <f t="shared" si="187"/>
        <v>Other</v>
      </c>
      <c r="J2997" s="1">
        <f t="shared" si="188"/>
        <v>63954.920000000006</v>
      </c>
    </row>
    <row r="2998" spans="1:10" ht="12.75">
      <c r="A2998" s="1" t="s">
        <v>27</v>
      </c>
      <c r="B2998" s="1" t="s">
        <v>62</v>
      </c>
      <c r="C2998" s="1" t="s">
        <v>84</v>
      </c>
      <c r="D2998" s="2">
        <v>45336</v>
      </c>
      <c r="E2998" s="1" t="s">
        <v>2793</v>
      </c>
      <c r="F2998" s="5">
        <f t="shared" si="185"/>
        <v>4368.01</v>
      </c>
      <c r="G2998" s="1">
        <v>29</v>
      </c>
      <c r="H2998" s="1" t="str">
        <f t="shared" si="186"/>
        <v>High</v>
      </c>
      <c r="I2998" s="1" t="str">
        <f t="shared" si="187"/>
        <v>Other</v>
      </c>
      <c r="J2998" s="1">
        <f t="shared" si="188"/>
        <v>63954.920000000006</v>
      </c>
    </row>
    <row r="2999" spans="1:10" ht="12.75">
      <c r="A2999" s="1" t="s">
        <v>20</v>
      </c>
      <c r="B2999" s="1" t="s">
        <v>54</v>
      </c>
      <c r="C2999" s="1" t="s">
        <v>60</v>
      </c>
      <c r="D2999" s="2">
        <v>45428</v>
      </c>
      <c r="E2999" s="1" t="s">
        <v>2794</v>
      </c>
      <c r="F2999" s="5">
        <f t="shared" si="185"/>
        <v>9866.2000000000007</v>
      </c>
      <c r="G2999" s="1">
        <v>306</v>
      </c>
      <c r="H2999" s="1" t="str">
        <f t="shared" si="186"/>
        <v>High</v>
      </c>
      <c r="I2999" s="1" t="str">
        <f t="shared" si="187"/>
        <v>Other</v>
      </c>
      <c r="J2999" s="1">
        <f t="shared" si="188"/>
        <v>63954.920000000006</v>
      </c>
    </row>
    <row r="3000" spans="1:10" ht="12.75">
      <c r="A3000" s="1" t="s">
        <v>17</v>
      </c>
      <c r="B3000" s="1" t="s">
        <v>62</v>
      </c>
      <c r="C3000" s="1" t="s">
        <v>49</v>
      </c>
      <c r="D3000" s="2">
        <v>45367</v>
      </c>
      <c r="E3000" s="1" t="s">
        <v>2795</v>
      </c>
      <c r="F3000" s="5">
        <f t="shared" si="185"/>
        <v>10723.86</v>
      </c>
      <c r="G3000" s="1">
        <v>125</v>
      </c>
      <c r="H3000" s="1" t="str">
        <f t="shared" si="186"/>
        <v>High</v>
      </c>
      <c r="I3000" s="1" t="str">
        <f t="shared" si="187"/>
        <v>Other</v>
      </c>
      <c r="J3000" s="1">
        <f t="shared" si="188"/>
        <v>63954.920000000006</v>
      </c>
    </row>
    <row r="3001" spans="1:10" ht="12.75">
      <c r="A3001" s="1" t="s">
        <v>13</v>
      </c>
      <c r="B3001" s="1" t="s">
        <v>62</v>
      </c>
      <c r="C3001" s="1" t="s">
        <v>147</v>
      </c>
      <c r="D3001" s="2">
        <v>45322</v>
      </c>
      <c r="E3001" s="1" t="s">
        <v>2796</v>
      </c>
      <c r="F3001" s="5">
        <f t="shared" si="185"/>
        <v>5443.42</v>
      </c>
      <c r="G3001" s="1">
        <v>284</v>
      </c>
      <c r="H3001" s="1" t="str">
        <f t="shared" si="186"/>
        <v>High</v>
      </c>
      <c r="I3001" s="1" t="str">
        <f t="shared" si="187"/>
        <v>Other</v>
      </c>
      <c r="J3001" s="1">
        <f t="shared" si="188"/>
        <v>63954.920000000006</v>
      </c>
    </row>
    <row r="3002" spans="1:10" ht="12.75">
      <c r="A3002" s="1" t="s">
        <v>16</v>
      </c>
      <c r="B3002" s="1" t="s">
        <v>62</v>
      </c>
      <c r="C3002" s="1" t="s">
        <v>68</v>
      </c>
      <c r="D3002" s="2">
        <v>45361</v>
      </c>
      <c r="E3002" s="1" t="s">
        <v>2797</v>
      </c>
      <c r="F3002" s="5">
        <f t="shared" si="185"/>
        <v>1312.35</v>
      </c>
      <c r="G3002" s="1">
        <v>200</v>
      </c>
      <c r="H3002" s="1" t="str">
        <f t="shared" si="186"/>
        <v>High</v>
      </c>
      <c r="I3002" s="1" t="str">
        <f t="shared" si="187"/>
        <v>Other</v>
      </c>
      <c r="J3002" s="1">
        <f t="shared" si="188"/>
        <v>63954.920000000006</v>
      </c>
    </row>
    <row r="3003" spans="1:10" ht="12.75">
      <c r="A3003" s="1" t="s">
        <v>22</v>
      </c>
      <c r="B3003" s="1" t="s">
        <v>39</v>
      </c>
      <c r="C3003" s="1" t="s">
        <v>68</v>
      </c>
      <c r="D3003" s="2">
        <v>45473</v>
      </c>
      <c r="E3003" s="1" t="s">
        <v>2798</v>
      </c>
      <c r="F3003" s="5">
        <f t="shared" si="185"/>
        <v>8471.68</v>
      </c>
      <c r="G3003" s="1">
        <v>162</v>
      </c>
      <c r="H3003" s="1" t="str">
        <f t="shared" si="186"/>
        <v>High</v>
      </c>
      <c r="I3003" s="1" t="str">
        <f t="shared" si="187"/>
        <v>Other</v>
      </c>
      <c r="J3003" s="1">
        <f t="shared" si="188"/>
        <v>63954.920000000006</v>
      </c>
    </row>
    <row r="3004" spans="1:10" ht="12.75">
      <c r="A3004" s="1" t="s">
        <v>10</v>
      </c>
      <c r="B3004" s="1" t="s">
        <v>54</v>
      </c>
      <c r="C3004" s="1" t="s">
        <v>63</v>
      </c>
      <c r="D3004" s="2">
        <v>45352</v>
      </c>
      <c r="E3004" s="1" t="s">
        <v>2799</v>
      </c>
      <c r="F3004" s="5">
        <f t="shared" si="185"/>
        <v>5774.6</v>
      </c>
      <c r="G3004" s="1">
        <v>178</v>
      </c>
      <c r="H3004" s="1" t="str">
        <f t="shared" si="186"/>
        <v>High</v>
      </c>
      <c r="I3004" s="1" t="str">
        <f t="shared" si="187"/>
        <v>Other</v>
      </c>
      <c r="J3004" s="1">
        <f t="shared" si="188"/>
        <v>63954.920000000006</v>
      </c>
    </row>
    <row r="3005" spans="1:10" ht="12.75">
      <c r="A3005" s="1" t="s">
        <v>2</v>
      </c>
      <c r="B3005" s="1" t="s">
        <v>39</v>
      </c>
      <c r="C3005" s="1" t="s">
        <v>65</v>
      </c>
      <c r="D3005" s="2">
        <v>45439</v>
      </c>
      <c r="E3005" s="1" t="s">
        <v>2800</v>
      </c>
      <c r="F3005" s="5">
        <f t="shared" si="185"/>
        <v>3780.02</v>
      </c>
      <c r="G3005" s="1">
        <v>97</v>
      </c>
      <c r="H3005" s="1" t="str">
        <f t="shared" si="186"/>
        <v>High</v>
      </c>
      <c r="I3005" s="1" t="str">
        <f t="shared" si="187"/>
        <v>Other</v>
      </c>
      <c r="J3005" s="1">
        <f t="shared" si="188"/>
        <v>63954.920000000006</v>
      </c>
    </row>
    <row r="3006" spans="1:10" ht="12.75">
      <c r="A3006" s="1" t="s">
        <v>22</v>
      </c>
      <c r="B3006" s="1" t="s">
        <v>39</v>
      </c>
      <c r="C3006" s="1" t="s">
        <v>72</v>
      </c>
      <c r="D3006" s="2">
        <v>45484</v>
      </c>
      <c r="E3006" s="1" t="s">
        <v>2801</v>
      </c>
      <c r="F3006" s="5">
        <f t="shared" si="185"/>
        <v>6831.03</v>
      </c>
      <c r="G3006" s="1">
        <v>243</v>
      </c>
      <c r="H3006" s="1" t="str">
        <f t="shared" si="186"/>
        <v>High</v>
      </c>
      <c r="I3006" s="1" t="str">
        <f t="shared" si="187"/>
        <v>Other</v>
      </c>
      <c r="J3006" s="1">
        <f t="shared" si="188"/>
        <v>60174.9</v>
      </c>
    </row>
    <row r="3007" spans="1:10" ht="12.75">
      <c r="A3007" s="1" t="s">
        <v>18</v>
      </c>
      <c r="B3007" s="1" t="s">
        <v>54</v>
      </c>
      <c r="C3007" s="1" t="s">
        <v>40</v>
      </c>
      <c r="D3007" s="2">
        <v>45353</v>
      </c>
      <c r="E3007" s="1" t="s">
        <v>2802</v>
      </c>
      <c r="F3007" s="5">
        <f t="shared" si="185"/>
        <v>4834.51</v>
      </c>
      <c r="G3007" s="1">
        <v>63</v>
      </c>
      <c r="H3007" s="1" t="str">
        <f t="shared" si="186"/>
        <v>High</v>
      </c>
      <c r="I3007" s="1" t="str">
        <f t="shared" si="187"/>
        <v>Other</v>
      </c>
      <c r="J3007" s="1">
        <f t="shared" si="188"/>
        <v>60174.9</v>
      </c>
    </row>
    <row r="3008" spans="1:10" ht="12.75">
      <c r="A3008" s="1" t="s">
        <v>11</v>
      </c>
      <c r="B3008" s="1" t="s">
        <v>59</v>
      </c>
      <c r="C3008" s="1" t="s">
        <v>100</v>
      </c>
      <c r="D3008" s="2">
        <v>45355</v>
      </c>
      <c r="E3008" s="1" t="s">
        <v>2803</v>
      </c>
      <c r="F3008" s="5">
        <f t="shared" si="185"/>
        <v>8119.65</v>
      </c>
      <c r="G3008" s="1">
        <v>143</v>
      </c>
      <c r="H3008" s="1" t="str">
        <f t="shared" si="186"/>
        <v>High</v>
      </c>
      <c r="I3008" s="1" t="str">
        <f t="shared" si="187"/>
        <v>Other</v>
      </c>
      <c r="J3008" s="1">
        <f t="shared" si="188"/>
        <v>60174.9</v>
      </c>
    </row>
    <row r="3009" spans="1:10" ht="12.75">
      <c r="A3009" s="1" t="s">
        <v>12</v>
      </c>
      <c r="B3009" s="1" t="s">
        <v>39</v>
      </c>
      <c r="C3009" s="1" t="s">
        <v>43</v>
      </c>
      <c r="D3009" s="2">
        <v>45466</v>
      </c>
      <c r="E3009" s="1" t="s">
        <v>2804</v>
      </c>
      <c r="F3009" s="5">
        <f t="shared" si="185"/>
        <v>4811.88</v>
      </c>
      <c r="G3009" s="1">
        <v>242</v>
      </c>
      <c r="H3009" s="1" t="str">
        <f t="shared" si="186"/>
        <v>High</v>
      </c>
      <c r="I3009" s="1" t="str">
        <f t="shared" si="187"/>
        <v>Other</v>
      </c>
      <c r="J3009" s="1">
        <f t="shared" si="188"/>
        <v>60174.9</v>
      </c>
    </row>
    <row r="3010" spans="1:10" ht="12.75">
      <c r="A3010" s="1" t="s">
        <v>12</v>
      </c>
      <c r="B3010" s="1" t="s">
        <v>59</v>
      </c>
      <c r="C3010" s="1" t="s">
        <v>91</v>
      </c>
      <c r="D3010" s="2">
        <v>45318</v>
      </c>
      <c r="E3010" s="1" t="s">
        <v>2805</v>
      </c>
      <c r="F3010" s="5">
        <f t="shared" ref="F3010:F3073" si="189">VALUE(SUBSTITUTE(E3010,"$",""))</f>
        <v>5930.01</v>
      </c>
      <c r="G3010" s="1">
        <v>252</v>
      </c>
      <c r="H3010" s="1" t="str">
        <f t="shared" ref="H3010:H3073" si="190">IF(F3010&gt;800,"High",IF(F3010&gt;500,"Medium","Low"))</f>
        <v>High</v>
      </c>
      <c r="I3010" s="1" t="str">
        <f t="shared" ref="I3010:I3073" si="191">IF(AND(B3010="Australia",A3010="Mallorie Waber"),"Top Local","Other")</f>
        <v>Other</v>
      </c>
      <c r="J3010" s="1">
        <f t="shared" ref="J3010:J3073" si="192">SUMIF(A3010:A6290,"Mallorie Waber",F3010:F6290)</f>
        <v>60174.9</v>
      </c>
    </row>
    <row r="3011" spans="1:10" ht="12.75">
      <c r="A3011" s="1" t="s">
        <v>14</v>
      </c>
      <c r="B3011" s="1" t="s">
        <v>62</v>
      </c>
      <c r="C3011" s="1" t="s">
        <v>60</v>
      </c>
      <c r="D3011" s="2">
        <v>45305</v>
      </c>
      <c r="E3011" s="1" t="s">
        <v>2806</v>
      </c>
      <c r="F3011" s="5">
        <f t="shared" si="189"/>
        <v>3040.05</v>
      </c>
      <c r="G3011" s="1">
        <v>426</v>
      </c>
      <c r="H3011" s="1" t="str">
        <f t="shared" si="190"/>
        <v>High</v>
      </c>
      <c r="I3011" s="1" t="str">
        <f t="shared" si="191"/>
        <v>Other</v>
      </c>
      <c r="J3011" s="1">
        <f t="shared" si="192"/>
        <v>60174.9</v>
      </c>
    </row>
    <row r="3012" spans="1:10" ht="12.75">
      <c r="A3012" s="1" t="s">
        <v>6</v>
      </c>
      <c r="B3012" s="1" t="s">
        <v>42</v>
      </c>
      <c r="C3012" s="1" t="s">
        <v>81</v>
      </c>
      <c r="D3012" s="2">
        <v>45502</v>
      </c>
      <c r="E3012" s="1" t="s">
        <v>2807</v>
      </c>
      <c r="F3012" s="5">
        <f t="shared" si="189"/>
        <v>1126.8699999999999</v>
      </c>
      <c r="G3012" s="1">
        <v>23</v>
      </c>
      <c r="H3012" s="1" t="str">
        <f t="shared" si="190"/>
        <v>High</v>
      </c>
      <c r="I3012" s="1" t="str">
        <f t="shared" si="191"/>
        <v>Other</v>
      </c>
      <c r="J3012" s="1">
        <f t="shared" si="192"/>
        <v>60174.9</v>
      </c>
    </row>
    <row r="3013" spans="1:10" ht="12.75">
      <c r="A3013" s="1" t="s">
        <v>7</v>
      </c>
      <c r="B3013" s="1" t="s">
        <v>62</v>
      </c>
      <c r="C3013" s="1" t="s">
        <v>49</v>
      </c>
      <c r="D3013" s="2">
        <v>45425</v>
      </c>
      <c r="E3013" s="1" t="s">
        <v>2808</v>
      </c>
      <c r="F3013" s="5">
        <f t="shared" si="189"/>
        <v>6051.65</v>
      </c>
      <c r="G3013" s="1">
        <v>490</v>
      </c>
      <c r="H3013" s="1" t="str">
        <f t="shared" si="190"/>
        <v>High</v>
      </c>
      <c r="I3013" s="1" t="str">
        <f t="shared" si="191"/>
        <v>Other</v>
      </c>
      <c r="J3013" s="1">
        <f t="shared" si="192"/>
        <v>60174.9</v>
      </c>
    </row>
    <row r="3014" spans="1:10" ht="12.75">
      <c r="A3014" s="1" t="s">
        <v>16</v>
      </c>
      <c r="B3014" s="1" t="s">
        <v>62</v>
      </c>
      <c r="C3014" s="1" t="s">
        <v>122</v>
      </c>
      <c r="D3014" s="2">
        <v>45325</v>
      </c>
      <c r="E3014" s="1" t="s">
        <v>2809</v>
      </c>
      <c r="F3014" s="5">
        <f t="shared" si="189"/>
        <v>12279.35</v>
      </c>
      <c r="G3014" s="1">
        <v>162</v>
      </c>
      <c r="H3014" s="1" t="str">
        <f t="shared" si="190"/>
        <v>High</v>
      </c>
      <c r="I3014" s="1" t="str">
        <f t="shared" si="191"/>
        <v>Other</v>
      </c>
      <c r="J3014" s="1">
        <f t="shared" si="192"/>
        <v>60174.9</v>
      </c>
    </row>
    <row r="3015" spans="1:10" ht="12.75">
      <c r="A3015" s="1" t="s">
        <v>7</v>
      </c>
      <c r="B3015" s="1" t="s">
        <v>42</v>
      </c>
      <c r="C3015" s="1" t="s">
        <v>49</v>
      </c>
      <c r="D3015" s="2">
        <v>45439</v>
      </c>
      <c r="E3015" s="1" t="s">
        <v>2810</v>
      </c>
      <c r="F3015" s="5">
        <f t="shared" si="189"/>
        <v>7091.66</v>
      </c>
      <c r="G3015" s="1">
        <v>28</v>
      </c>
      <c r="H3015" s="1" t="str">
        <f t="shared" si="190"/>
        <v>High</v>
      </c>
      <c r="I3015" s="1" t="str">
        <f t="shared" si="191"/>
        <v>Other</v>
      </c>
      <c r="J3015" s="1">
        <f t="shared" si="192"/>
        <v>60174.9</v>
      </c>
    </row>
    <row r="3016" spans="1:10" ht="12.75">
      <c r="A3016" s="1" t="s">
        <v>15</v>
      </c>
      <c r="B3016" s="1" t="s">
        <v>5</v>
      </c>
      <c r="C3016" s="1" t="s">
        <v>65</v>
      </c>
      <c r="D3016" s="2">
        <v>45340</v>
      </c>
      <c r="E3016" s="1" t="s">
        <v>2811</v>
      </c>
      <c r="F3016" s="5">
        <f t="shared" si="189"/>
        <v>3160.97</v>
      </c>
      <c r="G3016" s="1">
        <v>25</v>
      </c>
      <c r="H3016" s="1" t="str">
        <f t="shared" si="190"/>
        <v>High</v>
      </c>
      <c r="I3016" s="1" t="str">
        <f t="shared" si="191"/>
        <v>Other</v>
      </c>
      <c r="J3016" s="1">
        <f t="shared" si="192"/>
        <v>60174.9</v>
      </c>
    </row>
    <row r="3017" spans="1:10" ht="12.75">
      <c r="A3017" s="1" t="s">
        <v>7</v>
      </c>
      <c r="B3017" s="1" t="s">
        <v>42</v>
      </c>
      <c r="C3017" s="1" t="s">
        <v>76</v>
      </c>
      <c r="D3017" s="2">
        <v>45319</v>
      </c>
      <c r="E3017" s="1" t="s">
        <v>2812</v>
      </c>
      <c r="F3017" s="5">
        <f t="shared" si="189"/>
        <v>1408.28</v>
      </c>
      <c r="G3017" s="1">
        <v>35</v>
      </c>
      <c r="H3017" s="1" t="str">
        <f t="shared" si="190"/>
        <v>High</v>
      </c>
      <c r="I3017" s="1" t="str">
        <f t="shared" si="191"/>
        <v>Other</v>
      </c>
      <c r="J3017" s="1">
        <f t="shared" si="192"/>
        <v>60174.9</v>
      </c>
    </row>
    <row r="3018" spans="1:10" ht="12.75">
      <c r="A3018" s="1" t="s">
        <v>10</v>
      </c>
      <c r="B3018" s="1" t="s">
        <v>39</v>
      </c>
      <c r="C3018" s="1" t="s">
        <v>63</v>
      </c>
      <c r="D3018" s="2">
        <v>45472</v>
      </c>
      <c r="E3018" s="1" t="s">
        <v>2813</v>
      </c>
      <c r="F3018" s="5">
        <f t="shared" si="189"/>
        <v>5776.61</v>
      </c>
      <c r="G3018" s="1">
        <v>114</v>
      </c>
      <c r="H3018" s="1" t="str">
        <f t="shared" si="190"/>
        <v>High</v>
      </c>
      <c r="I3018" s="1" t="str">
        <f t="shared" si="191"/>
        <v>Other</v>
      </c>
      <c r="J3018" s="1">
        <f t="shared" si="192"/>
        <v>60174.9</v>
      </c>
    </row>
    <row r="3019" spans="1:10" ht="12.75">
      <c r="A3019" s="1" t="s">
        <v>29</v>
      </c>
      <c r="B3019" s="1" t="s">
        <v>42</v>
      </c>
      <c r="C3019" s="1" t="s">
        <v>126</v>
      </c>
      <c r="D3019" s="2">
        <v>45304</v>
      </c>
      <c r="E3019" s="1" t="s">
        <v>2814</v>
      </c>
      <c r="F3019" s="5">
        <f t="shared" si="189"/>
        <v>4890.59</v>
      </c>
      <c r="G3019" s="1">
        <v>274</v>
      </c>
      <c r="H3019" s="1" t="str">
        <f t="shared" si="190"/>
        <v>High</v>
      </c>
      <c r="I3019" s="1" t="str">
        <f t="shared" si="191"/>
        <v>Other</v>
      </c>
      <c r="J3019" s="1">
        <f t="shared" si="192"/>
        <v>60174.9</v>
      </c>
    </row>
    <row r="3020" spans="1:10" ht="12.75">
      <c r="A3020" s="1" t="s">
        <v>11</v>
      </c>
      <c r="B3020" s="1" t="s">
        <v>39</v>
      </c>
      <c r="C3020" s="1" t="s">
        <v>52</v>
      </c>
      <c r="D3020" s="2">
        <v>45470</v>
      </c>
      <c r="E3020" s="1" t="s">
        <v>2815</v>
      </c>
      <c r="F3020" s="5">
        <f t="shared" si="189"/>
        <v>2048.13</v>
      </c>
      <c r="G3020" s="1">
        <v>172</v>
      </c>
      <c r="H3020" s="1" t="str">
        <f t="shared" si="190"/>
        <v>High</v>
      </c>
      <c r="I3020" s="1" t="str">
        <f t="shared" si="191"/>
        <v>Other</v>
      </c>
      <c r="J3020" s="1">
        <f t="shared" si="192"/>
        <v>60174.9</v>
      </c>
    </row>
    <row r="3021" spans="1:10" ht="12.75">
      <c r="A3021" s="1" t="s">
        <v>16</v>
      </c>
      <c r="B3021" s="1" t="s">
        <v>62</v>
      </c>
      <c r="C3021" s="1" t="s">
        <v>84</v>
      </c>
      <c r="D3021" s="2">
        <v>45380</v>
      </c>
      <c r="E3021" s="1" t="s">
        <v>2816</v>
      </c>
      <c r="F3021" s="5">
        <f t="shared" si="189"/>
        <v>4590.46</v>
      </c>
      <c r="G3021" s="1">
        <v>1</v>
      </c>
      <c r="H3021" s="1" t="str">
        <f t="shared" si="190"/>
        <v>High</v>
      </c>
      <c r="I3021" s="1" t="str">
        <f t="shared" si="191"/>
        <v>Other</v>
      </c>
      <c r="J3021" s="1">
        <f t="shared" si="192"/>
        <v>60174.9</v>
      </c>
    </row>
    <row r="3022" spans="1:10" ht="12.75">
      <c r="A3022" s="1" t="s">
        <v>23</v>
      </c>
      <c r="B3022" s="1" t="s">
        <v>42</v>
      </c>
      <c r="C3022" s="1" t="s">
        <v>68</v>
      </c>
      <c r="D3022" s="2">
        <v>45446</v>
      </c>
      <c r="E3022" s="1" t="s">
        <v>2817</v>
      </c>
      <c r="F3022" s="5">
        <f t="shared" si="189"/>
        <v>8665.99</v>
      </c>
      <c r="G3022" s="1">
        <v>162</v>
      </c>
      <c r="H3022" s="1" t="str">
        <f t="shared" si="190"/>
        <v>High</v>
      </c>
      <c r="I3022" s="1" t="str">
        <f t="shared" si="191"/>
        <v>Other</v>
      </c>
      <c r="J3022" s="1">
        <f t="shared" si="192"/>
        <v>60174.9</v>
      </c>
    </row>
    <row r="3023" spans="1:10" ht="12.75">
      <c r="A3023" s="1" t="s">
        <v>2</v>
      </c>
      <c r="B3023" s="1" t="s">
        <v>62</v>
      </c>
      <c r="C3023" s="1" t="s">
        <v>49</v>
      </c>
      <c r="D3023" s="2">
        <v>45372</v>
      </c>
      <c r="E3023" s="1" t="s">
        <v>2818</v>
      </c>
      <c r="F3023" s="5">
        <f t="shared" si="189"/>
        <v>2202.46</v>
      </c>
      <c r="G3023" s="1">
        <v>97</v>
      </c>
      <c r="H3023" s="1" t="str">
        <f t="shared" si="190"/>
        <v>High</v>
      </c>
      <c r="I3023" s="1" t="str">
        <f t="shared" si="191"/>
        <v>Other</v>
      </c>
      <c r="J3023" s="1">
        <f t="shared" si="192"/>
        <v>60174.9</v>
      </c>
    </row>
    <row r="3024" spans="1:10" ht="12.75">
      <c r="A3024" s="1" t="s">
        <v>2</v>
      </c>
      <c r="B3024" s="1" t="s">
        <v>42</v>
      </c>
      <c r="C3024" s="1" t="s">
        <v>63</v>
      </c>
      <c r="D3024" s="2">
        <v>45394</v>
      </c>
      <c r="E3024" s="1" t="s">
        <v>2819</v>
      </c>
      <c r="F3024" s="5">
        <f t="shared" si="189"/>
        <v>11720.11</v>
      </c>
      <c r="G3024" s="1">
        <v>48</v>
      </c>
      <c r="H3024" s="1" t="str">
        <f t="shared" si="190"/>
        <v>High</v>
      </c>
      <c r="I3024" s="1" t="str">
        <f t="shared" si="191"/>
        <v>Other</v>
      </c>
      <c r="J3024" s="1">
        <f t="shared" si="192"/>
        <v>57972.44</v>
      </c>
    </row>
    <row r="3025" spans="1:10" ht="12.75">
      <c r="A3025" s="1" t="s">
        <v>19</v>
      </c>
      <c r="B3025" s="1" t="s">
        <v>5</v>
      </c>
      <c r="C3025" s="1" t="s">
        <v>100</v>
      </c>
      <c r="D3025" s="2">
        <v>45310</v>
      </c>
      <c r="E3025" s="1" t="s">
        <v>2820</v>
      </c>
      <c r="F3025" s="5">
        <f t="shared" si="189"/>
        <v>7884.86</v>
      </c>
      <c r="G3025" s="1">
        <v>266</v>
      </c>
      <c r="H3025" s="1" t="str">
        <f t="shared" si="190"/>
        <v>High</v>
      </c>
      <c r="I3025" s="1" t="str">
        <f t="shared" si="191"/>
        <v>Other</v>
      </c>
      <c r="J3025" s="1">
        <f t="shared" si="192"/>
        <v>46252.33</v>
      </c>
    </row>
    <row r="3026" spans="1:10" ht="12.75">
      <c r="A3026" s="1" t="s">
        <v>18</v>
      </c>
      <c r="B3026" s="1" t="s">
        <v>39</v>
      </c>
      <c r="C3026" s="1" t="s">
        <v>55</v>
      </c>
      <c r="D3026" s="2">
        <v>45388</v>
      </c>
      <c r="E3026" s="1" t="s">
        <v>2821</v>
      </c>
      <c r="F3026" s="5">
        <f t="shared" si="189"/>
        <v>3857.88</v>
      </c>
      <c r="G3026" s="1">
        <v>303</v>
      </c>
      <c r="H3026" s="1" t="str">
        <f t="shared" si="190"/>
        <v>High</v>
      </c>
      <c r="I3026" s="1" t="str">
        <f t="shared" si="191"/>
        <v>Other</v>
      </c>
      <c r="J3026" s="1">
        <f t="shared" si="192"/>
        <v>46252.33</v>
      </c>
    </row>
    <row r="3027" spans="1:10" ht="12.75">
      <c r="A3027" s="1" t="s">
        <v>8</v>
      </c>
      <c r="B3027" s="1" t="s">
        <v>5</v>
      </c>
      <c r="C3027" s="1" t="s">
        <v>55</v>
      </c>
      <c r="D3027" s="2">
        <v>45506</v>
      </c>
      <c r="E3027" s="1" t="s">
        <v>2822</v>
      </c>
      <c r="F3027" s="5">
        <f t="shared" si="189"/>
        <v>10123.959999999999</v>
      </c>
      <c r="G3027" s="1">
        <v>84</v>
      </c>
      <c r="H3027" s="1" t="str">
        <f t="shared" si="190"/>
        <v>High</v>
      </c>
      <c r="I3027" s="1" t="str">
        <f t="shared" si="191"/>
        <v>Other</v>
      </c>
      <c r="J3027" s="1">
        <f t="shared" si="192"/>
        <v>46252.33</v>
      </c>
    </row>
    <row r="3028" spans="1:10" ht="12.75">
      <c r="A3028" s="1" t="s">
        <v>20</v>
      </c>
      <c r="B3028" s="1" t="s">
        <v>5</v>
      </c>
      <c r="C3028" s="1" t="s">
        <v>63</v>
      </c>
      <c r="D3028" s="2">
        <v>45394</v>
      </c>
      <c r="E3028" s="1" t="s">
        <v>2823</v>
      </c>
      <c r="F3028" s="5">
        <f t="shared" si="189"/>
        <v>8170.88</v>
      </c>
      <c r="G3028" s="1">
        <v>137</v>
      </c>
      <c r="H3028" s="1" t="str">
        <f t="shared" si="190"/>
        <v>High</v>
      </c>
      <c r="I3028" s="1" t="str">
        <f t="shared" si="191"/>
        <v>Other</v>
      </c>
      <c r="J3028" s="1">
        <f t="shared" si="192"/>
        <v>46252.33</v>
      </c>
    </row>
    <row r="3029" spans="1:10" ht="12.75">
      <c r="A3029" s="1" t="s">
        <v>22</v>
      </c>
      <c r="B3029" s="1" t="s">
        <v>42</v>
      </c>
      <c r="C3029" s="1" t="s">
        <v>65</v>
      </c>
      <c r="D3029" s="2">
        <v>45494</v>
      </c>
      <c r="E3029" s="1" t="s">
        <v>2824</v>
      </c>
      <c r="F3029" s="5">
        <f t="shared" si="189"/>
        <v>19390.61</v>
      </c>
      <c r="G3029" s="1">
        <v>141</v>
      </c>
      <c r="H3029" s="1" t="str">
        <f t="shared" si="190"/>
        <v>High</v>
      </c>
      <c r="I3029" s="1" t="str">
        <f t="shared" si="191"/>
        <v>Other</v>
      </c>
      <c r="J3029" s="1">
        <f t="shared" si="192"/>
        <v>46252.33</v>
      </c>
    </row>
    <row r="3030" spans="1:10" ht="12.75">
      <c r="A3030" s="1" t="s">
        <v>10</v>
      </c>
      <c r="B3030" s="1" t="s">
        <v>54</v>
      </c>
      <c r="C3030" s="1" t="s">
        <v>122</v>
      </c>
      <c r="D3030" s="2">
        <v>45373</v>
      </c>
      <c r="E3030" s="1" t="s">
        <v>2825</v>
      </c>
      <c r="F3030" s="5">
        <f t="shared" si="189"/>
        <v>10197.43</v>
      </c>
      <c r="G3030" s="1">
        <v>24</v>
      </c>
      <c r="H3030" s="1" t="str">
        <f t="shared" si="190"/>
        <v>High</v>
      </c>
      <c r="I3030" s="1" t="str">
        <f t="shared" si="191"/>
        <v>Other</v>
      </c>
      <c r="J3030" s="1">
        <f t="shared" si="192"/>
        <v>46252.33</v>
      </c>
    </row>
    <row r="3031" spans="1:10" ht="12.75">
      <c r="A3031" s="1" t="s">
        <v>13</v>
      </c>
      <c r="B3031" s="1" t="s">
        <v>42</v>
      </c>
      <c r="C3031" s="1" t="s">
        <v>45</v>
      </c>
      <c r="D3031" s="2">
        <v>45421</v>
      </c>
      <c r="E3031" s="1" t="s">
        <v>2826</v>
      </c>
      <c r="F3031" s="5">
        <f t="shared" si="189"/>
        <v>5188.18</v>
      </c>
      <c r="G3031" s="1">
        <v>5</v>
      </c>
      <c r="H3031" s="1" t="str">
        <f t="shared" si="190"/>
        <v>High</v>
      </c>
      <c r="I3031" s="1" t="str">
        <f t="shared" si="191"/>
        <v>Other</v>
      </c>
      <c r="J3031" s="1">
        <f t="shared" si="192"/>
        <v>46252.33</v>
      </c>
    </row>
    <row r="3032" spans="1:10" ht="12.75">
      <c r="A3032" s="1" t="s">
        <v>27</v>
      </c>
      <c r="B3032" s="1" t="s">
        <v>5</v>
      </c>
      <c r="C3032" s="1" t="s">
        <v>122</v>
      </c>
      <c r="D3032" s="2">
        <v>45513</v>
      </c>
      <c r="E3032" s="1" t="s">
        <v>2827</v>
      </c>
      <c r="F3032" s="5">
        <f t="shared" si="189"/>
        <v>350.27</v>
      </c>
      <c r="G3032" s="1">
        <v>117</v>
      </c>
      <c r="H3032" s="1" t="str">
        <f t="shared" si="190"/>
        <v>Low</v>
      </c>
      <c r="I3032" s="1" t="str">
        <f t="shared" si="191"/>
        <v>Other</v>
      </c>
      <c r="J3032" s="1">
        <f t="shared" si="192"/>
        <v>46252.33</v>
      </c>
    </row>
    <row r="3033" spans="1:10" ht="12.75">
      <c r="A3033" s="1" t="s">
        <v>9</v>
      </c>
      <c r="B3033" s="1" t="s">
        <v>62</v>
      </c>
      <c r="C3033" s="1" t="s">
        <v>102</v>
      </c>
      <c r="D3033" s="2">
        <v>45493</v>
      </c>
      <c r="E3033" s="1" t="s">
        <v>2828</v>
      </c>
      <c r="F3033" s="5">
        <f t="shared" si="189"/>
        <v>3766.32</v>
      </c>
      <c r="G3033" s="1">
        <v>300</v>
      </c>
      <c r="H3033" s="1" t="str">
        <f t="shared" si="190"/>
        <v>High</v>
      </c>
      <c r="I3033" s="1" t="str">
        <f t="shared" si="191"/>
        <v>Other</v>
      </c>
      <c r="J3033" s="1">
        <f t="shared" si="192"/>
        <v>46252.33</v>
      </c>
    </row>
    <row r="3034" spans="1:10" ht="12.75">
      <c r="A3034" s="1" t="s">
        <v>7</v>
      </c>
      <c r="B3034" s="1" t="s">
        <v>42</v>
      </c>
      <c r="C3034" s="1" t="s">
        <v>147</v>
      </c>
      <c r="D3034" s="2">
        <v>45396</v>
      </c>
      <c r="E3034" s="1" t="s">
        <v>2829</v>
      </c>
      <c r="F3034" s="5">
        <f t="shared" si="189"/>
        <v>4888.37</v>
      </c>
      <c r="G3034" s="1">
        <v>435</v>
      </c>
      <c r="H3034" s="1" t="str">
        <f t="shared" si="190"/>
        <v>High</v>
      </c>
      <c r="I3034" s="1" t="str">
        <f t="shared" si="191"/>
        <v>Other</v>
      </c>
      <c r="J3034" s="1">
        <f t="shared" si="192"/>
        <v>46252.33</v>
      </c>
    </row>
    <row r="3035" spans="1:10" ht="12.75">
      <c r="A3035" s="1" t="s">
        <v>11</v>
      </c>
      <c r="B3035" s="1" t="s">
        <v>62</v>
      </c>
      <c r="C3035" s="1" t="s">
        <v>84</v>
      </c>
      <c r="D3035" s="2">
        <v>45316</v>
      </c>
      <c r="E3035" s="1" t="s">
        <v>2830</v>
      </c>
      <c r="F3035" s="5">
        <f t="shared" si="189"/>
        <v>5230.3599999999997</v>
      </c>
      <c r="G3035" s="1">
        <v>142</v>
      </c>
      <c r="H3035" s="1" t="str">
        <f t="shared" si="190"/>
        <v>High</v>
      </c>
      <c r="I3035" s="1" t="str">
        <f t="shared" si="191"/>
        <v>Other</v>
      </c>
      <c r="J3035" s="1">
        <f t="shared" si="192"/>
        <v>46252.33</v>
      </c>
    </row>
    <row r="3036" spans="1:10" ht="12.75">
      <c r="A3036" s="1" t="s">
        <v>27</v>
      </c>
      <c r="B3036" s="1" t="s">
        <v>5</v>
      </c>
      <c r="C3036" s="1" t="s">
        <v>91</v>
      </c>
      <c r="D3036" s="2">
        <v>45407</v>
      </c>
      <c r="E3036" s="1" t="s">
        <v>2831</v>
      </c>
      <c r="F3036" s="5">
        <f t="shared" si="189"/>
        <v>3790.18</v>
      </c>
      <c r="G3036" s="1">
        <v>168</v>
      </c>
      <c r="H3036" s="1" t="str">
        <f t="shared" si="190"/>
        <v>High</v>
      </c>
      <c r="I3036" s="1" t="str">
        <f t="shared" si="191"/>
        <v>Other</v>
      </c>
      <c r="J3036" s="1">
        <f t="shared" si="192"/>
        <v>46252.33</v>
      </c>
    </row>
    <row r="3037" spans="1:10" ht="12.75">
      <c r="A3037" s="1" t="s">
        <v>21</v>
      </c>
      <c r="B3037" s="1" t="s">
        <v>62</v>
      </c>
      <c r="C3037" s="1" t="s">
        <v>52</v>
      </c>
      <c r="D3037" s="2">
        <v>45308</v>
      </c>
      <c r="E3037" s="1" t="s">
        <v>2832</v>
      </c>
      <c r="F3037" s="5">
        <f t="shared" si="189"/>
        <v>302.18</v>
      </c>
      <c r="G3037" s="1">
        <v>233</v>
      </c>
      <c r="H3037" s="1" t="str">
        <f t="shared" si="190"/>
        <v>Low</v>
      </c>
      <c r="I3037" s="1" t="str">
        <f t="shared" si="191"/>
        <v>Other</v>
      </c>
      <c r="J3037" s="1">
        <f t="shared" si="192"/>
        <v>46252.33</v>
      </c>
    </row>
    <row r="3038" spans="1:10" ht="12.75">
      <c r="A3038" s="1" t="s">
        <v>18</v>
      </c>
      <c r="B3038" s="1" t="s">
        <v>59</v>
      </c>
      <c r="C3038" s="1" t="s">
        <v>63</v>
      </c>
      <c r="D3038" s="2">
        <v>45519</v>
      </c>
      <c r="E3038" s="1" t="s">
        <v>2833</v>
      </c>
      <c r="F3038" s="5">
        <f t="shared" si="189"/>
        <v>1017.17</v>
      </c>
      <c r="G3038" s="1">
        <v>123</v>
      </c>
      <c r="H3038" s="1" t="str">
        <f t="shared" si="190"/>
        <v>High</v>
      </c>
      <c r="I3038" s="1" t="str">
        <f t="shared" si="191"/>
        <v>Other</v>
      </c>
      <c r="J3038" s="1">
        <f t="shared" si="192"/>
        <v>46252.33</v>
      </c>
    </row>
    <row r="3039" spans="1:10" ht="12.75">
      <c r="A3039" s="1" t="s">
        <v>18</v>
      </c>
      <c r="B3039" s="1" t="s">
        <v>62</v>
      </c>
      <c r="C3039" s="1" t="s">
        <v>81</v>
      </c>
      <c r="D3039" s="2">
        <v>45445</v>
      </c>
      <c r="E3039" s="1" t="s">
        <v>2834</v>
      </c>
      <c r="F3039" s="5">
        <f t="shared" si="189"/>
        <v>241.36</v>
      </c>
      <c r="G3039" s="1">
        <v>17</v>
      </c>
      <c r="H3039" s="1" t="str">
        <f t="shared" si="190"/>
        <v>Low</v>
      </c>
      <c r="I3039" s="1" t="str">
        <f t="shared" si="191"/>
        <v>Other</v>
      </c>
      <c r="J3039" s="1">
        <f t="shared" si="192"/>
        <v>46252.33</v>
      </c>
    </row>
    <row r="3040" spans="1:10" ht="12.75">
      <c r="A3040" s="1" t="s">
        <v>23</v>
      </c>
      <c r="B3040" s="1" t="s">
        <v>59</v>
      </c>
      <c r="C3040" s="1" t="s">
        <v>43</v>
      </c>
      <c r="D3040" s="2">
        <v>45473</v>
      </c>
      <c r="E3040" s="1" t="s">
        <v>2835</v>
      </c>
      <c r="F3040" s="5">
        <f t="shared" si="189"/>
        <v>8347.2999999999993</v>
      </c>
      <c r="G3040" s="1">
        <v>138</v>
      </c>
      <c r="H3040" s="1" t="str">
        <f t="shared" si="190"/>
        <v>High</v>
      </c>
      <c r="I3040" s="1" t="str">
        <f t="shared" si="191"/>
        <v>Other</v>
      </c>
      <c r="J3040" s="1">
        <f t="shared" si="192"/>
        <v>46252.33</v>
      </c>
    </row>
    <row r="3041" spans="1:10" ht="12.75">
      <c r="A3041" s="1" t="s">
        <v>21</v>
      </c>
      <c r="B3041" s="1" t="s">
        <v>54</v>
      </c>
      <c r="C3041" s="1" t="s">
        <v>100</v>
      </c>
      <c r="D3041" s="2">
        <v>45332</v>
      </c>
      <c r="E3041" s="1" t="s">
        <v>2836</v>
      </c>
      <c r="F3041" s="5">
        <f t="shared" si="189"/>
        <v>6291.74</v>
      </c>
      <c r="G3041" s="1">
        <v>88</v>
      </c>
      <c r="H3041" s="1" t="str">
        <f t="shared" si="190"/>
        <v>High</v>
      </c>
      <c r="I3041" s="1" t="str">
        <f t="shared" si="191"/>
        <v>Other</v>
      </c>
      <c r="J3041" s="1">
        <f t="shared" si="192"/>
        <v>46252.33</v>
      </c>
    </row>
    <row r="3042" spans="1:10" ht="12.75">
      <c r="A3042" s="1" t="s">
        <v>14</v>
      </c>
      <c r="B3042" s="1" t="s">
        <v>62</v>
      </c>
      <c r="C3042" s="1" t="s">
        <v>126</v>
      </c>
      <c r="D3042" s="2">
        <v>45345</v>
      </c>
      <c r="E3042" s="1" t="s">
        <v>2837</v>
      </c>
      <c r="F3042" s="5">
        <f t="shared" si="189"/>
        <v>1543.77</v>
      </c>
      <c r="G3042" s="1">
        <v>674</v>
      </c>
      <c r="H3042" s="1" t="str">
        <f t="shared" si="190"/>
        <v>High</v>
      </c>
      <c r="I3042" s="1" t="str">
        <f t="shared" si="191"/>
        <v>Other</v>
      </c>
      <c r="J3042" s="1">
        <f t="shared" si="192"/>
        <v>46252.33</v>
      </c>
    </row>
    <row r="3043" spans="1:10" ht="12.75">
      <c r="A3043" s="1" t="s">
        <v>6</v>
      </c>
      <c r="B3043" s="1" t="s">
        <v>42</v>
      </c>
      <c r="C3043" s="1" t="s">
        <v>68</v>
      </c>
      <c r="D3043" s="2">
        <v>45318</v>
      </c>
      <c r="E3043" s="1" t="s">
        <v>2838</v>
      </c>
      <c r="F3043" s="5">
        <f t="shared" si="189"/>
        <v>9744.5</v>
      </c>
      <c r="G3043" s="1">
        <v>225</v>
      </c>
      <c r="H3043" s="1" t="str">
        <f t="shared" si="190"/>
        <v>High</v>
      </c>
      <c r="I3043" s="1" t="str">
        <f t="shared" si="191"/>
        <v>Other</v>
      </c>
      <c r="J3043" s="1">
        <f t="shared" si="192"/>
        <v>46252.33</v>
      </c>
    </row>
    <row r="3044" spans="1:10" ht="12.75">
      <c r="A3044" s="1" t="s">
        <v>25</v>
      </c>
      <c r="B3044" s="1" t="s">
        <v>39</v>
      </c>
      <c r="C3044" s="1" t="s">
        <v>40</v>
      </c>
      <c r="D3044" s="2">
        <v>45438</v>
      </c>
      <c r="E3044" s="1" t="s">
        <v>2839</v>
      </c>
      <c r="F3044" s="5">
        <f t="shared" si="189"/>
        <v>5414.75</v>
      </c>
      <c r="G3044" s="1">
        <v>325</v>
      </c>
      <c r="H3044" s="1" t="str">
        <f t="shared" si="190"/>
        <v>High</v>
      </c>
      <c r="I3044" s="1" t="str">
        <f t="shared" si="191"/>
        <v>Other</v>
      </c>
      <c r="J3044" s="1">
        <f t="shared" si="192"/>
        <v>46252.33</v>
      </c>
    </row>
    <row r="3045" spans="1:10" ht="12.75">
      <c r="A3045" s="1" t="s">
        <v>7</v>
      </c>
      <c r="B3045" s="1" t="s">
        <v>59</v>
      </c>
      <c r="C3045" s="1" t="s">
        <v>147</v>
      </c>
      <c r="D3045" s="2">
        <v>45396</v>
      </c>
      <c r="E3045" s="1" t="s">
        <v>2840</v>
      </c>
      <c r="F3045" s="5">
        <f t="shared" si="189"/>
        <v>1898.07</v>
      </c>
      <c r="G3045" s="1">
        <v>22</v>
      </c>
      <c r="H3045" s="1" t="str">
        <f t="shared" si="190"/>
        <v>High</v>
      </c>
      <c r="I3045" s="1" t="str">
        <f t="shared" si="191"/>
        <v>Other</v>
      </c>
      <c r="J3045" s="1">
        <f t="shared" si="192"/>
        <v>46252.33</v>
      </c>
    </row>
    <row r="3046" spans="1:10" ht="12.75">
      <c r="A3046" s="1" t="s">
        <v>9</v>
      </c>
      <c r="B3046" s="1" t="s">
        <v>5</v>
      </c>
      <c r="C3046" s="1" t="s">
        <v>51</v>
      </c>
      <c r="D3046" s="2">
        <v>45505</v>
      </c>
      <c r="E3046" s="1" t="s">
        <v>2841</v>
      </c>
      <c r="F3046" s="5">
        <f t="shared" si="189"/>
        <v>4911.08</v>
      </c>
      <c r="G3046" s="1">
        <v>163</v>
      </c>
      <c r="H3046" s="1" t="str">
        <f t="shared" si="190"/>
        <v>High</v>
      </c>
      <c r="I3046" s="1" t="str">
        <f t="shared" si="191"/>
        <v>Other</v>
      </c>
      <c r="J3046" s="1">
        <f t="shared" si="192"/>
        <v>46252.33</v>
      </c>
    </row>
    <row r="3047" spans="1:10" ht="12.75">
      <c r="A3047" s="1" t="s">
        <v>2</v>
      </c>
      <c r="B3047" s="1" t="s">
        <v>5</v>
      </c>
      <c r="C3047" s="1" t="s">
        <v>63</v>
      </c>
      <c r="D3047" s="2">
        <v>45526</v>
      </c>
      <c r="E3047" s="1" t="s">
        <v>2842</v>
      </c>
      <c r="F3047" s="5">
        <f t="shared" si="189"/>
        <v>11293.17</v>
      </c>
      <c r="G3047" s="1">
        <v>219</v>
      </c>
      <c r="H3047" s="1" t="str">
        <f t="shared" si="190"/>
        <v>High</v>
      </c>
      <c r="I3047" s="1" t="str">
        <f t="shared" si="191"/>
        <v>Top Local</v>
      </c>
      <c r="J3047" s="1">
        <f t="shared" si="192"/>
        <v>46252.33</v>
      </c>
    </row>
    <row r="3048" spans="1:10" ht="12.75">
      <c r="A3048" s="1" t="s">
        <v>14</v>
      </c>
      <c r="B3048" s="1" t="s">
        <v>42</v>
      </c>
      <c r="C3048" s="1" t="s">
        <v>51</v>
      </c>
      <c r="D3048" s="2">
        <v>45495</v>
      </c>
      <c r="E3048" s="1" t="s">
        <v>2843</v>
      </c>
      <c r="F3048" s="5">
        <f t="shared" si="189"/>
        <v>12398.37</v>
      </c>
      <c r="G3048" s="1">
        <v>161</v>
      </c>
      <c r="H3048" s="1" t="str">
        <f t="shared" si="190"/>
        <v>High</v>
      </c>
      <c r="I3048" s="1" t="str">
        <f t="shared" si="191"/>
        <v>Other</v>
      </c>
      <c r="J3048" s="1">
        <f t="shared" si="192"/>
        <v>34959.160000000003</v>
      </c>
    </row>
    <row r="3049" spans="1:10" ht="12.75">
      <c r="A3049" s="1" t="s">
        <v>13</v>
      </c>
      <c r="B3049" s="1" t="s">
        <v>59</v>
      </c>
      <c r="C3049" s="1" t="s">
        <v>81</v>
      </c>
      <c r="D3049" s="2">
        <v>45410</v>
      </c>
      <c r="E3049" s="1" t="s">
        <v>2844</v>
      </c>
      <c r="F3049" s="5">
        <f t="shared" si="189"/>
        <v>1508.57</v>
      </c>
      <c r="G3049" s="1">
        <v>28</v>
      </c>
      <c r="H3049" s="1" t="str">
        <f t="shared" si="190"/>
        <v>High</v>
      </c>
      <c r="I3049" s="1" t="str">
        <f t="shared" si="191"/>
        <v>Other</v>
      </c>
      <c r="J3049" s="1">
        <f t="shared" si="192"/>
        <v>34959.160000000003</v>
      </c>
    </row>
    <row r="3050" spans="1:10" ht="12.75">
      <c r="A3050" s="1" t="s">
        <v>12</v>
      </c>
      <c r="B3050" s="1" t="s">
        <v>5</v>
      </c>
      <c r="C3050" s="1" t="s">
        <v>91</v>
      </c>
      <c r="D3050" s="2">
        <v>45442</v>
      </c>
      <c r="E3050" s="1" t="s">
        <v>2845</v>
      </c>
      <c r="F3050" s="5">
        <f t="shared" si="189"/>
        <v>5869.09</v>
      </c>
      <c r="G3050" s="1">
        <v>354</v>
      </c>
      <c r="H3050" s="1" t="str">
        <f t="shared" si="190"/>
        <v>High</v>
      </c>
      <c r="I3050" s="1" t="str">
        <f t="shared" si="191"/>
        <v>Other</v>
      </c>
      <c r="J3050" s="1">
        <f t="shared" si="192"/>
        <v>34959.160000000003</v>
      </c>
    </row>
    <row r="3051" spans="1:10" ht="12.75">
      <c r="A3051" s="1" t="s">
        <v>17</v>
      </c>
      <c r="B3051" s="1" t="s">
        <v>59</v>
      </c>
      <c r="C3051" s="1" t="s">
        <v>72</v>
      </c>
      <c r="D3051" s="2">
        <v>45494</v>
      </c>
      <c r="E3051" s="1" t="s">
        <v>2846</v>
      </c>
      <c r="F3051" s="5">
        <f t="shared" si="189"/>
        <v>2770.47</v>
      </c>
      <c r="G3051" s="1">
        <v>159</v>
      </c>
      <c r="H3051" s="1" t="str">
        <f t="shared" si="190"/>
        <v>High</v>
      </c>
      <c r="I3051" s="1" t="str">
        <f t="shared" si="191"/>
        <v>Other</v>
      </c>
      <c r="J3051" s="1">
        <f t="shared" si="192"/>
        <v>34959.160000000003</v>
      </c>
    </row>
    <row r="3052" spans="1:10" ht="12.75">
      <c r="A3052" s="1" t="s">
        <v>15</v>
      </c>
      <c r="B3052" s="1" t="s">
        <v>39</v>
      </c>
      <c r="C3052" s="1" t="s">
        <v>126</v>
      </c>
      <c r="D3052" s="2">
        <v>45506</v>
      </c>
      <c r="E3052" s="1" t="s">
        <v>2847</v>
      </c>
      <c r="F3052" s="5">
        <f t="shared" si="189"/>
        <v>3541.73</v>
      </c>
      <c r="G3052" s="1">
        <v>494</v>
      </c>
      <c r="H3052" s="1" t="str">
        <f t="shared" si="190"/>
        <v>High</v>
      </c>
      <c r="I3052" s="1" t="str">
        <f t="shared" si="191"/>
        <v>Other</v>
      </c>
      <c r="J3052" s="1">
        <f t="shared" si="192"/>
        <v>34959.160000000003</v>
      </c>
    </row>
    <row r="3053" spans="1:10" ht="12.75">
      <c r="A3053" s="1" t="s">
        <v>7</v>
      </c>
      <c r="B3053" s="1" t="s">
        <v>54</v>
      </c>
      <c r="C3053" s="1" t="s">
        <v>147</v>
      </c>
      <c r="D3053" s="2">
        <v>45458</v>
      </c>
      <c r="E3053" s="1" t="s">
        <v>2848</v>
      </c>
      <c r="F3053" s="5">
        <f t="shared" si="189"/>
        <v>7624.41</v>
      </c>
      <c r="G3053" s="1">
        <v>139</v>
      </c>
      <c r="H3053" s="1" t="str">
        <f t="shared" si="190"/>
        <v>High</v>
      </c>
      <c r="I3053" s="1" t="str">
        <f t="shared" si="191"/>
        <v>Other</v>
      </c>
      <c r="J3053" s="1">
        <f t="shared" si="192"/>
        <v>34959.160000000003</v>
      </c>
    </row>
    <row r="3054" spans="1:10" ht="12.75">
      <c r="A3054" s="1" t="s">
        <v>22</v>
      </c>
      <c r="B3054" s="1" t="s">
        <v>42</v>
      </c>
      <c r="C3054" s="1" t="s">
        <v>43</v>
      </c>
      <c r="D3054" s="2">
        <v>45478</v>
      </c>
      <c r="E3054" s="1" t="s">
        <v>2849</v>
      </c>
      <c r="F3054" s="5">
        <f t="shared" si="189"/>
        <v>9928.42</v>
      </c>
      <c r="G3054" s="1">
        <v>130</v>
      </c>
      <c r="H3054" s="1" t="str">
        <f t="shared" si="190"/>
        <v>High</v>
      </c>
      <c r="I3054" s="1" t="str">
        <f t="shared" si="191"/>
        <v>Other</v>
      </c>
      <c r="J3054" s="1">
        <f t="shared" si="192"/>
        <v>34959.160000000003</v>
      </c>
    </row>
    <row r="3055" spans="1:10" ht="12.75">
      <c r="A3055" s="1" t="s">
        <v>8</v>
      </c>
      <c r="B3055" s="1" t="s">
        <v>54</v>
      </c>
      <c r="C3055" s="1" t="s">
        <v>49</v>
      </c>
      <c r="D3055" s="2">
        <v>45394</v>
      </c>
      <c r="E3055" s="1" t="s">
        <v>2850</v>
      </c>
      <c r="F3055" s="5">
        <f t="shared" si="189"/>
        <v>7.67</v>
      </c>
      <c r="G3055" s="1">
        <v>548</v>
      </c>
      <c r="H3055" s="1" t="str">
        <f t="shared" si="190"/>
        <v>Low</v>
      </c>
      <c r="I3055" s="1" t="str">
        <f t="shared" si="191"/>
        <v>Other</v>
      </c>
      <c r="J3055" s="1">
        <f t="shared" si="192"/>
        <v>34959.160000000003</v>
      </c>
    </row>
    <row r="3056" spans="1:10" ht="12.75">
      <c r="A3056" s="1" t="s">
        <v>20</v>
      </c>
      <c r="B3056" s="1" t="s">
        <v>5</v>
      </c>
      <c r="C3056" s="1" t="s">
        <v>147</v>
      </c>
      <c r="D3056" s="2">
        <v>45522</v>
      </c>
      <c r="E3056" s="1" t="s">
        <v>2851</v>
      </c>
      <c r="F3056" s="5">
        <f t="shared" si="189"/>
        <v>1624.86</v>
      </c>
      <c r="G3056" s="1">
        <v>103</v>
      </c>
      <c r="H3056" s="1" t="str">
        <f t="shared" si="190"/>
        <v>High</v>
      </c>
      <c r="I3056" s="1" t="str">
        <f t="shared" si="191"/>
        <v>Other</v>
      </c>
      <c r="J3056" s="1">
        <f t="shared" si="192"/>
        <v>34959.160000000003</v>
      </c>
    </row>
    <row r="3057" spans="1:10" ht="12.75">
      <c r="A3057" s="1" t="s">
        <v>15</v>
      </c>
      <c r="B3057" s="1" t="s">
        <v>39</v>
      </c>
      <c r="C3057" s="1" t="s">
        <v>55</v>
      </c>
      <c r="D3057" s="2">
        <v>45303</v>
      </c>
      <c r="E3057" s="1" t="s">
        <v>2852</v>
      </c>
      <c r="F3057" s="5">
        <f t="shared" si="189"/>
        <v>6301.56</v>
      </c>
      <c r="G3057" s="1">
        <v>287</v>
      </c>
      <c r="H3057" s="1" t="str">
        <f t="shared" si="190"/>
        <v>High</v>
      </c>
      <c r="I3057" s="1" t="str">
        <f t="shared" si="191"/>
        <v>Other</v>
      </c>
      <c r="J3057" s="1">
        <f t="shared" si="192"/>
        <v>34959.160000000003</v>
      </c>
    </row>
    <row r="3058" spans="1:10" ht="12.75">
      <c r="A3058" s="1" t="s">
        <v>23</v>
      </c>
      <c r="B3058" s="1" t="s">
        <v>62</v>
      </c>
      <c r="C3058" s="1" t="s">
        <v>84</v>
      </c>
      <c r="D3058" s="2">
        <v>45515</v>
      </c>
      <c r="E3058" s="1" t="s">
        <v>2853</v>
      </c>
      <c r="F3058" s="5">
        <f t="shared" si="189"/>
        <v>8578.4</v>
      </c>
      <c r="G3058" s="1">
        <v>15</v>
      </c>
      <c r="H3058" s="1" t="str">
        <f t="shared" si="190"/>
        <v>High</v>
      </c>
      <c r="I3058" s="1" t="str">
        <f t="shared" si="191"/>
        <v>Other</v>
      </c>
      <c r="J3058" s="1">
        <f t="shared" si="192"/>
        <v>34959.160000000003</v>
      </c>
    </row>
    <row r="3059" spans="1:10" ht="12.75">
      <c r="A3059" s="1" t="s">
        <v>11</v>
      </c>
      <c r="B3059" s="1" t="s">
        <v>5</v>
      </c>
      <c r="C3059" s="1" t="s">
        <v>76</v>
      </c>
      <c r="D3059" s="2">
        <v>45304</v>
      </c>
      <c r="E3059" s="1" t="s">
        <v>2854</v>
      </c>
      <c r="F3059" s="5">
        <f t="shared" si="189"/>
        <v>5573.57</v>
      </c>
      <c r="G3059" s="1">
        <v>372</v>
      </c>
      <c r="H3059" s="1" t="str">
        <f t="shared" si="190"/>
        <v>High</v>
      </c>
      <c r="I3059" s="1" t="str">
        <f t="shared" si="191"/>
        <v>Other</v>
      </c>
      <c r="J3059" s="1">
        <f t="shared" si="192"/>
        <v>34959.160000000003</v>
      </c>
    </row>
    <row r="3060" spans="1:10" ht="12.75">
      <c r="A3060" s="1" t="s">
        <v>13</v>
      </c>
      <c r="B3060" s="1" t="s">
        <v>39</v>
      </c>
      <c r="C3060" s="1" t="s">
        <v>122</v>
      </c>
      <c r="D3060" s="2">
        <v>45411</v>
      </c>
      <c r="E3060" s="1" t="s">
        <v>2855</v>
      </c>
      <c r="F3060" s="5">
        <f t="shared" si="189"/>
        <v>3465.68</v>
      </c>
      <c r="G3060" s="1">
        <v>133</v>
      </c>
      <c r="H3060" s="1" t="str">
        <f t="shared" si="190"/>
        <v>High</v>
      </c>
      <c r="I3060" s="1" t="str">
        <f t="shared" si="191"/>
        <v>Other</v>
      </c>
      <c r="J3060" s="1">
        <f t="shared" si="192"/>
        <v>34959.160000000003</v>
      </c>
    </row>
    <row r="3061" spans="1:10" ht="12.75">
      <c r="A3061" s="1" t="s">
        <v>19</v>
      </c>
      <c r="B3061" s="1" t="s">
        <v>54</v>
      </c>
      <c r="C3061" s="1" t="s">
        <v>52</v>
      </c>
      <c r="D3061" s="2">
        <v>45480</v>
      </c>
      <c r="E3061" s="1" t="s">
        <v>2856</v>
      </c>
      <c r="F3061" s="5">
        <f t="shared" si="189"/>
        <v>1245.9100000000001</v>
      </c>
      <c r="G3061" s="1">
        <v>90</v>
      </c>
      <c r="H3061" s="1" t="str">
        <f t="shared" si="190"/>
        <v>High</v>
      </c>
      <c r="I3061" s="1" t="str">
        <f t="shared" si="191"/>
        <v>Other</v>
      </c>
      <c r="J3061" s="1">
        <f t="shared" si="192"/>
        <v>34959.160000000003</v>
      </c>
    </row>
    <row r="3062" spans="1:10" ht="12.75">
      <c r="A3062" s="1" t="s">
        <v>9</v>
      </c>
      <c r="B3062" s="1" t="s">
        <v>54</v>
      </c>
      <c r="C3062" s="1" t="s">
        <v>40</v>
      </c>
      <c r="D3062" s="2">
        <v>45362</v>
      </c>
      <c r="E3062" s="1" t="s">
        <v>2857</v>
      </c>
      <c r="F3062" s="5">
        <f t="shared" si="189"/>
        <v>8888.61</v>
      </c>
      <c r="G3062" s="1">
        <v>4</v>
      </c>
      <c r="H3062" s="1" t="str">
        <f t="shared" si="190"/>
        <v>High</v>
      </c>
      <c r="I3062" s="1" t="str">
        <f t="shared" si="191"/>
        <v>Other</v>
      </c>
      <c r="J3062" s="1">
        <f t="shared" si="192"/>
        <v>34959.160000000003</v>
      </c>
    </row>
    <row r="3063" spans="1:10" ht="12.75">
      <c r="A3063" s="1" t="s">
        <v>9</v>
      </c>
      <c r="B3063" s="1" t="s">
        <v>39</v>
      </c>
      <c r="C3063" s="1" t="s">
        <v>147</v>
      </c>
      <c r="D3063" s="2">
        <v>45338</v>
      </c>
      <c r="E3063" s="1" t="s">
        <v>2858</v>
      </c>
      <c r="F3063" s="5">
        <f t="shared" si="189"/>
        <v>5931.82</v>
      </c>
      <c r="G3063" s="1">
        <v>243</v>
      </c>
      <c r="H3063" s="1" t="str">
        <f t="shared" si="190"/>
        <v>High</v>
      </c>
      <c r="I3063" s="1" t="str">
        <f t="shared" si="191"/>
        <v>Other</v>
      </c>
      <c r="J3063" s="1">
        <f t="shared" si="192"/>
        <v>34959.160000000003</v>
      </c>
    </row>
    <row r="3064" spans="1:10" ht="12.75">
      <c r="A3064" s="1" t="s">
        <v>16</v>
      </c>
      <c r="B3064" s="1" t="s">
        <v>5</v>
      </c>
      <c r="C3064" s="1" t="s">
        <v>68</v>
      </c>
      <c r="D3064" s="2">
        <v>45298</v>
      </c>
      <c r="E3064" s="1" t="s">
        <v>2859</v>
      </c>
      <c r="F3064" s="5">
        <f t="shared" si="189"/>
        <v>2620.66</v>
      </c>
      <c r="G3064" s="1">
        <v>34</v>
      </c>
      <c r="H3064" s="1" t="str">
        <f t="shared" si="190"/>
        <v>High</v>
      </c>
      <c r="I3064" s="1" t="str">
        <f t="shared" si="191"/>
        <v>Other</v>
      </c>
      <c r="J3064" s="1">
        <f t="shared" si="192"/>
        <v>34959.160000000003</v>
      </c>
    </row>
    <row r="3065" spans="1:10" ht="12.75">
      <c r="A3065" s="1" t="s">
        <v>28</v>
      </c>
      <c r="B3065" s="1" t="s">
        <v>54</v>
      </c>
      <c r="C3065" s="1" t="s">
        <v>65</v>
      </c>
      <c r="D3065" s="2">
        <v>45303</v>
      </c>
      <c r="E3065" s="1" t="s">
        <v>2860</v>
      </c>
      <c r="F3065" s="5">
        <f t="shared" si="189"/>
        <v>1284.3699999999999</v>
      </c>
      <c r="G3065" s="1">
        <v>560</v>
      </c>
      <c r="H3065" s="1" t="str">
        <f t="shared" si="190"/>
        <v>High</v>
      </c>
      <c r="I3065" s="1" t="str">
        <f t="shared" si="191"/>
        <v>Other</v>
      </c>
      <c r="J3065" s="1">
        <f t="shared" si="192"/>
        <v>34959.160000000003</v>
      </c>
    </row>
    <row r="3066" spans="1:10" ht="12.75">
      <c r="A3066" s="1" t="s">
        <v>28</v>
      </c>
      <c r="B3066" s="1" t="s">
        <v>42</v>
      </c>
      <c r="C3066" s="1" t="s">
        <v>63</v>
      </c>
      <c r="D3066" s="2">
        <v>45452</v>
      </c>
      <c r="E3066" s="1" t="s">
        <v>2861</v>
      </c>
      <c r="F3066" s="5">
        <f t="shared" si="189"/>
        <v>11033.61</v>
      </c>
      <c r="G3066" s="1">
        <v>155</v>
      </c>
      <c r="H3066" s="1" t="str">
        <f t="shared" si="190"/>
        <v>High</v>
      </c>
      <c r="I3066" s="1" t="str">
        <f t="shared" si="191"/>
        <v>Other</v>
      </c>
      <c r="J3066" s="1">
        <f t="shared" si="192"/>
        <v>34959.160000000003</v>
      </c>
    </row>
    <row r="3067" spans="1:10" ht="12.75">
      <c r="A3067" s="1" t="s">
        <v>27</v>
      </c>
      <c r="B3067" s="1" t="s">
        <v>42</v>
      </c>
      <c r="C3067" s="1" t="s">
        <v>63</v>
      </c>
      <c r="D3067" s="2">
        <v>45428</v>
      </c>
      <c r="E3067" s="1" t="s">
        <v>2862</v>
      </c>
      <c r="F3067" s="5">
        <f t="shared" si="189"/>
        <v>2413.0500000000002</v>
      </c>
      <c r="G3067" s="1">
        <v>82</v>
      </c>
      <c r="H3067" s="1" t="str">
        <f t="shared" si="190"/>
        <v>High</v>
      </c>
      <c r="I3067" s="1" t="str">
        <f t="shared" si="191"/>
        <v>Other</v>
      </c>
      <c r="J3067" s="1">
        <f t="shared" si="192"/>
        <v>34959.160000000003</v>
      </c>
    </row>
    <row r="3068" spans="1:10" ht="12.75">
      <c r="A3068" s="1" t="s">
        <v>20</v>
      </c>
      <c r="B3068" s="1" t="s">
        <v>39</v>
      </c>
      <c r="C3068" s="1" t="s">
        <v>43</v>
      </c>
      <c r="D3068" s="2">
        <v>45466</v>
      </c>
      <c r="E3068" s="1" t="s">
        <v>2863</v>
      </c>
      <c r="F3068" s="5">
        <f t="shared" si="189"/>
        <v>13136.08</v>
      </c>
      <c r="G3068" s="1">
        <v>90</v>
      </c>
      <c r="H3068" s="1" t="str">
        <f t="shared" si="190"/>
        <v>High</v>
      </c>
      <c r="I3068" s="1" t="str">
        <f t="shared" si="191"/>
        <v>Other</v>
      </c>
      <c r="J3068" s="1">
        <f t="shared" si="192"/>
        <v>34959.160000000003</v>
      </c>
    </row>
    <row r="3069" spans="1:10" ht="12.75">
      <c r="A3069" s="1" t="s">
        <v>26</v>
      </c>
      <c r="B3069" s="1" t="s">
        <v>39</v>
      </c>
      <c r="C3069" s="1" t="s">
        <v>100</v>
      </c>
      <c r="D3069" s="2">
        <v>45319</v>
      </c>
      <c r="E3069" s="1" t="s">
        <v>2864</v>
      </c>
      <c r="F3069" s="5">
        <f t="shared" si="189"/>
        <v>14297.82</v>
      </c>
      <c r="G3069" s="1">
        <v>211</v>
      </c>
      <c r="H3069" s="1" t="str">
        <f t="shared" si="190"/>
        <v>High</v>
      </c>
      <c r="I3069" s="1" t="str">
        <f t="shared" si="191"/>
        <v>Other</v>
      </c>
      <c r="J3069" s="1">
        <f t="shared" si="192"/>
        <v>34959.160000000003</v>
      </c>
    </row>
    <row r="3070" spans="1:10" ht="12.75">
      <c r="A3070" s="1" t="s">
        <v>21</v>
      </c>
      <c r="B3070" s="1" t="s">
        <v>39</v>
      </c>
      <c r="C3070" s="1" t="s">
        <v>40</v>
      </c>
      <c r="D3070" s="2">
        <v>45487</v>
      </c>
      <c r="E3070" s="1" t="s">
        <v>2865</v>
      </c>
      <c r="F3070" s="5">
        <f t="shared" si="189"/>
        <v>2837.65</v>
      </c>
      <c r="G3070" s="1">
        <v>212</v>
      </c>
      <c r="H3070" s="1" t="str">
        <f t="shared" si="190"/>
        <v>High</v>
      </c>
      <c r="I3070" s="1" t="str">
        <f t="shared" si="191"/>
        <v>Other</v>
      </c>
      <c r="J3070" s="1">
        <f t="shared" si="192"/>
        <v>34959.160000000003</v>
      </c>
    </row>
    <row r="3071" spans="1:10" ht="12.75">
      <c r="A3071" s="1" t="s">
        <v>16</v>
      </c>
      <c r="B3071" s="1" t="s">
        <v>62</v>
      </c>
      <c r="C3071" s="1" t="s">
        <v>65</v>
      </c>
      <c r="D3071" s="2">
        <v>45400</v>
      </c>
      <c r="E3071" s="1" t="s">
        <v>2866</v>
      </c>
      <c r="F3071" s="5">
        <f t="shared" si="189"/>
        <v>7496.03</v>
      </c>
      <c r="G3071" s="1">
        <v>259</v>
      </c>
      <c r="H3071" s="1" t="str">
        <f t="shared" si="190"/>
        <v>High</v>
      </c>
      <c r="I3071" s="1" t="str">
        <f t="shared" si="191"/>
        <v>Other</v>
      </c>
      <c r="J3071" s="1">
        <f t="shared" si="192"/>
        <v>34959.160000000003</v>
      </c>
    </row>
    <row r="3072" spans="1:10" ht="12.75">
      <c r="A3072" s="1" t="s">
        <v>22</v>
      </c>
      <c r="B3072" s="1" t="s">
        <v>59</v>
      </c>
      <c r="C3072" s="1" t="s">
        <v>72</v>
      </c>
      <c r="D3072" s="2">
        <v>45457</v>
      </c>
      <c r="E3072" s="1" t="s">
        <v>2867</v>
      </c>
      <c r="F3072" s="5">
        <f t="shared" si="189"/>
        <v>1815.29</v>
      </c>
      <c r="G3072" s="1">
        <v>79</v>
      </c>
      <c r="H3072" s="1" t="str">
        <f t="shared" si="190"/>
        <v>High</v>
      </c>
      <c r="I3072" s="1" t="str">
        <f t="shared" si="191"/>
        <v>Other</v>
      </c>
      <c r="J3072" s="1">
        <f t="shared" si="192"/>
        <v>34959.160000000003</v>
      </c>
    </row>
    <row r="3073" spans="1:10" ht="12.75">
      <c r="A3073" s="1" t="s">
        <v>22</v>
      </c>
      <c r="B3073" s="1" t="s">
        <v>39</v>
      </c>
      <c r="C3073" s="1" t="s">
        <v>60</v>
      </c>
      <c r="D3073" s="2">
        <v>45397</v>
      </c>
      <c r="E3073" s="1" t="s">
        <v>2868</v>
      </c>
      <c r="F3073" s="5">
        <f t="shared" si="189"/>
        <v>8250.0300000000007</v>
      </c>
      <c r="G3073" s="1">
        <v>228</v>
      </c>
      <c r="H3073" s="1" t="str">
        <f t="shared" si="190"/>
        <v>High</v>
      </c>
      <c r="I3073" s="1" t="str">
        <f t="shared" si="191"/>
        <v>Other</v>
      </c>
      <c r="J3073" s="1">
        <f t="shared" si="192"/>
        <v>34959.160000000003</v>
      </c>
    </row>
    <row r="3074" spans="1:10" ht="12.75">
      <c r="A3074" s="1" t="s">
        <v>24</v>
      </c>
      <c r="B3074" s="1" t="s">
        <v>62</v>
      </c>
      <c r="C3074" s="1" t="s">
        <v>45</v>
      </c>
      <c r="D3074" s="2">
        <v>45431</v>
      </c>
      <c r="E3074" s="1" t="s">
        <v>2869</v>
      </c>
      <c r="F3074" s="5">
        <f t="shared" ref="F3074:F3137" si="193">VALUE(SUBSTITUTE(E3074,"$",""))</f>
        <v>5605.82</v>
      </c>
      <c r="G3074" s="1">
        <v>64</v>
      </c>
      <c r="H3074" s="1" t="str">
        <f t="shared" ref="H3074:H3137" si="194">IF(F3074&gt;800,"High",IF(F3074&gt;500,"Medium","Low"))</f>
        <v>High</v>
      </c>
      <c r="I3074" s="1" t="str">
        <f t="shared" ref="I3074:I3137" si="195">IF(AND(B3074="Australia",A3074="Mallorie Waber"),"Top Local","Other")</f>
        <v>Other</v>
      </c>
      <c r="J3074" s="1">
        <f t="shared" ref="J3074:J3137" si="196">SUMIF(A3074:A6354,"Mallorie Waber",F3074:F6354)</f>
        <v>34959.160000000003</v>
      </c>
    </row>
    <row r="3075" spans="1:10" ht="12.75">
      <c r="A3075" s="1" t="s">
        <v>20</v>
      </c>
      <c r="B3075" s="1" t="s">
        <v>42</v>
      </c>
      <c r="C3075" s="1" t="s">
        <v>84</v>
      </c>
      <c r="D3075" s="2">
        <v>45395</v>
      </c>
      <c r="E3075" s="1" t="s">
        <v>2870</v>
      </c>
      <c r="F3075" s="5">
        <f t="shared" si="193"/>
        <v>1563.39</v>
      </c>
      <c r="G3075" s="1">
        <v>179</v>
      </c>
      <c r="H3075" s="1" t="str">
        <f t="shared" si="194"/>
        <v>High</v>
      </c>
      <c r="I3075" s="1" t="str">
        <f t="shared" si="195"/>
        <v>Other</v>
      </c>
      <c r="J3075" s="1">
        <f t="shared" si="196"/>
        <v>34959.160000000003</v>
      </c>
    </row>
    <row r="3076" spans="1:10" ht="12.75">
      <c r="A3076" s="1" t="s">
        <v>13</v>
      </c>
      <c r="B3076" s="1" t="s">
        <v>62</v>
      </c>
      <c r="C3076" s="1" t="s">
        <v>102</v>
      </c>
      <c r="D3076" s="2">
        <v>45519</v>
      </c>
      <c r="E3076" s="1" t="s">
        <v>2871</v>
      </c>
      <c r="F3076" s="5">
        <f t="shared" si="193"/>
        <v>3997.02</v>
      </c>
      <c r="G3076" s="1">
        <v>411</v>
      </c>
      <c r="H3076" s="1" t="str">
        <f t="shared" si="194"/>
        <v>High</v>
      </c>
      <c r="I3076" s="1" t="str">
        <f t="shared" si="195"/>
        <v>Other</v>
      </c>
      <c r="J3076" s="1">
        <f t="shared" si="196"/>
        <v>34959.160000000003</v>
      </c>
    </row>
    <row r="3077" spans="1:10" ht="12.75">
      <c r="A3077" s="1" t="s">
        <v>29</v>
      </c>
      <c r="B3077" s="1" t="s">
        <v>42</v>
      </c>
      <c r="C3077" s="1" t="s">
        <v>102</v>
      </c>
      <c r="D3077" s="2">
        <v>45526</v>
      </c>
      <c r="E3077" s="1" t="s">
        <v>2872</v>
      </c>
      <c r="F3077" s="5">
        <f t="shared" si="193"/>
        <v>3284.22</v>
      </c>
      <c r="G3077" s="1">
        <v>230</v>
      </c>
      <c r="H3077" s="1" t="str">
        <f t="shared" si="194"/>
        <v>High</v>
      </c>
      <c r="I3077" s="1" t="str">
        <f t="shared" si="195"/>
        <v>Other</v>
      </c>
      <c r="J3077" s="1">
        <f t="shared" si="196"/>
        <v>34959.160000000003</v>
      </c>
    </row>
    <row r="3078" spans="1:10" ht="12.75">
      <c r="A3078" s="1" t="s">
        <v>29</v>
      </c>
      <c r="B3078" s="1" t="s">
        <v>54</v>
      </c>
      <c r="C3078" s="1" t="s">
        <v>122</v>
      </c>
      <c r="D3078" s="2">
        <v>45404</v>
      </c>
      <c r="E3078" s="1" t="s">
        <v>2873</v>
      </c>
      <c r="F3078" s="5">
        <f t="shared" si="193"/>
        <v>4609.67</v>
      </c>
      <c r="G3078" s="1">
        <v>58</v>
      </c>
      <c r="H3078" s="1" t="str">
        <f t="shared" si="194"/>
        <v>High</v>
      </c>
      <c r="I3078" s="1" t="str">
        <f t="shared" si="195"/>
        <v>Other</v>
      </c>
      <c r="J3078" s="1">
        <f t="shared" si="196"/>
        <v>34959.160000000003</v>
      </c>
    </row>
    <row r="3079" spans="1:10" ht="12.75">
      <c r="A3079" s="1" t="s">
        <v>8</v>
      </c>
      <c r="B3079" s="1" t="s">
        <v>39</v>
      </c>
      <c r="C3079" s="1" t="s">
        <v>102</v>
      </c>
      <c r="D3079" s="2">
        <v>45507</v>
      </c>
      <c r="E3079" s="1" t="s">
        <v>2874</v>
      </c>
      <c r="F3079" s="5">
        <f t="shared" si="193"/>
        <v>9412.06</v>
      </c>
      <c r="G3079" s="1">
        <v>123</v>
      </c>
      <c r="H3079" s="1" t="str">
        <f t="shared" si="194"/>
        <v>High</v>
      </c>
      <c r="I3079" s="1" t="str">
        <f t="shared" si="195"/>
        <v>Other</v>
      </c>
      <c r="J3079" s="1">
        <f t="shared" si="196"/>
        <v>34959.160000000003</v>
      </c>
    </row>
    <row r="3080" spans="1:10" ht="12.75">
      <c r="A3080" s="1" t="s">
        <v>6</v>
      </c>
      <c r="B3080" s="1" t="s">
        <v>54</v>
      </c>
      <c r="C3080" s="1" t="s">
        <v>68</v>
      </c>
      <c r="D3080" s="2">
        <v>45295</v>
      </c>
      <c r="E3080" s="1" t="s">
        <v>2875</v>
      </c>
      <c r="F3080" s="5">
        <f t="shared" si="193"/>
        <v>427.36</v>
      </c>
      <c r="G3080" s="1">
        <v>249</v>
      </c>
      <c r="H3080" s="1" t="str">
        <f t="shared" si="194"/>
        <v>Low</v>
      </c>
      <c r="I3080" s="1" t="str">
        <f t="shared" si="195"/>
        <v>Other</v>
      </c>
      <c r="J3080" s="1">
        <f t="shared" si="196"/>
        <v>34959.160000000003</v>
      </c>
    </row>
    <row r="3081" spans="1:10" ht="12.75">
      <c r="A3081" s="1" t="s">
        <v>12</v>
      </c>
      <c r="B3081" s="1" t="s">
        <v>62</v>
      </c>
      <c r="C3081" s="1" t="s">
        <v>52</v>
      </c>
      <c r="D3081" s="2">
        <v>45304</v>
      </c>
      <c r="E3081" s="1" t="s">
        <v>2876</v>
      </c>
      <c r="F3081" s="5">
        <f t="shared" si="193"/>
        <v>19449.02</v>
      </c>
      <c r="G3081" s="1">
        <v>204</v>
      </c>
      <c r="H3081" s="1" t="str">
        <f t="shared" si="194"/>
        <v>High</v>
      </c>
      <c r="I3081" s="1" t="str">
        <f t="shared" si="195"/>
        <v>Other</v>
      </c>
      <c r="J3081" s="1">
        <f t="shared" si="196"/>
        <v>34959.160000000003</v>
      </c>
    </row>
    <row r="3082" spans="1:10" ht="12.75">
      <c r="A3082" s="1" t="s">
        <v>10</v>
      </c>
      <c r="B3082" s="1" t="s">
        <v>5</v>
      </c>
      <c r="C3082" s="1" t="s">
        <v>122</v>
      </c>
      <c r="D3082" s="2">
        <v>45423</v>
      </c>
      <c r="E3082" s="1" t="s">
        <v>2877</v>
      </c>
      <c r="F3082" s="5">
        <f t="shared" si="193"/>
        <v>14122.44</v>
      </c>
      <c r="G3082" s="1">
        <v>32</v>
      </c>
      <c r="H3082" s="1" t="str">
        <f t="shared" si="194"/>
        <v>High</v>
      </c>
      <c r="I3082" s="1" t="str">
        <f t="shared" si="195"/>
        <v>Other</v>
      </c>
      <c r="J3082" s="1">
        <f t="shared" si="196"/>
        <v>34959.160000000003</v>
      </c>
    </row>
    <row r="3083" spans="1:10" ht="12.75">
      <c r="A3083" s="1" t="s">
        <v>13</v>
      </c>
      <c r="B3083" s="1" t="s">
        <v>54</v>
      </c>
      <c r="C3083" s="1" t="s">
        <v>45</v>
      </c>
      <c r="D3083" s="2">
        <v>45338</v>
      </c>
      <c r="E3083" s="1" t="s">
        <v>2878</v>
      </c>
      <c r="F3083" s="5">
        <f t="shared" si="193"/>
        <v>2257.14</v>
      </c>
      <c r="G3083" s="1">
        <v>231</v>
      </c>
      <c r="H3083" s="1" t="str">
        <f t="shared" si="194"/>
        <v>High</v>
      </c>
      <c r="I3083" s="1" t="str">
        <f t="shared" si="195"/>
        <v>Other</v>
      </c>
      <c r="J3083" s="1">
        <f t="shared" si="196"/>
        <v>34959.160000000003</v>
      </c>
    </row>
    <row r="3084" spans="1:10" ht="12.75">
      <c r="A3084" s="1" t="s">
        <v>8</v>
      </c>
      <c r="B3084" s="1" t="s">
        <v>39</v>
      </c>
      <c r="C3084" s="1" t="s">
        <v>126</v>
      </c>
      <c r="D3084" s="2">
        <v>45432</v>
      </c>
      <c r="E3084" s="1" t="s">
        <v>2879</v>
      </c>
      <c r="F3084" s="5">
        <f t="shared" si="193"/>
        <v>11334.21</v>
      </c>
      <c r="G3084" s="1">
        <v>72</v>
      </c>
      <c r="H3084" s="1" t="str">
        <f t="shared" si="194"/>
        <v>High</v>
      </c>
      <c r="I3084" s="1" t="str">
        <f t="shared" si="195"/>
        <v>Other</v>
      </c>
      <c r="J3084" s="1">
        <f t="shared" si="196"/>
        <v>34959.160000000003</v>
      </c>
    </row>
    <row r="3085" spans="1:10" ht="12.75">
      <c r="A3085" s="1" t="s">
        <v>11</v>
      </c>
      <c r="B3085" s="1" t="s">
        <v>39</v>
      </c>
      <c r="C3085" s="1" t="s">
        <v>65</v>
      </c>
      <c r="D3085" s="2">
        <v>45325</v>
      </c>
      <c r="E3085" s="1" t="s">
        <v>2880</v>
      </c>
      <c r="F3085" s="5">
        <f t="shared" si="193"/>
        <v>7865.93</v>
      </c>
      <c r="G3085" s="1">
        <v>436</v>
      </c>
      <c r="H3085" s="1" t="str">
        <f t="shared" si="194"/>
        <v>High</v>
      </c>
      <c r="I3085" s="1" t="str">
        <f t="shared" si="195"/>
        <v>Other</v>
      </c>
      <c r="J3085" s="1">
        <f t="shared" si="196"/>
        <v>34959.160000000003</v>
      </c>
    </row>
    <row r="3086" spans="1:10" ht="12.75">
      <c r="A3086" s="1" t="s">
        <v>28</v>
      </c>
      <c r="B3086" s="1" t="s">
        <v>42</v>
      </c>
      <c r="C3086" s="1" t="s">
        <v>86</v>
      </c>
      <c r="D3086" s="2">
        <v>45418</v>
      </c>
      <c r="E3086" s="1" t="s">
        <v>2881</v>
      </c>
      <c r="F3086" s="5">
        <f t="shared" si="193"/>
        <v>11462.32</v>
      </c>
      <c r="G3086" s="1">
        <v>172</v>
      </c>
      <c r="H3086" s="1" t="str">
        <f t="shared" si="194"/>
        <v>High</v>
      </c>
      <c r="I3086" s="1" t="str">
        <f t="shared" si="195"/>
        <v>Other</v>
      </c>
      <c r="J3086" s="1">
        <f t="shared" si="196"/>
        <v>34959.160000000003</v>
      </c>
    </row>
    <row r="3087" spans="1:10" ht="12.75">
      <c r="A3087" s="1" t="s">
        <v>23</v>
      </c>
      <c r="B3087" s="1" t="s">
        <v>39</v>
      </c>
      <c r="C3087" s="1" t="s">
        <v>102</v>
      </c>
      <c r="D3087" s="2">
        <v>45473</v>
      </c>
      <c r="E3087" s="1" t="s">
        <v>2882</v>
      </c>
      <c r="F3087" s="5">
        <f t="shared" si="193"/>
        <v>6154.53</v>
      </c>
      <c r="G3087" s="1">
        <v>132</v>
      </c>
      <c r="H3087" s="1" t="str">
        <f t="shared" si="194"/>
        <v>High</v>
      </c>
      <c r="I3087" s="1" t="str">
        <f t="shared" si="195"/>
        <v>Other</v>
      </c>
      <c r="J3087" s="1">
        <f t="shared" si="196"/>
        <v>34959.160000000003</v>
      </c>
    </row>
    <row r="3088" spans="1:10" ht="12.75">
      <c r="A3088" s="1" t="s">
        <v>23</v>
      </c>
      <c r="B3088" s="1" t="s">
        <v>39</v>
      </c>
      <c r="C3088" s="1" t="s">
        <v>49</v>
      </c>
      <c r="D3088" s="2">
        <v>45373</v>
      </c>
      <c r="E3088" s="1" t="s">
        <v>2883</v>
      </c>
      <c r="F3088" s="5">
        <f t="shared" si="193"/>
        <v>867.5</v>
      </c>
      <c r="G3088" s="1">
        <v>143</v>
      </c>
      <c r="H3088" s="1" t="str">
        <f t="shared" si="194"/>
        <v>High</v>
      </c>
      <c r="I3088" s="1" t="str">
        <f t="shared" si="195"/>
        <v>Other</v>
      </c>
      <c r="J3088" s="1">
        <f t="shared" si="196"/>
        <v>34959.160000000003</v>
      </c>
    </row>
    <row r="3089" spans="1:10" ht="12.75">
      <c r="A3089" s="1" t="s">
        <v>25</v>
      </c>
      <c r="B3089" s="1" t="s">
        <v>62</v>
      </c>
      <c r="C3089" s="1" t="s">
        <v>60</v>
      </c>
      <c r="D3089" s="2">
        <v>45339</v>
      </c>
      <c r="E3089" s="1" t="s">
        <v>2884</v>
      </c>
      <c r="F3089" s="5">
        <f t="shared" si="193"/>
        <v>9056.1</v>
      </c>
      <c r="G3089" s="1">
        <v>58</v>
      </c>
      <c r="H3089" s="1" t="str">
        <f t="shared" si="194"/>
        <v>High</v>
      </c>
      <c r="I3089" s="1" t="str">
        <f t="shared" si="195"/>
        <v>Other</v>
      </c>
      <c r="J3089" s="1">
        <f t="shared" si="196"/>
        <v>34959.160000000003</v>
      </c>
    </row>
    <row r="3090" spans="1:10" ht="12.75">
      <c r="A3090" s="1" t="s">
        <v>11</v>
      </c>
      <c r="B3090" s="1" t="s">
        <v>39</v>
      </c>
      <c r="C3090" s="1" t="s">
        <v>43</v>
      </c>
      <c r="D3090" s="2">
        <v>45480</v>
      </c>
      <c r="E3090" s="1" t="s">
        <v>2885</v>
      </c>
      <c r="F3090" s="5">
        <f t="shared" si="193"/>
        <v>6569.4</v>
      </c>
      <c r="G3090" s="1">
        <v>66</v>
      </c>
      <c r="H3090" s="1" t="str">
        <f t="shared" si="194"/>
        <v>High</v>
      </c>
      <c r="I3090" s="1" t="str">
        <f t="shared" si="195"/>
        <v>Other</v>
      </c>
      <c r="J3090" s="1">
        <f t="shared" si="196"/>
        <v>34959.160000000003</v>
      </c>
    </row>
    <row r="3091" spans="1:10" ht="12.75">
      <c r="A3091" s="1" t="s">
        <v>22</v>
      </c>
      <c r="B3091" s="1" t="s">
        <v>39</v>
      </c>
      <c r="C3091" s="1" t="s">
        <v>147</v>
      </c>
      <c r="D3091" s="2">
        <v>45367</v>
      </c>
      <c r="E3091" s="1" t="s">
        <v>2886</v>
      </c>
      <c r="F3091" s="5">
        <f t="shared" si="193"/>
        <v>7431</v>
      </c>
      <c r="G3091" s="1">
        <v>180</v>
      </c>
      <c r="H3091" s="1" t="str">
        <f t="shared" si="194"/>
        <v>High</v>
      </c>
      <c r="I3091" s="1" t="str">
        <f t="shared" si="195"/>
        <v>Other</v>
      </c>
      <c r="J3091" s="1">
        <f t="shared" si="196"/>
        <v>34959.160000000003</v>
      </c>
    </row>
    <row r="3092" spans="1:10" ht="12.75">
      <c r="A3092" s="1" t="s">
        <v>12</v>
      </c>
      <c r="B3092" s="1" t="s">
        <v>39</v>
      </c>
      <c r="C3092" s="1" t="s">
        <v>51</v>
      </c>
      <c r="D3092" s="2">
        <v>45516</v>
      </c>
      <c r="E3092" s="1" t="s">
        <v>2887</v>
      </c>
      <c r="F3092" s="5">
        <f t="shared" si="193"/>
        <v>3672.65</v>
      </c>
      <c r="G3092" s="1">
        <v>124</v>
      </c>
      <c r="H3092" s="1" t="str">
        <f t="shared" si="194"/>
        <v>High</v>
      </c>
      <c r="I3092" s="1" t="str">
        <f t="shared" si="195"/>
        <v>Other</v>
      </c>
      <c r="J3092" s="1">
        <f t="shared" si="196"/>
        <v>34959.160000000003</v>
      </c>
    </row>
    <row r="3093" spans="1:10" ht="12.75">
      <c r="A3093" s="1" t="s">
        <v>20</v>
      </c>
      <c r="B3093" s="1" t="s">
        <v>54</v>
      </c>
      <c r="C3093" s="1" t="s">
        <v>52</v>
      </c>
      <c r="D3093" s="2">
        <v>45312</v>
      </c>
      <c r="E3093" s="1" t="s">
        <v>2888</v>
      </c>
      <c r="F3093" s="5">
        <f t="shared" si="193"/>
        <v>6464.8</v>
      </c>
      <c r="G3093" s="1">
        <v>189</v>
      </c>
      <c r="H3093" s="1" t="str">
        <f t="shared" si="194"/>
        <v>High</v>
      </c>
      <c r="I3093" s="1" t="str">
        <f t="shared" si="195"/>
        <v>Other</v>
      </c>
      <c r="J3093" s="1">
        <f t="shared" si="196"/>
        <v>34959.160000000003</v>
      </c>
    </row>
    <row r="3094" spans="1:10" ht="12.75">
      <c r="A3094" s="1" t="s">
        <v>22</v>
      </c>
      <c r="B3094" s="1" t="s">
        <v>5</v>
      </c>
      <c r="C3094" s="1" t="s">
        <v>55</v>
      </c>
      <c r="D3094" s="2">
        <v>45418</v>
      </c>
      <c r="E3094" s="1" t="s">
        <v>2889</v>
      </c>
      <c r="F3094" s="5">
        <f t="shared" si="193"/>
        <v>813.58</v>
      </c>
      <c r="G3094" s="1">
        <v>163</v>
      </c>
      <c r="H3094" s="1" t="str">
        <f t="shared" si="194"/>
        <v>High</v>
      </c>
      <c r="I3094" s="1" t="str">
        <f t="shared" si="195"/>
        <v>Other</v>
      </c>
      <c r="J3094" s="1">
        <f t="shared" si="196"/>
        <v>34959.160000000003</v>
      </c>
    </row>
    <row r="3095" spans="1:10" ht="12.75">
      <c r="A3095" s="1" t="s">
        <v>22</v>
      </c>
      <c r="B3095" s="1" t="s">
        <v>62</v>
      </c>
      <c r="C3095" s="1" t="s">
        <v>55</v>
      </c>
      <c r="D3095" s="2">
        <v>45467</v>
      </c>
      <c r="E3095" s="1" t="s">
        <v>2890</v>
      </c>
      <c r="F3095" s="5">
        <f t="shared" si="193"/>
        <v>7301.81</v>
      </c>
      <c r="G3095" s="1">
        <v>134</v>
      </c>
      <c r="H3095" s="1" t="str">
        <f t="shared" si="194"/>
        <v>High</v>
      </c>
      <c r="I3095" s="1" t="str">
        <f t="shared" si="195"/>
        <v>Other</v>
      </c>
      <c r="J3095" s="1">
        <f t="shared" si="196"/>
        <v>34959.160000000003</v>
      </c>
    </row>
    <row r="3096" spans="1:10" ht="12.75">
      <c r="A3096" s="1" t="s">
        <v>16</v>
      </c>
      <c r="B3096" s="1" t="s">
        <v>59</v>
      </c>
      <c r="C3096" s="1" t="s">
        <v>84</v>
      </c>
      <c r="D3096" s="2">
        <v>45417</v>
      </c>
      <c r="E3096" s="1" t="s">
        <v>2891</v>
      </c>
      <c r="F3096" s="5">
        <f t="shared" si="193"/>
        <v>8523.42</v>
      </c>
      <c r="G3096" s="1">
        <v>171</v>
      </c>
      <c r="H3096" s="1" t="str">
        <f t="shared" si="194"/>
        <v>High</v>
      </c>
      <c r="I3096" s="1" t="str">
        <f t="shared" si="195"/>
        <v>Other</v>
      </c>
      <c r="J3096" s="1">
        <f t="shared" si="196"/>
        <v>34959.160000000003</v>
      </c>
    </row>
    <row r="3097" spans="1:10" ht="12.75">
      <c r="A3097" s="1" t="s">
        <v>19</v>
      </c>
      <c r="B3097" s="1" t="s">
        <v>54</v>
      </c>
      <c r="C3097" s="1" t="s">
        <v>51</v>
      </c>
      <c r="D3097" s="2">
        <v>45376</v>
      </c>
      <c r="E3097" s="1" t="s">
        <v>2892</v>
      </c>
      <c r="F3097" s="5">
        <f t="shared" si="193"/>
        <v>3822.64</v>
      </c>
      <c r="G3097" s="1">
        <v>85</v>
      </c>
      <c r="H3097" s="1" t="str">
        <f t="shared" si="194"/>
        <v>High</v>
      </c>
      <c r="I3097" s="1" t="str">
        <f t="shared" si="195"/>
        <v>Other</v>
      </c>
      <c r="J3097" s="1">
        <f t="shared" si="196"/>
        <v>34959.160000000003</v>
      </c>
    </row>
    <row r="3098" spans="1:10" ht="12.75">
      <c r="A3098" s="1" t="s">
        <v>24</v>
      </c>
      <c r="B3098" s="1" t="s">
        <v>5</v>
      </c>
      <c r="C3098" s="1" t="s">
        <v>126</v>
      </c>
      <c r="D3098" s="2">
        <v>45336</v>
      </c>
      <c r="E3098" s="1" t="s">
        <v>2893</v>
      </c>
      <c r="F3098" s="5">
        <f t="shared" si="193"/>
        <v>10219.39</v>
      </c>
      <c r="G3098" s="1">
        <v>139</v>
      </c>
      <c r="H3098" s="1" t="str">
        <f t="shared" si="194"/>
        <v>High</v>
      </c>
      <c r="I3098" s="1" t="str">
        <f t="shared" si="195"/>
        <v>Other</v>
      </c>
      <c r="J3098" s="1">
        <f t="shared" si="196"/>
        <v>34959.160000000003</v>
      </c>
    </row>
    <row r="3099" spans="1:10" ht="12.75">
      <c r="A3099" s="1" t="s">
        <v>24</v>
      </c>
      <c r="B3099" s="1" t="s">
        <v>54</v>
      </c>
      <c r="C3099" s="1" t="s">
        <v>43</v>
      </c>
      <c r="D3099" s="2">
        <v>45424</v>
      </c>
      <c r="E3099" s="1" t="s">
        <v>2894</v>
      </c>
      <c r="F3099" s="5">
        <f t="shared" si="193"/>
        <v>5798.43</v>
      </c>
      <c r="G3099" s="1">
        <v>206</v>
      </c>
      <c r="H3099" s="1" t="str">
        <f t="shared" si="194"/>
        <v>High</v>
      </c>
      <c r="I3099" s="1" t="str">
        <f t="shared" si="195"/>
        <v>Other</v>
      </c>
      <c r="J3099" s="1">
        <f t="shared" si="196"/>
        <v>34959.160000000003</v>
      </c>
    </row>
    <row r="3100" spans="1:10" ht="12.75">
      <c r="A3100" s="1" t="s">
        <v>16</v>
      </c>
      <c r="B3100" s="1" t="s">
        <v>54</v>
      </c>
      <c r="C3100" s="1" t="s">
        <v>49</v>
      </c>
      <c r="D3100" s="2">
        <v>45316</v>
      </c>
      <c r="E3100" s="1" t="s">
        <v>2895</v>
      </c>
      <c r="F3100" s="5">
        <f t="shared" si="193"/>
        <v>4487.01</v>
      </c>
      <c r="G3100" s="1">
        <v>184</v>
      </c>
      <c r="H3100" s="1" t="str">
        <f t="shared" si="194"/>
        <v>High</v>
      </c>
      <c r="I3100" s="1" t="str">
        <f t="shared" si="195"/>
        <v>Other</v>
      </c>
      <c r="J3100" s="1">
        <f t="shared" si="196"/>
        <v>34959.160000000003</v>
      </c>
    </row>
    <row r="3101" spans="1:10" ht="12.75">
      <c r="A3101" s="1" t="s">
        <v>17</v>
      </c>
      <c r="B3101" s="1" t="s">
        <v>39</v>
      </c>
      <c r="C3101" s="1" t="s">
        <v>43</v>
      </c>
      <c r="D3101" s="2">
        <v>45471</v>
      </c>
      <c r="E3101" s="1" t="s">
        <v>2896</v>
      </c>
      <c r="F3101" s="5">
        <f t="shared" si="193"/>
        <v>17237.669999999998</v>
      </c>
      <c r="G3101" s="1">
        <v>13</v>
      </c>
      <c r="H3101" s="1" t="str">
        <f t="shared" si="194"/>
        <v>High</v>
      </c>
      <c r="I3101" s="1" t="str">
        <f t="shared" si="195"/>
        <v>Other</v>
      </c>
      <c r="J3101" s="1">
        <f t="shared" si="196"/>
        <v>34959.160000000003</v>
      </c>
    </row>
    <row r="3102" spans="1:10" ht="12.75">
      <c r="A3102" s="1" t="s">
        <v>6</v>
      </c>
      <c r="B3102" s="1" t="s">
        <v>5</v>
      </c>
      <c r="C3102" s="1" t="s">
        <v>65</v>
      </c>
      <c r="D3102" s="2">
        <v>45486</v>
      </c>
      <c r="E3102" s="1" t="s">
        <v>2897</v>
      </c>
      <c r="F3102" s="5">
        <f t="shared" si="193"/>
        <v>7497.22</v>
      </c>
      <c r="G3102" s="1">
        <v>184</v>
      </c>
      <c r="H3102" s="1" t="str">
        <f t="shared" si="194"/>
        <v>High</v>
      </c>
      <c r="I3102" s="1" t="str">
        <f t="shared" si="195"/>
        <v>Other</v>
      </c>
      <c r="J3102" s="1">
        <f t="shared" si="196"/>
        <v>34959.160000000003</v>
      </c>
    </row>
    <row r="3103" spans="1:10" ht="12.75">
      <c r="A3103" s="1" t="s">
        <v>26</v>
      </c>
      <c r="B3103" s="1" t="s">
        <v>59</v>
      </c>
      <c r="C3103" s="1" t="s">
        <v>72</v>
      </c>
      <c r="D3103" s="2">
        <v>45428</v>
      </c>
      <c r="E3103" s="1" t="s">
        <v>2898</v>
      </c>
      <c r="F3103" s="5">
        <f t="shared" si="193"/>
        <v>3034.06</v>
      </c>
      <c r="G3103" s="1">
        <v>245</v>
      </c>
      <c r="H3103" s="1" t="str">
        <f t="shared" si="194"/>
        <v>High</v>
      </c>
      <c r="I3103" s="1" t="str">
        <f t="shared" si="195"/>
        <v>Other</v>
      </c>
      <c r="J3103" s="1">
        <f t="shared" si="196"/>
        <v>34959.160000000003</v>
      </c>
    </row>
    <row r="3104" spans="1:10" ht="12.75">
      <c r="A3104" s="1" t="s">
        <v>15</v>
      </c>
      <c r="B3104" s="1" t="s">
        <v>42</v>
      </c>
      <c r="C3104" s="1" t="s">
        <v>52</v>
      </c>
      <c r="D3104" s="2">
        <v>45365</v>
      </c>
      <c r="E3104" s="1" t="s">
        <v>2899</v>
      </c>
      <c r="F3104" s="5">
        <f t="shared" si="193"/>
        <v>6795.06</v>
      </c>
      <c r="G3104" s="1">
        <v>177</v>
      </c>
      <c r="H3104" s="1" t="str">
        <f t="shared" si="194"/>
        <v>High</v>
      </c>
      <c r="I3104" s="1" t="str">
        <f t="shared" si="195"/>
        <v>Other</v>
      </c>
      <c r="J3104" s="1">
        <f t="shared" si="196"/>
        <v>34959.160000000003</v>
      </c>
    </row>
    <row r="3105" spans="1:10" ht="12.75">
      <c r="A3105" s="1" t="s">
        <v>23</v>
      </c>
      <c r="B3105" s="1" t="s">
        <v>59</v>
      </c>
      <c r="C3105" s="1" t="s">
        <v>52</v>
      </c>
      <c r="D3105" s="2">
        <v>45519</v>
      </c>
      <c r="E3105" s="1" t="s">
        <v>2900</v>
      </c>
      <c r="F3105" s="5">
        <f t="shared" si="193"/>
        <v>4273.09</v>
      </c>
      <c r="G3105" s="1">
        <v>280</v>
      </c>
      <c r="H3105" s="1" t="str">
        <f t="shared" si="194"/>
        <v>High</v>
      </c>
      <c r="I3105" s="1" t="str">
        <f t="shared" si="195"/>
        <v>Other</v>
      </c>
      <c r="J3105" s="1">
        <f t="shared" si="196"/>
        <v>34959.160000000003</v>
      </c>
    </row>
    <row r="3106" spans="1:10" ht="12.75">
      <c r="A3106" s="1" t="s">
        <v>17</v>
      </c>
      <c r="B3106" s="1" t="s">
        <v>42</v>
      </c>
      <c r="C3106" s="1" t="s">
        <v>60</v>
      </c>
      <c r="D3106" s="2">
        <v>45338</v>
      </c>
      <c r="E3106" s="1" t="s">
        <v>2901</v>
      </c>
      <c r="F3106" s="5">
        <f t="shared" si="193"/>
        <v>1412.6</v>
      </c>
      <c r="G3106" s="1">
        <v>278</v>
      </c>
      <c r="H3106" s="1" t="str">
        <f t="shared" si="194"/>
        <v>High</v>
      </c>
      <c r="I3106" s="1" t="str">
        <f t="shared" si="195"/>
        <v>Other</v>
      </c>
      <c r="J3106" s="1">
        <f t="shared" si="196"/>
        <v>34959.160000000003</v>
      </c>
    </row>
    <row r="3107" spans="1:10" ht="12.75">
      <c r="A3107" s="1" t="s">
        <v>2</v>
      </c>
      <c r="B3107" s="1" t="s">
        <v>39</v>
      </c>
      <c r="C3107" s="1" t="s">
        <v>86</v>
      </c>
      <c r="D3107" s="2">
        <v>45458</v>
      </c>
      <c r="E3107" s="1" t="s">
        <v>2902</v>
      </c>
      <c r="F3107" s="5">
        <f t="shared" si="193"/>
        <v>9852.89</v>
      </c>
      <c r="G3107" s="1">
        <v>43</v>
      </c>
      <c r="H3107" s="1" t="str">
        <f t="shared" si="194"/>
        <v>High</v>
      </c>
      <c r="I3107" s="1" t="str">
        <f t="shared" si="195"/>
        <v>Other</v>
      </c>
      <c r="J3107" s="1">
        <f t="shared" si="196"/>
        <v>34959.160000000003</v>
      </c>
    </row>
    <row r="3108" spans="1:10" ht="12.75">
      <c r="A3108" s="1" t="s">
        <v>16</v>
      </c>
      <c r="B3108" s="1" t="s">
        <v>5</v>
      </c>
      <c r="C3108" s="1" t="s">
        <v>100</v>
      </c>
      <c r="D3108" s="2">
        <v>45439</v>
      </c>
      <c r="E3108" s="1" t="s">
        <v>2903</v>
      </c>
      <c r="F3108" s="5">
        <f t="shared" si="193"/>
        <v>10744.23</v>
      </c>
      <c r="G3108" s="1">
        <v>105</v>
      </c>
      <c r="H3108" s="1" t="str">
        <f t="shared" si="194"/>
        <v>High</v>
      </c>
      <c r="I3108" s="1" t="str">
        <f t="shared" si="195"/>
        <v>Other</v>
      </c>
      <c r="J3108" s="1">
        <f t="shared" si="196"/>
        <v>25106.27</v>
      </c>
    </row>
    <row r="3109" spans="1:10" ht="12.75">
      <c r="A3109" s="1" t="s">
        <v>29</v>
      </c>
      <c r="B3109" s="1" t="s">
        <v>59</v>
      </c>
      <c r="C3109" s="1" t="s">
        <v>65</v>
      </c>
      <c r="D3109" s="2">
        <v>45457</v>
      </c>
      <c r="E3109" s="1" t="s">
        <v>2904</v>
      </c>
      <c r="F3109" s="5">
        <f t="shared" si="193"/>
        <v>1213.6300000000001</v>
      </c>
      <c r="G3109" s="1">
        <v>101</v>
      </c>
      <c r="H3109" s="1" t="str">
        <f t="shared" si="194"/>
        <v>High</v>
      </c>
      <c r="I3109" s="1" t="str">
        <f t="shared" si="195"/>
        <v>Other</v>
      </c>
      <c r="J3109" s="1">
        <f t="shared" si="196"/>
        <v>25106.27</v>
      </c>
    </row>
    <row r="3110" spans="1:10" ht="12.75">
      <c r="A3110" s="1" t="s">
        <v>29</v>
      </c>
      <c r="B3110" s="1" t="s">
        <v>42</v>
      </c>
      <c r="C3110" s="1" t="s">
        <v>63</v>
      </c>
      <c r="D3110" s="2">
        <v>45347</v>
      </c>
      <c r="E3110" s="1" t="s">
        <v>2905</v>
      </c>
      <c r="F3110" s="5">
        <f t="shared" si="193"/>
        <v>4263.93</v>
      </c>
      <c r="G3110" s="1">
        <v>80</v>
      </c>
      <c r="H3110" s="1" t="str">
        <f t="shared" si="194"/>
        <v>High</v>
      </c>
      <c r="I3110" s="1" t="str">
        <f t="shared" si="195"/>
        <v>Other</v>
      </c>
      <c r="J3110" s="1">
        <f t="shared" si="196"/>
        <v>25106.27</v>
      </c>
    </row>
    <row r="3111" spans="1:10" ht="12.75">
      <c r="A3111" s="1" t="s">
        <v>29</v>
      </c>
      <c r="B3111" s="1" t="s">
        <v>42</v>
      </c>
      <c r="C3111" s="1" t="s">
        <v>52</v>
      </c>
      <c r="D3111" s="2">
        <v>45508</v>
      </c>
      <c r="E3111" s="1" t="s">
        <v>2906</v>
      </c>
      <c r="F3111" s="5">
        <f t="shared" si="193"/>
        <v>13808.46</v>
      </c>
      <c r="G3111" s="1">
        <v>270</v>
      </c>
      <c r="H3111" s="1" t="str">
        <f t="shared" si="194"/>
        <v>High</v>
      </c>
      <c r="I3111" s="1" t="str">
        <f t="shared" si="195"/>
        <v>Other</v>
      </c>
      <c r="J3111" s="1">
        <f t="shared" si="196"/>
        <v>25106.27</v>
      </c>
    </row>
    <row r="3112" spans="1:10" ht="12.75">
      <c r="A3112" s="1" t="s">
        <v>12</v>
      </c>
      <c r="B3112" s="1" t="s">
        <v>42</v>
      </c>
      <c r="C3112" s="1" t="s">
        <v>51</v>
      </c>
      <c r="D3112" s="2">
        <v>45471</v>
      </c>
      <c r="E3112" s="1" t="s">
        <v>2907</v>
      </c>
      <c r="F3112" s="5">
        <f t="shared" si="193"/>
        <v>2411.9299999999998</v>
      </c>
      <c r="G3112" s="1">
        <v>248</v>
      </c>
      <c r="H3112" s="1" t="str">
        <f t="shared" si="194"/>
        <v>High</v>
      </c>
      <c r="I3112" s="1" t="str">
        <f t="shared" si="195"/>
        <v>Other</v>
      </c>
      <c r="J3112" s="1">
        <f t="shared" si="196"/>
        <v>25106.27</v>
      </c>
    </row>
    <row r="3113" spans="1:10" ht="12.75">
      <c r="A3113" s="1" t="s">
        <v>23</v>
      </c>
      <c r="B3113" s="1" t="s">
        <v>62</v>
      </c>
      <c r="C3113" s="1" t="s">
        <v>76</v>
      </c>
      <c r="D3113" s="2">
        <v>45387</v>
      </c>
      <c r="E3113" s="1" t="s">
        <v>2908</v>
      </c>
      <c r="F3113" s="5">
        <f t="shared" si="193"/>
        <v>14603.41</v>
      </c>
      <c r="G3113" s="1">
        <v>12</v>
      </c>
      <c r="H3113" s="1" t="str">
        <f t="shared" si="194"/>
        <v>High</v>
      </c>
      <c r="I3113" s="1" t="str">
        <f t="shared" si="195"/>
        <v>Other</v>
      </c>
      <c r="J3113" s="1">
        <f t="shared" si="196"/>
        <v>25106.27</v>
      </c>
    </row>
    <row r="3114" spans="1:10" ht="12.75">
      <c r="A3114" s="1" t="s">
        <v>9</v>
      </c>
      <c r="B3114" s="1" t="s">
        <v>62</v>
      </c>
      <c r="C3114" s="1" t="s">
        <v>45</v>
      </c>
      <c r="D3114" s="2">
        <v>45478</v>
      </c>
      <c r="E3114" s="1" t="s">
        <v>2909</v>
      </c>
      <c r="F3114" s="5">
        <f t="shared" si="193"/>
        <v>17813.77</v>
      </c>
      <c r="G3114" s="1">
        <v>120</v>
      </c>
      <c r="H3114" s="1" t="str">
        <f t="shared" si="194"/>
        <v>High</v>
      </c>
      <c r="I3114" s="1" t="str">
        <f t="shared" si="195"/>
        <v>Other</v>
      </c>
      <c r="J3114" s="1">
        <f t="shared" si="196"/>
        <v>25106.27</v>
      </c>
    </row>
    <row r="3115" spans="1:10" ht="12.75">
      <c r="A3115" s="1" t="s">
        <v>8</v>
      </c>
      <c r="B3115" s="1" t="s">
        <v>54</v>
      </c>
      <c r="C3115" s="1" t="s">
        <v>63</v>
      </c>
      <c r="D3115" s="2">
        <v>45311</v>
      </c>
      <c r="E3115" s="1" t="s">
        <v>2910</v>
      </c>
      <c r="F3115" s="5">
        <f t="shared" si="193"/>
        <v>14346.28</v>
      </c>
      <c r="G3115" s="1">
        <v>48</v>
      </c>
      <c r="H3115" s="1" t="str">
        <f t="shared" si="194"/>
        <v>High</v>
      </c>
      <c r="I3115" s="1" t="str">
        <f t="shared" si="195"/>
        <v>Other</v>
      </c>
      <c r="J3115" s="1">
        <f t="shared" si="196"/>
        <v>25106.27</v>
      </c>
    </row>
    <row r="3116" spans="1:10" ht="12.75">
      <c r="A3116" s="1" t="s">
        <v>17</v>
      </c>
      <c r="B3116" s="1" t="s">
        <v>54</v>
      </c>
      <c r="C3116" s="1" t="s">
        <v>65</v>
      </c>
      <c r="D3116" s="2">
        <v>45338</v>
      </c>
      <c r="E3116" s="1" t="s">
        <v>2911</v>
      </c>
      <c r="F3116" s="5">
        <f t="shared" si="193"/>
        <v>10009.51</v>
      </c>
      <c r="G3116" s="1">
        <v>144</v>
      </c>
      <c r="H3116" s="1" t="str">
        <f t="shared" si="194"/>
        <v>High</v>
      </c>
      <c r="I3116" s="1" t="str">
        <f t="shared" si="195"/>
        <v>Other</v>
      </c>
      <c r="J3116" s="1">
        <f t="shared" si="196"/>
        <v>25106.27</v>
      </c>
    </row>
    <row r="3117" spans="1:10" ht="12.75">
      <c r="A3117" s="1" t="s">
        <v>24</v>
      </c>
      <c r="B3117" s="1" t="s">
        <v>39</v>
      </c>
      <c r="C3117" s="1" t="s">
        <v>65</v>
      </c>
      <c r="D3117" s="2">
        <v>45485</v>
      </c>
      <c r="E3117" s="1" t="s">
        <v>2912</v>
      </c>
      <c r="F3117" s="5">
        <f t="shared" si="193"/>
        <v>494.27</v>
      </c>
      <c r="G3117" s="1">
        <v>186</v>
      </c>
      <c r="H3117" s="1" t="str">
        <f t="shared" si="194"/>
        <v>Low</v>
      </c>
      <c r="I3117" s="1" t="str">
        <f t="shared" si="195"/>
        <v>Other</v>
      </c>
      <c r="J3117" s="1">
        <f t="shared" si="196"/>
        <v>25106.27</v>
      </c>
    </row>
    <row r="3118" spans="1:10" ht="12.75">
      <c r="A3118" s="1" t="s">
        <v>12</v>
      </c>
      <c r="B3118" s="1" t="s">
        <v>42</v>
      </c>
      <c r="C3118" s="1" t="s">
        <v>100</v>
      </c>
      <c r="D3118" s="2">
        <v>45459</v>
      </c>
      <c r="E3118" s="1" t="s">
        <v>2913</v>
      </c>
      <c r="F3118" s="5">
        <f t="shared" si="193"/>
        <v>9118.67</v>
      </c>
      <c r="G3118" s="1">
        <v>253</v>
      </c>
      <c r="H3118" s="1" t="str">
        <f t="shared" si="194"/>
        <v>High</v>
      </c>
      <c r="I3118" s="1" t="str">
        <f t="shared" si="195"/>
        <v>Other</v>
      </c>
      <c r="J3118" s="1">
        <f t="shared" si="196"/>
        <v>25106.27</v>
      </c>
    </row>
    <row r="3119" spans="1:10" ht="12.75">
      <c r="A3119" s="1" t="s">
        <v>21</v>
      </c>
      <c r="B3119" s="1" t="s">
        <v>5</v>
      </c>
      <c r="C3119" s="1" t="s">
        <v>102</v>
      </c>
      <c r="D3119" s="2">
        <v>45395</v>
      </c>
      <c r="E3119" s="1" t="s">
        <v>2914</v>
      </c>
      <c r="F3119" s="5">
        <f t="shared" si="193"/>
        <v>1751.26</v>
      </c>
      <c r="G3119" s="1">
        <v>293</v>
      </c>
      <c r="H3119" s="1" t="str">
        <f t="shared" si="194"/>
        <v>High</v>
      </c>
      <c r="I3119" s="1" t="str">
        <f t="shared" si="195"/>
        <v>Other</v>
      </c>
      <c r="J3119" s="1">
        <f t="shared" si="196"/>
        <v>25106.27</v>
      </c>
    </row>
    <row r="3120" spans="1:10" ht="12.75">
      <c r="A3120" s="1" t="s">
        <v>8</v>
      </c>
      <c r="B3120" s="1" t="s">
        <v>39</v>
      </c>
      <c r="C3120" s="1" t="s">
        <v>55</v>
      </c>
      <c r="D3120" s="2">
        <v>45343</v>
      </c>
      <c r="E3120" s="1" t="s">
        <v>2915</v>
      </c>
      <c r="F3120" s="5">
        <f t="shared" si="193"/>
        <v>3402.47</v>
      </c>
      <c r="G3120" s="1">
        <v>69</v>
      </c>
      <c r="H3120" s="1" t="str">
        <f t="shared" si="194"/>
        <v>High</v>
      </c>
      <c r="I3120" s="1" t="str">
        <f t="shared" si="195"/>
        <v>Other</v>
      </c>
      <c r="J3120" s="1">
        <f t="shared" si="196"/>
        <v>25106.27</v>
      </c>
    </row>
    <row r="3121" spans="1:10" ht="12.75">
      <c r="A3121" s="1" t="s">
        <v>26</v>
      </c>
      <c r="B3121" s="1" t="s">
        <v>62</v>
      </c>
      <c r="C3121" s="1" t="s">
        <v>102</v>
      </c>
      <c r="D3121" s="2">
        <v>45423</v>
      </c>
      <c r="E3121" s="1" t="s">
        <v>2916</v>
      </c>
      <c r="F3121" s="5">
        <f t="shared" si="193"/>
        <v>6841.28</v>
      </c>
      <c r="G3121" s="1">
        <v>237</v>
      </c>
      <c r="H3121" s="1" t="str">
        <f t="shared" si="194"/>
        <v>High</v>
      </c>
      <c r="I3121" s="1" t="str">
        <f t="shared" si="195"/>
        <v>Other</v>
      </c>
      <c r="J3121" s="1">
        <f t="shared" si="196"/>
        <v>25106.27</v>
      </c>
    </row>
    <row r="3122" spans="1:10" ht="12.75">
      <c r="A3122" s="1" t="s">
        <v>17</v>
      </c>
      <c r="B3122" s="1" t="s">
        <v>42</v>
      </c>
      <c r="C3122" s="1" t="s">
        <v>55</v>
      </c>
      <c r="D3122" s="2">
        <v>45397</v>
      </c>
      <c r="E3122" s="1" t="s">
        <v>2917</v>
      </c>
      <c r="F3122" s="5">
        <f t="shared" si="193"/>
        <v>12584.46</v>
      </c>
      <c r="G3122" s="1">
        <v>328</v>
      </c>
      <c r="H3122" s="1" t="str">
        <f t="shared" si="194"/>
        <v>High</v>
      </c>
      <c r="I3122" s="1" t="str">
        <f t="shared" si="195"/>
        <v>Other</v>
      </c>
      <c r="J3122" s="1">
        <f t="shared" si="196"/>
        <v>25106.27</v>
      </c>
    </row>
    <row r="3123" spans="1:10" ht="12.75">
      <c r="A3123" s="1" t="s">
        <v>22</v>
      </c>
      <c r="B3123" s="1" t="s">
        <v>62</v>
      </c>
      <c r="C3123" s="1" t="s">
        <v>45</v>
      </c>
      <c r="D3123" s="2">
        <v>45450</v>
      </c>
      <c r="E3123" s="1" t="s">
        <v>2918</v>
      </c>
      <c r="F3123" s="5">
        <f t="shared" si="193"/>
        <v>14291.3</v>
      </c>
      <c r="G3123" s="1">
        <v>179</v>
      </c>
      <c r="H3123" s="1" t="str">
        <f t="shared" si="194"/>
        <v>High</v>
      </c>
      <c r="I3123" s="1" t="str">
        <f t="shared" si="195"/>
        <v>Other</v>
      </c>
      <c r="J3123" s="1">
        <f t="shared" si="196"/>
        <v>25106.27</v>
      </c>
    </row>
    <row r="3124" spans="1:10" ht="12.75">
      <c r="A3124" s="1" t="s">
        <v>22</v>
      </c>
      <c r="B3124" s="1" t="s">
        <v>39</v>
      </c>
      <c r="C3124" s="1" t="s">
        <v>84</v>
      </c>
      <c r="D3124" s="2">
        <v>45470</v>
      </c>
      <c r="E3124" s="1" t="s">
        <v>2919</v>
      </c>
      <c r="F3124" s="5">
        <f t="shared" si="193"/>
        <v>1998.41</v>
      </c>
      <c r="G3124" s="1">
        <v>303</v>
      </c>
      <c r="H3124" s="1" t="str">
        <f t="shared" si="194"/>
        <v>High</v>
      </c>
      <c r="I3124" s="1" t="str">
        <f t="shared" si="195"/>
        <v>Other</v>
      </c>
      <c r="J3124" s="1">
        <f t="shared" si="196"/>
        <v>25106.27</v>
      </c>
    </row>
    <row r="3125" spans="1:10" ht="12.75">
      <c r="A3125" s="1" t="s">
        <v>16</v>
      </c>
      <c r="B3125" s="1" t="s">
        <v>42</v>
      </c>
      <c r="C3125" s="1" t="s">
        <v>52</v>
      </c>
      <c r="D3125" s="2">
        <v>45502</v>
      </c>
      <c r="E3125" s="1" t="s">
        <v>2920</v>
      </c>
      <c r="F3125" s="5">
        <f t="shared" si="193"/>
        <v>9558.06</v>
      </c>
      <c r="G3125" s="1">
        <v>117</v>
      </c>
      <c r="H3125" s="1" t="str">
        <f t="shared" si="194"/>
        <v>High</v>
      </c>
      <c r="I3125" s="1" t="str">
        <f t="shared" si="195"/>
        <v>Other</v>
      </c>
      <c r="J3125" s="1">
        <f t="shared" si="196"/>
        <v>25106.27</v>
      </c>
    </row>
    <row r="3126" spans="1:10" ht="12.75">
      <c r="A3126" s="1" t="s">
        <v>29</v>
      </c>
      <c r="B3126" s="1" t="s">
        <v>62</v>
      </c>
      <c r="C3126" s="1" t="s">
        <v>49</v>
      </c>
      <c r="D3126" s="2">
        <v>45445</v>
      </c>
      <c r="E3126" s="1" t="s">
        <v>2921</v>
      </c>
      <c r="F3126" s="5">
        <f t="shared" si="193"/>
        <v>5594.84</v>
      </c>
      <c r="G3126" s="1">
        <v>174</v>
      </c>
      <c r="H3126" s="1" t="str">
        <f t="shared" si="194"/>
        <v>High</v>
      </c>
      <c r="I3126" s="1" t="str">
        <f t="shared" si="195"/>
        <v>Other</v>
      </c>
      <c r="J3126" s="1">
        <f t="shared" si="196"/>
        <v>25106.27</v>
      </c>
    </row>
    <row r="3127" spans="1:10" ht="12.75">
      <c r="A3127" s="1" t="s">
        <v>19</v>
      </c>
      <c r="B3127" s="1" t="s">
        <v>42</v>
      </c>
      <c r="C3127" s="1" t="s">
        <v>40</v>
      </c>
      <c r="D3127" s="2">
        <v>45317</v>
      </c>
      <c r="E3127" s="1" t="s">
        <v>2922</v>
      </c>
      <c r="F3127" s="5">
        <f t="shared" si="193"/>
        <v>16520.75</v>
      </c>
      <c r="G3127" s="1">
        <v>84</v>
      </c>
      <c r="H3127" s="1" t="str">
        <f t="shared" si="194"/>
        <v>High</v>
      </c>
      <c r="I3127" s="1" t="str">
        <f t="shared" si="195"/>
        <v>Other</v>
      </c>
      <c r="J3127" s="1">
        <f t="shared" si="196"/>
        <v>25106.27</v>
      </c>
    </row>
    <row r="3128" spans="1:10" ht="12.75">
      <c r="A3128" s="1" t="s">
        <v>19</v>
      </c>
      <c r="B3128" s="1" t="s">
        <v>62</v>
      </c>
      <c r="C3128" s="1" t="s">
        <v>51</v>
      </c>
      <c r="D3128" s="2">
        <v>45353</v>
      </c>
      <c r="E3128" s="1" t="s">
        <v>2923</v>
      </c>
      <c r="F3128" s="5">
        <f t="shared" si="193"/>
        <v>5545.62</v>
      </c>
      <c r="G3128" s="1">
        <v>139</v>
      </c>
      <c r="H3128" s="1" t="str">
        <f t="shared" si="194"/>
        <v>High</v>
      </c>
      <c r="I3128" s="1" t="str">
        <f t="shared" si="195"/>
        <v>Other</v>
      </c>
      <c r="J3128" s="1">
        <f t="shared" si="196"/>
        <v>25106.27</v>
      </c>
    </row>
    <row r="3129" spans="1:10" ht="12.75">
      <c r="A3129" s="1" t="s">
        <v>10</v>
      </c>
      <c r="B3129" s="1" t="s">
        <v>5</v>
      </c>
      <c r="C3129" s="1" t="s">
        <v>147</v>
      </c>
      <c r="D3129" s="2">
        <v>45301</v>
      </c>
      <c r="E3129" s="1" t="s">
        <v>2924</v>
      </c>
      <c r="F3129" s="5">
        <f t="shared" si="193"/>
        <v>8260.58</v>
      </c>
      <c r="G3129" s="1">
        <v>108</v>
      </c>
      <c r="H3129" s="1" t="str">
        <f t="shared" si="194"/>
        <v>High</v>
      </c>
      <c r="I3129" s="1" t="str">
        <f t="shared" si="195"/>
        <v>Other</v>
      </c>
      <c r="J3129" s="1">
        <f t="shared" si="196"/>
        <v>25106.27</v>
      </c>
    </row>
    <row r="3130" spans="1:10" ht="12.75">
      <c r="A3130" s="1" t="s">
        <v>28</v>
      </c>
      <c r="B3130" s="1" t="s">
        <v>59</v>
      </c>
      <c r="C3130" s="1" t="s">
        <v>147</v>
      </c>
      <c r="D3130" s="2">
        <v>45470</v>
      </c>
      <c r="E3130" s="1" t="s">
        <v>2925</v>
      </c>
      <c r="F3130" s="5">
        <f t="shared" si="193"/>
        <v>2636.16</v>
      </c>
      <c r="G3130" s="1">
        <v>110</v>
      </c>
      <c r="H3130" s="1" t="str">
        <f t="shared" si="194"/>
        <v>High</v>
      </c>
      <c r="I3130" s="1" t="str">
        <f t="shared" si="195"/>
        <v>Other</v>
      </c>
      <c r="J3130" s="1">
        <f t="shared" si="196"/>
        <v>25106.27</v>
      </c>
    </row>
    <row r="3131" spans="1:10" ht="12.75">
      <c r="A3131" s="1" t="s">
        <v>16</v>
      </c>
      <c r="B3131" s="1" t="s">
        <v>62</v>
      </c>
      <c r="C3131" s="1" t="s">
        <v>60</v>
      </c>
      <c r="D3131" s="2">
        <v>45473</v>
      </c>
      <c r="E3131" s="1" t="s">
        <v>2926</v>
      </c>
      <c r="F3131" s="5">
        <f t="shared" si="193"/>
        <v>8285.3799999999992</v>
      </c>
      <c r="G3131" s="1">
        <v>18</v>
      </c>
      <c r="H3131" s="1" t="str">
        <f t="shared" si="194"/>
        <v>High</v>
      </c>
      <c r="I3131" s="1" t="str">
        <f t="shared" si="195"/>
        <v>Other</v>
      </c>
      <c r="J3131" s="1">
        <f t="shared" si="196"/>
        <v>25106.27</v>
      </c>
    </row>
    <row r="3132" spans="1:10" ht="12.75">
      <c r="A3132" s="1" t="s">
        <v>26</v>
      </c>
      <c r="B3132" s="1" t="s">
        <v>5</v>
      </c>
      <c r="C3132" s="1" t="s">
        <v>43</v>
      </c>
      <c r="D3132" s="2">
        <v>45481</v>
      </c>
      <c r="E3132" s="1" t="s">
        <v>2927</v>
      </c>
      <c r="F3132" s="5">
        <f t="shared" si="193"/>
        <v>4590</v>
      </c>
      <c r="G3132" s="1">
        <v>78</v>
      </c>
      <c r="H3132" s="1" t="str">
        <f t="shared" si="194"/>
        <v>High</v>
      </c>
      <c r="I3132" s="1" t="str">
        <f t="shared" si="195"/>
        <v>Other</v>
      </c>
      <c r="J3132" s="1">
        <f t="shared" si="196"/>
        <v>25106.27</v>
      </c>
    </row>
    <row r="3133" spans="1:10" ht="12.75">
      <c r="A3133" s="1" t="s">
        <v>22</v>
      </c>
      <c r="B3133" s="1" t="s">
        <v>42</v>
      </c>
      <c r="C3133" s="1" t="s">
        <v>76</v>
      </c>
      <c r="D3133" s="2">
        <v>45451</v>
      </c>
      <c r="E3133" s="1" t="s">
        <v>2928</v>
      </c>
      <c r="F3133" s="5">
        <f t="shared" si="193"/>
        <v>13189.14</v>
      </c>
      <c r="G3133" s="1">
        <v>95</v>
      </c>
      <c r="H3133" s="1" t="str">
        <f t="shared" si="194"/>
        <v>High</v>
      </c>
      <c r="I3133" s="1" t="str">
        <f t="shared" si="195"/>
        <v>Other</v>
      </c>
      <c r="J3133" s="1">
        <f t="shared" si="196"/>
        <v>25106.27</v>
      </c>
    </row>
    <row r="3134" spans="1:10" ht="12.75">
      <c r="A3134" s="1" t="s">
        <v>15</v>
      </c>
      <c r="B3134" s="1" t="s">
        <v>39</v>
      </c>
      <c r="C3134" s="1" t="s">
        <v>86</v>
      </c>
      <c r="D3134" s="2">
        <v>45522</v>
      </c>
      <c r="E3134" s="1" t="s">
        <v>2929</v>
      </c>
      <c r="F3134" s="5">
        <f t="shared" si="193"/>
        <v>3768.3</v>
      </c>
      <c r="G3134" s="1">
        <v>212</v>
      </c>
      <c r="H3134" s="1" t="str">
        <f t="shared" si="194"/>
        <v>High</v>
      </c>
      <c r="I3134" s="1" t="str">
        <f t="shared" si="195"/>
        <v>Other</v>
      </c>
      <c r="J3134" s="1">
        <f t="shared" si="196"/>
        <v>25106.27</v>
      </c>
    </row>
    <row r="3135" spans="1:10" ht="12.75">
      <c r="A3135" s="1" t="s">
        <v>8</v>
      </c>
      <c r="B3135" s="1" t="s">
        <v>5</v>
      </c>
      <c r="C3135" s="1" t="s">
        <v>52</v>
      </c>
      <c r="D3135" s="2">
        <v>45390</v>
      </c>
      <c r="E3135" s="1" t="s">
        <v>2930</v>
      </c>
      <c r="F3135" s="5">
        <f t="shared" si="193"/>
        <v>7962.71</v>
      </c>
      <c r="G3135" s="1">
        <v>293</v>
      </c>
      <c r="H3135" s="1" t="str">
        <f t="shared" si="194"/>
        <v>High</v>
      </c>
      <c r="I3135" s="1" t="str">
        <f t="shared" si="195"/>
        <v>Other</v>
      </c>
      <c r="J3135" s="1">
        <f t="shared" si="196"/>
        <v>25106.27</v>
      </c>
    </row>
    <row r="3136" spans="1:10" ht="12.75">
      <c r="A3136" s="1" t="s">
        <v>29</v>
      </c>
      <c r="B3136" s="1" t="s">
        <v>62</v>
      </c>
      <c r="C3136" s="1" t="s">
        <v>81</v>
      </c>
      <c r="D3136" s="2">
        <v>45512</v>
      </c>
      <c r="E3136" s="1" t="s">
        <v>2931</v>
      </c>
      <c r="F3136" s="5">
        <f t="shared" si="193"/>
        <v>3665.13</v>
      </c>
      <c r="G3136" s="1">
        <v>191</v>
      </c>
      <c r="H3136" s="1" t="str">
        <f t="shared" si="194"/>
        <v>High</v>
      </c>
      <c r="I3136" s="1" t="str">
        <f t="shared" si="195"/>
        <v>Other</v>
      </c>
      <c r="J3136" s="1">
        <f t="shared" si="196"/>
        <v>25106.27</v>
      </c>
    </row>
    <row r="3137" spans="1:10" ht="12.75">
      <c r="A3137" s="1" t="s">
        <v>29</v>
      </c>
      <c r="B3137" s="1" t="s">
        <v>39</v>
      </c>
      <c r="C3137" s="1" t="s">
        <v>72</v>
      </c>
      <c r="D3137" s="2">
        <v>45530</v>
      </c>
      <c r="E3137" s="1" t="s">
        <v>2932</v>
      </c>
      <c r="F3137" s="5">
        <f t="shared" si="193"/>
        <v>334.81</v>
      </c>
      <c r="G3137" s="1">
        <v>66</v>
      </c>
      <c r="H3137" s="1" t="str">
        <f t="shared" si="194"/>
        <v>Low</v>
      </c>
      <c r="I3137" s="1" t="str">
        <f t="shared" si="195"/>
        <v>Other</v>
      </c>
      <c r="J3137" s="1">
        <f t="shared" si="196"/>
        <v>25106.27</v>
      </c>
    </row>
    <row r="3138" spans="1:10" ht="12.75">
      <c r="A3138" s="1" t="s">
        <v>22</v>
      </c>
      <c r="B3138" s="1" t="s">
        <v>62</v>
      </c>
      <c r="C3138" s="1" t="s">
        <v>81</v>
      </c>
      <c r="D3138" s="2">
        <v>45305</v>
      </c>
      <c r="E3138" s="1" t="s">
        <v>2933</v>
      </c>
      <c r="F3138" s="5">
        <f t="shared" ref="F3138:F3201" si="197">VALUE(SUBSTITUTE(E3138,"$",""))</f>
        <v>2187.5</v>
      </c>
      <c r="G3138" s="1">
        <v>159</v>
      </c>
      <c r="H3138" s="1" t="str">
        <f t="shared" ref="H3138:H3201" si="198">IF(F3138&gt;800,"High",IF(F3138&gt;500,"Medium","Low"))</f>
        <v>High</v>
      </c>
      <c r="I3138" s="1" t="str">
        <f t="shared" ref="I3138:I3201" si="199">IF(AND(B3138="Australia",A3138="Mallorie Waber"),"Top Local","Other")</f>
        <v>Other</v>
      </c>
      <c r="J3138" s="1">
        <f t="shared" ref="J3138:J3201" si="200">SUMIF(A3138:A6418,"Mallorie Waber",F3138:F6418)</f>
        <v>25106.27</v>
      </c>
    </row>
    <row r="3139" spans="1:10" ht="12.75">
      <c r="A3139" s="1" t="s">
        <v>6</v>
      </c>
      <c r="B3139" s="1" t="s">
        <v>59</v>
      </c>
      <c r="C3139" s="1" t="s">
        <v>122</v>
      </c>
      <c r="D3139" s="2">
        <v>45515</v>
      </c>
      <c r="E3139" s="1" t="s">
        <v>2934</v>
      </c>
      <c r="F3139" s="5">
        <f t="shared" si="197"/>
        <v>18481.73</v>
      </c>
      <c r="G3139" s="1">
        <v>295</v>
      </c>
      <c r="H3139" s="1" t="str">
        <f t="shared" si="198"/>
        <v>High</v>
      </c>
      <c r="I3139" s="1" t="str">
        <f t="shared" si="199"/>
        <v>Other</v>
      </c>
      <c r="J3139" s="1">
        <f t="shared" si="200"/>
        <v>25106.27</v>
      </c>
    </row>
    <row r="3140" spans="1:10" ht="12.75">
      <c r="A3140" s="1" t="s">
        <v>9</v>
      </c>
      <c r="B3140" s="1" t="s">
        <v>59</v>
      </c>
      <c r="C3140" s="1" t="s">
        <v>91</v>
      </c>
      <c r="D3140" s="2">
        <v>45443</v>
      </c>
      <c r="E3140" s="1" t="s">
        <v>2935</v>
      </c>
      <c r="F3140" s="5">
        <f t="shared" si="197"/>
        <v>11863.69</v>
      </c>
      <c r="G3140" s="1">
        <v>24</v>
      </c>
      <c r="H3140" s="1" t="str">
        <f t="shared" si="198"/>
        <v>High</v>
      </c>
      <c r="I3140" s="1" t="str">
        <f t="shared" si="199"/>
        <v>Other</v>
      </c>
      <c r="J3140" s="1">
        <f t="shared" si="200"/>
        <v>25106.27</v>
      </c>
    </row>
    <row r="3141" spans="1:10" ht="12.75">
      <c r="A3141" s="1" t="s">
        <v>10</v>
      </c>
      <c r="B3141" s="1" t="s">
        <v>54</v>
      </c>
      <c r="C3141" s="1" t="s">
        <v>55</v>
      </c>
      <c r="D3141" s="2">
        <v>45484</v>
      </c>
      <c r="E3141" s="1" t="s">
        <v>2936</v>
      </c>
      <c r="F3141" s="5">
        <f t="shared" si="197"/>
        <v>4332.41</v>
      </c>
      <c r="G3141" s="1">
        <v>10</v>
      </c>
      <c r="H3141" s="1" t="str">
        <f t="shared" si="198"/>
        <v>High</v>
      </c>
      <c r="I3141" s="1" t="str">
        <f t="shared" si="199"/>
        <v>Other</v>
      </c>
      <c r="J3141" s="1">
        <f t="shared" si="200"/>
        <v>25106.27</v>
      </c>
    </row>
    <row r="3142" spans="1:10" ht="12.75">
      <c r="A3142" s="1" t="s">
        <v>18</v>
      </c>
      <c r="B3142" s="1" t="s">
        <v>62</v>
      </c>
      <c r="C3142" s="1" t="s">
        <v>126</v>
      </c>
      <c r="D3142" s="2">
        <v>45353</v>
      </c>
      <c r="E3142" s="1" t="s">
        <v>2937</v>
      </c>
      <c r="F3142" s="5">
        <f t="shared" si="197"/>
        <v>3653.33</v>
      </c>
      <c r="G3142" s="1">
        <v>327</v>
      </c>
      <c r="H3142" s="1" t="str">
        <f t="shared" si="198"/>
        <v>High</v>
      </c>
      <c r="I3142" s="1" t="str">
        <f t="shared" si="199"/>
        <v>Other</v>
      </c>
      <c r="J3142" s="1">
        <f t="shared" si="200"/>
        <v>25106.27</v>
      </c>
    </row>
    <row r="3143" spans="1:10" ht="12.75">
      <c r="A3143" s="1" t="s">
        <v>9</v>
      </c>
      <c r="B3143" s="1" t="s">
        <v>5</v>
      </c>
      <c r="C3143" s="1" t="s">
        <v>100</v>
      </c>
      <c r="D3143" s="2">
        <v>45486</v>
      </c>
      <c r="E3143" s="1" t="s">
        <v>2938</v>
      </c>
      <c r="F3143" s="5">
        <f t="shared" si="197"/>
        <v>7023.94</v>
      </c>
      <c r="G3143" s="1">
        <v>89</v>
      </c>
      <c r="H3143" s="1" t="str">
        <f t="shared" si="198"/>
        <v>High</v>
      </c>
      <c r="I3143" s="1" t="str">
        <f t="shared" si="199"/>
        <v>Other</v>
      </c>
      <c r="J3143" s="1">
        <f t="shared" si="200"/>
        <v>25106.27</v>
      </c>
    </row>
    <row r="3144" spans="1:10" ht="12.75">
      <c r="A3144" s="1" t="s">
        <v>19</v>
      </c>
      <c r="B3144" s="1" t="s">
        <v>39</v>
      </c>
      <c r="C3144" s="1" t="s">
        <v>76</v>
      </c>
      <c r="D3144" s="2">
        <v>45507</v>
      </c>
      <c r="E3144" s="1" t="s">
        <v>2939</v>
      </c>
      <c r="F3144" s="5">
        <f t="shared" si="197"/>
        <v>10001.950000000001</v>
      </c>
      <c r="G3144" s="1">
        <v>132</v>
      </c>
      <c r="H3144" s="1" t="str">
        <f t="shared" si="198"/>
        <v>High</v>
      </c>
      <c r="I3144" s="1" t="str">
        <f t="shared" si="199"/>
        <v>Other</v>
      </c>
      <c r="J3144" s="1">
        <f t="shared" si="200"/>
        <v>25106.27</v>
      </c>
    </row>
    <row r="3145" spans="1:10" ht="12.75">
      <c r="A3145" s="1" t="s">
        <v>24</v>
      </c>
      <c r="B3145" s="1" t="s">
        <v>39</v>
      </c>
      <c r="C3145" s="1" t="s">
        <v>45</v>
      </c>
      <c r="D3145" s="2">
        <v>45352</v>
      </c>
      <c r="E3145" s="1" t="s">
        <v>2940</v>
      </c>
      <c r="F3145" s="5">
        <f t="shared" si="197"/>
        <v>16460.650000000001</v>
      </c>
      <c r="G3145" s="1">
        <v>171</v>
      </c>
      <c r="H3145" s="1" t="str">
        <f t="shared" si="198"/>
        <v>High</v>
      </c>
      <c r="I3145" s="1" t="str">
        <f t="shared" si="199"/>
        <v>Other</v>
      </c>
      <c r="J3145" s="1">
        <f t="shared" si="200"/>
        <v>25106.27</v>
      </c>
    </row>
    <row r="3146" spans="1:10" ht="12.75">
      <c r="A3146" s="1" t="s">
        <v>12</v>
      </c>
      <c r="B3146" s="1" t="s">
        <v>54</v>
      </c>
      <c r="C3146" s="1" t="s">
        <v>84</v>
      </c>
      <c r="D3146" s="2">
        <v>45395</v>
      </c>
      <c r="E3146" s="1" t="s">
        <v>2941</v>
      </c>
      <c r="F3146" s="5">
        <f t="shared" si="197"/>
        <v>8575.27</v>
      </c>
      <c r="G3146" s="1">
        <v>165</v>
      </c>
      <c r="H3146" s="1" t="str">
        <f t="shared" si="198"/>
        <v>High</v>
      </c>
      <c r="I3146" s="1" t="str">
        <f t="shared" si="199"/>
        <v>Other</v>
      </c>
      <c r="J3146" s="1">
        <f t="shared" si="200"/>
        <v>25106.27</v>
      </c>
    </row>
    <row r="3147" spans="1:10" ht="12.75">
      <c r="A3147" s="1" t="s">
        <v>28</v>
      </c>
      <c r="B3147" s="1" t="s">
        <v>62</v>
      </c>
      <c r="C3147" s="1" t="s">
        <v>81</v>
      </c>
      <c r="D3147" s="2">
        <v>45336</v>
      </c>
      <c r="E3147" s="1" t="s">
        <v>2942</v>
      </c>
      <c r="F3147" s="5">
        <f t="shared" si="197"/>
        <v>12191.42</v>
      </c>
      <c r="G3147" s="1">
        <v>177</v>
      </c>
      <c r="H3147" s="1" t="str">
        <f t="shared" si="198"/>
        <v>High</v>
      </c>
      <c r="I3147" s="1" t="str">
        <f t="shared" si="199"/>
        <v>Other</v>
      </c>
      <c r="J3147" s="1">
        <f t="shared" si="200"/>
        <v>25106.27</v>
      </c>
    </row>
    <row r="3148" spans="1:10" ht="12.75">
      <c r="A3148" s="1" t="s">
        <v>2</v>
      </c>
      <c r="B3148" s="1" t="s">
        <v>42</v>
      </c>
      <c r="C3148" s="1" t="s">
        <v>84</v>
      </c>
      <c r="D3148" s="2">
        <v>45499</v>
      </c>
      <c r="E3148" s="1" t="s">
        <v>2943</v>
      </c>
      <c r="F3148" s="5">
        <f t="shared" si="197"/>
        <v>969.15</v>
      </c>
      <c r="G3148" s="1">
        <v>233</v>
      </c>
      <c r="H3148" s="1" t="str">
        <f t="shared" si="198"/>
        <v>High</v>
      </c>
      <c r="I3148" s="1" t="str">
        <f t="shared" si="199"/>
        <v>Other</v>
      </c>
      <c r="J3148" s="1">
        <f t="shared" si="200"/>
        <v>25106.27</v>
      </c>
    </row>
    <row r="3149" spans="1:10" ht="12.75">
      <c r="A3149" s="1" t="s">
        <v>7</v>
      </c>
      <c r="B3149" s="1" t="s">
        <v>39</v>
      </c>
      <c r="C3149" s="1" t="s">
        <v>65</v>
      </c>
      <c r="D3149" s="2">
        <v>45318</v>
      </c>
      <c r="E3149" s="1" t="s">
        <v>2944</v>
      </c>
      <c r="F3149" s="5">
        <f t="shared" si="197"/>
        <v>6498.96</v>
      </c>
      <c r="G3149" s="1">
        <v>143</v>
      </c>
      <c r="H3149" s="1" t="str">
        <f t="shared" si="198"/>
        <v>High</v>
      </c>
      <c r="I3149" s="1" t="str">
        <f t="shared" si="199"/>
        <v>Other</v>
      </c>
      <c r="J3149" s="1">
        <f t="shared" si="200"/>
        <v>24137.119999999999</v>
      </c>
    </row>
    <row r="3150" spans="1:10" ht="12.75">
      <c r="A3150" s="1" t="s">
        <v>11</v>
      </c>
      <c r="B3150" s="1" t="s">
        <v>42</v>
      </c>
      <c r="C3150" s="1" t="s">
        <v>45</v>
      </c>
      <c r="D3150" s="2">
        <v>45396</v>
      </c>
      <c r="E3150" s="1" t="s">
        <v>2945</v>
      </c>
      <c r="F3150" s="5">
        <f t="shared" si="197"/>
        <v>33.68</v>
      </c>
      <c r="G3150" s="1">
        <v>487</v>
      </c>
      <c r="H3150" s="1" t="str">
        <f t="shared" si="198"/>
        <v>Low</v>
      </c>
      <c r="I3150" s="1" t="str">
        <f t="shared" si="199"/>
        <v>Other</v>
      </c>
      <c r="J3150" s="1">
        <f t="shared" si="200"/>
        <v>24137.119999999999</v>
      </c>
    </row>
    <row r="3151" spans="1:10" ht="12.75">
      <c r="A3151" s="1" t="s">
        <v>22</v>
      </c>
      <c r="B3151" s="1" t="s">
        <v>59</v>
      </c>
      <c r="C3151" s="1" t="s">
        <v>91</v>
      </c>
      <c r="D3151" s="2">
        <v>45431</v>
      </c>
      <c r="E3151" s="1" t="s">
        <v>2946</v>
      </c>
      <c r="F3151" s="5">
        <f t="shared" si="197"/>
        <v>7640.61</v>
      </c>
      <c r="G3151" s="1">
        <v>154</v>
      </c>
      <c r="H3151" s="1" t="str">
        <f t="shared" si="198"/>
        <v>High</v>
      </c>
      <c r="I3151" s="1" t="str">
        <f t="shared" si="199"/>
        <v>Other</v>
      </c>
      <c r="J3151" s="1">
        <f t="shared" si="200"/>
        <v>24137.119999999999</v>
      </c>
    </row>
    <row r="3152" spans="1:10" ht="12.75">
      <c r="A3152" s="1" t="s">
        <v>13</v>
      </c>
      <c r="B3152" s="1" t="s">
        <v>42</v>
      </c>
      <c r="C3152" s="1" t="s">
        <v>63</v>
      </c>
      <c r="D3152" s="2">
        <v>45331</v>
      </c>
      <c r="E3152" s="1" t="s">
        <v>2947</v>
      </c>
      <c r="F3152" s="5">
        <f t="shared" si="197"/>
        <v>5596.93</v>
      </c>
      <c r="G3152" s="1">
        <v>62</v>
      </c>
      <c r="H3152" s="1" t="str">
        <f t="shared" si="198"/>
        <v>High</v>
      </c>
      <c r="I3152" s="1" t="str">
        <f t="shared" si="199"/>
        <v>Other</v>
      </c>
      <c r="J3152" s="1">
        <f t="shared" si="200"/>
        <v>24137.119999999999</v>
      </c>
    </row>
    <row r="3153" spans="1:10" ht="12.75">
      <c r="A3153" s="1" t="s">
        <v>7</v>
      </c>
      <c r="B3153" s="1" t="s">
        <v>39</v>
      </c>
      <c r="C3153" s="1" t="s">
        <v>76</v>
      </c>
      <c r="D3153" s="2">
        <v>45437</v>
      </c>
      <c r="E3153" s="1" t="s">
        <v>2948</v>
      </c>
      <c r="F3153" s="5">
        <f t="shared" si="197"/>
        <v>2639.55</v>
      </c>
      <c r="G3153" s="1">
        <v>59</v>
      </c>
      <c r="H3153" s="1" t="str">
        <f t="shared" si="198"/>
        <v>High</v>
      </c>
      <c r="I3153" s="1" t="str">
        <f t="shared" si="199"/>
        <v>Other</v>
      </c>
      <c r="J3153" s="1">
        <f t="shared" si="200"/>
        <v>24137.119999999999</v>
      </c>
    </row>
    <row r="3154" spans="1:10" ht="12.75">
      <c r="A3154" s="1" t="s">
        <v>22</v>
      </c>
      <c r="B3154" s="1" t="s">
        <v>5</v>
      </c>
      <c r="C3154" s="1" t="s">
        <v>86</v>
      </c>
      <c r="D3154" s="2">
        <v>45317</v>
      </c>
      <c r="E3154" s="1" t="s">
        <v>2949</v>
      </c>
      <c r="F3154" s="5">
        <f t="shared" si="197"/>
        <v>4626.87</v>
      </c>
      <c r="G3154" s="1">
        <v>78</v>
      </c>
      <c r="H3154" s="1" t="str">
        <f t="shared" si="198"/>
        <v>High</v>
      </c>
      <c r="I3154" s="1" t="str">
        <f t="shared" si="199"/>
        <v>Other</v>
      </c>
      <c r="J3154" s="1">
        <f t="shared" si="200"/>
        <v>24137.119999999999</v>
      </c>
    </row>
    <row r="3155" spans="1:10" ht="12.75">
      <c r="A3155" s="1" t="s">
        <v>28</v>
      </c>
      <c r="B3155" s="1" t="s">
        <v>42</v>
      </c>
      <c r="C3155" s="1" t="s">
        <v>84</v>
      </c>
      <c r="D3155" s="2">
        <v>45477</v>
      </c>
      <c r="E3155" s="1" t="s">
        <v>2950</v>
      </c>
      <c r="F3155" s="5">
        <f t="shared" si="197"/>
        <v>1900.09</v>
      </c>
      <c r="G3155" s="1">
        <v>297</v>
      </c>
      <c r="H3155" s="1" t="str">
        <f t="shared" si="198"/>
        <v>High</v>
      </c>
      <c r="I3155" s="1" t="str">
        <f t="shared" si="199"/>
        <v>Other</v>
      </c>
      <c r="J3155" s="1">
        <f t="shared" si="200"/>
        <v>24137.119999999999</v>
      </c>
    </row>
    <row r="3156" spans="1:10" ht="12.75">
      <c r="A3156" s="1" t="s">
        <v>17</v>
      </c>
      <c r="B3156" s="1" t="s">
        <v>42</v>
      </c>
      <c r="C3156" s="1" t="s">
        <v>91</v>
      </c>
      <c r="D3156" s="2">
        <v>45395</v>
      </c>
      <c r="E3156" s="1" t="s">
        <v>2951</v>
      </c>
      <c r="F3156" s="5">
        <f t="shared" si="197"/>
        <v>13315.47</v>
      </c>
      <c r="G3156" s="1">
        <v>72</v>
      </c>
      <c r="H3156" s="1" t="str">
        <f t="shared" si="198"/>
        <v>High</v>
      </c>
      <c r="I3156" s="1" t="str">
        <f t="shared" si="199"/>
        <v>Other</v>
      </c>
      <c r="J3156" s="1">
        <f t="shared" si="200"/>
        <v>24137.119999999999</v>
      </c>
    </row>
    <row r="3157" spans="1:10" ht="12.75">
      <c r="A3157" s="1" t="s">
        <v>20</v>
      </c>
      <c r="B3157" s="1" t="s">
        <v>5</v>
      </c>
      <c r="C3157" s="1" t="s">
        <v>49</v>
      </c>
      <c r="D3157" s="2">
        <v>45316</v>
      </c>
      <c r="E3157" s="1" t="s">
        <v>2952</v>
      </c>
      <c r="F3157" s="5">
        <f t="shared" si="197"/>
        <v>6359.09</v>
      </c>
      <c r="G3157" s="1">
        <v>121</v>
      </c>
      <c r="H3157" s="1" t="str">
        <f t="shared" si="198"/>
        <v>High</v>
      </c>
      <c r="I3157" s="1" t="str">
        <f t="shared" si="199"/>
        <v>Other</v>
      </c>
      <c r="J3157" s="1">
        <f t="shared" si="200"/>
        <v>24137.119999999999</v>
      </c>
    </row>
    <row r="3158" spans="1:10" ht="12.75">
      <c r="A3158" s="1" t="s">
        <v>25</v>
      </c>
      <c r="B3158" s="1" t="s">
        <v>59</v>
      </c>
      <c r="C3158" s="1" t="s">
        <v>43</v>
      </c>
      <c r="D3158" s="2">
        <v>45407</v>
      </c>
      <c r="E3158" s="1" t="s">
        <v>2953</v>
      </c>
      <c r="F3158" s="5">
        <f t="shared" si="197"/>
        <v>2644.65</v>
      </c>
      <c r="G3158" s="1">
        <v>83</v>
      </c>
      <c r="H3158" s="1" t="str">
        <f t="shared" si="198"/>
        <v>High</v>
      </c>
      <c r="I3158" s="1" t="str">
        <f t="shared" si="199"/>
        <v>Other</v>
      </c>
      <c r="J3158" s="1">
        <f t="shared" si="200"/>
        <v>24137.119999999999</v>
      </c>
    </row>
    <row r="3159" spans="1:10" ht="12.75">
      <c r="A3159" s="1" t="s">
        <v>25</v>
      </c>
      <c r="B3159" s="1" t="s">
        <v>59</v>
      </c>
      <c r="C3159" s="1" t="s">
        <v>63</v>
      </c>
      <c r="D3159" s="2">
        <v>45453</v>
      </c>
      <c r="E3159" s="1" t="s">
        <v>2954</v>
      </c>
      <c r="F3159" s="5">
        <f t="shared" si="197"/>
        <v>4879.55</v>
      </c>
      <c r="G3159" s="1">
        <v>427</v>
      </c>
      <c r="H3159" s="1" t="str">
        <f t="shared" si="198"/>
        <v>High</v>
      </c>
      <c r="I3159" s="1" t="str">
        <f t="shared" si="199"/>
        <v>Other</v>
      </c>
      <c r="J3159" s="1">
        <f t="shared" si="200"/>
        <v>24137.119999999999</v>
      </c>
    </row>
    <row r="3160" spans="1:10" ht="12.75">
      <c r="A3160" s="1" t="s">
        <v>9</v>
      </c>
      <c r="B3160" s="1" t="s">
        <v>54</v>
      </c>
      <c r="C3160" s="1" t="s">
        <v>84</v>
      </c>
      <c r="D3160" s="2">
        <v>45526</v>
      </c>
      <c r="E3160" s="1" t="s">
        <v>2955</v>
      </c>
      <c r="F3160" s="5">
        <f t="shared" si="197"/>
        <v>11572.5</v>
      </c>
      <c r="G3160" s="1">
        <v>51</v>
      </c>
      <c r="H3160" s="1" t="str">
        <f t="shared" si="198"/>
        <v>High</v>
      </c>
      <c r="I3160" s="1" t="str">
        <f t="shared" si="199"/>
        <v>Other</v>
      </c>
      <c r="J3160" s="1">
        <f t="shared" si="200"/>
        <v>24137.119999999999</v>
      </c>
    </row>
    <row r="3161" spans="1:10" ht="12.75">
      <c r="A3161" s="1" t="s">
        <v>10</v>
      </c>
      <c r="B3161" s="1" t="s">
        <v>42</v>
      </c>
      <c r="C3161" s="1" t="s">
        <v>52</v>
      </c>
      <c r="D3161" s="2">
        <v>45470</v>
      </c>
      <c r="E3161" s="1" t="s">
        <v>2956</v>
      </c>
      <c r="F3161" s="5">
        <f t="shared" si="197"/>
        <v>15626.93</v>
      </c>
      <c r="G3161" s="1">
        <v>225</v>
      </c>
      <c r="H3161" s="1" t="str">
        <f t="shared" si="198"/>
        <v>High</v>
      </c>
      <c r="I3161" s="1" t="str">
        <f t="shared" si="199"/>
        <v>Other</v>
      </c>
      <c r="J3161" s="1">
        <f t="shared" si="200"/>
        <v>24137.119999999999</v>
      </c>
    </row>
    <row r="3162" spans="1:10" ht="12.75">
      <c r="A3162" s="1" t="s">
        <v>13</v>
      </c>
      <c r="B3162" s="1" t="s">
        <v>42</v>
      </c>
      <c r="C3162" s="1" t="s">
        <v>60</v>
      </c>
      <c r="D3162" s="2">
        <v>45473</v>
      </c>
      <c r="E3162" s="1" t="s">
        <v>2957</v>
      </c>
      <c r="F3162" s="5">
        <f t="shared" si="197"/>
        <v>4781.1400000000003</v>
      </c>
      <c r="G3162" s="1">
        <v>38</v>
      </c>
      <c r="H3162" s="1" t="str">
        <f t="shared" si="198"/>
        <v>High</v>
      </c>
      <c r="I3162" s="1" t="str">
        <f t="shared" si="199"/>
        <v>Other</v>
      </c>
      <c r="J3162" s="1">
        <f t="shared" si="200"/>
        <v>24137.119999999999</v>
      </c>
    </row>
    <row r="3163" spans="1:10" ht="12.75">
      <c r="A3163" s="1" t="s">
        <v>11</v>
      </c>
      <c r="B3163" s="1" t="s">
        <v>42</v>
      </c>
      <c r="C3163" s="1" t="s">
        <v>91</v>
      </c>
      <c r="D3163" s="2">
        <v>45534</v>
      </c>
      <c r="E3163" s="1" t="s">
        <v>2958</v>
      </c>
      <c r="F3163" s="5">
        <f t="shared" si="197"/>
        <v>11793.4</v>
      </c>
      <c r="G3163" s="1">
        <v>101</v>
      </c>
      <c r="H3163" s="1" t="str">
        <f t="shared" si="198"/>
        <v>High</v>
      </c>
      <c r="I3163" s="1" t="str">
        <f t="shared" si="199"/>
        <v>Other</v>
      </c>
      <c r="J3163" s="1">
        <f t="shared" si="200"/>
        <v>24137.119999999999</v>
      </c>
    </row>
    <row r="3164" spans="1:10" ht="12.75">
      <c r="A3164" s="1" t="s">
        <v>18</v>
      </c>
      <c r="B3164" s="1" t="s">
        <v>5</v>
      </c>
      <c r="C3164" s="1" t="s">
        <v>100</v>
      </c>
      <c r="D3164" s="2">
        <v>45527</v>
      </c>
      <c r="E3164" s="1" t="s">
        <v>2959</v>
      </c>
      <c r="F3164" s="5">
        <f t="shared" si="197"/>
        <v>1061.03</v>
      </c>
      <c r="G3164" s="1">
        <v>58</v>
      </c>
      <c r="H3164" s="1" t="str">
        <f t="shared" si="198"/>
        <v>High</v>
      </c>
      <c r="I3164" s="1" t="str">
        <f t="shared" si="199"/>
        <v>Other</v>
      </c>
      <c r="J3164" s="1">
        <f t="shared" si="200"/>
        <v>24137.119999999999</v>
      </c>
    </row>
    <row r="3165" spans="1:10" ht="12.75">
      <c r="A3165" s="1" t="s">
        <v>25</v>
      </c>
      <c r="B3165" s="1" t="s">
        <v>54</v>
      </c>
      <c r="C3165" s="1" t="s">
        <v>51</v>
      </c>
      <c r="D3165" s="2">
        <v>45530</v>
      </c>
      <c r="E3165" s="1" t="s">
        <v>2960</v>
      </c>
      <c r="F3165" s="5">
        <f t="shared" si="197"/>
        <v>2499.92</v>
      </c>
      <c r="G3165" s="1">
        <v>44</v>
      </c>
      <c r="H3165" s="1" t="str">
        <f t="shared" si="198"/>
        <v>High</v>
      </c>
      <c r="I3165" s="1" t="str">
        <f t="shared" si="199"/>
        <v>Other</v>
      </c>
      <c r="J3165" s="1">
        <f t="shared" si="200"/>
        <v>24137.119999999999</v>
      </c>
    </row>
    <row r="3166" spans="1:10" ht="12.75">
      <c r="A3166" s="1" t="s">
        <v>20</v>
      </c>
      <c r="B3166" s="1" t="s">
        <v>5</v>
      </c>
      <c r="C3166" s="1" t="s">
        <v>60</v>
      </c>
      <c r="D3166" s="2">
        <v>45360</v>
      </c>
      <c r="E3166" s="1" t="s">
        <v>2961</v>
      </c>
      <c r="F3166" s="5">
        <f t="shared" si="197"/>
        <v>676.29</v>
      </c>
      <c r="G3166" s="1">
        <v>158</v>
      </c>
      <c r="H3166" s="1" t="str">
        <f t="shared" si="198"/>
        <v>Medium</v>
      </c>
      <c r="I3166" s="1" t="str">
        <f t="shared" si="199"/>
        <v>Other</v>
      </c>
      <c r="J3166" s="1">
        <f t="shared" si="200"/>
        <v>24137.119999999999</v>
      </c>
    </row>
    <row r="3167" spans="1:10" ht="12.75">
      <c r="A3167" s="1" t="s">
        <v>12</v>
      </c>
      <c r="B3167" s="1" t="s">
        <v>39</v>
      </c>
      <c r="C3167" s="1" t="s">
        <v>65</v>
      </c>
      <c r="D3167" s="2">
        <v>45402</v>
      </c>
      <c r="E3167" s="1" t="s">
        <v>2962</v>
      </c>
      <c r="F3167" s="5">
        <f t="shared" si="197"/>
        <v>1886.06</v>
      </c>
      <c r="G3167" s="1">
        <v>23</v>
      </c>
      <c r="H3167" s="1" t="str">
        <f t="shared" si="198"/>
        <v>High</v>
      </c>
      <c r="I3167" s="1" t="str">
        <f t="shared" si="199"/>
        <v>Other</v>
      </c>
      <c r="J3167" s="1">
        <f t="shared" si="200"/>
        <v>24137.119999999999</v>
      </c>
    </row>
    <row r="3168" spans="1:10" ht="12.75">
      <c r="A3168" s="1" t="s">
        <v>2</v>
      </c>
      <c r="B3168" s="1" t="s">
        <v>62</v>
      </c>
      <c r="C3168" s="1" t="s">
        <v>126</v>
      </c>
      <c r="D3168" s="2">
        <v>45453</v>
      </c>
      <c r="E3168" s="1" t="s">
        <v>2963</v>
      </c>
      <c r="F3168" s="5">
        <f t="shared" si="197"/>
        <v>5093.92</v>
      </c>
      <c r="G3168" s="1">
        <v>524</v>
      </c>
      <c r="H3168" s="1" t="str">
        <f t="shared" si="198"/>
        <v>High</v>
      </c>
      <c r="I3168" s="1" t="str">
        <f t="shared" si="199"/>
        <v>Other</v>
      </c>
      <c r="J3168" s="1">
        <f t="shared" si="200"/>
        <v>24137.119999999999</v>
      </c>
    </row>
    <row r="3169" spans="1:10" ht="12.75">
      <c r="A3169" s="1" t="s">
        <v>13</v>
      </c>
      <c r="B3169" s="1" t="s">
        <v>5</v>
      </c>
      <c r="C3169" s="1" t="s">
        <v>68</v>
      </c>
      <c r="D3169" s="2">
        <v>45330</v>
      </c>
      <c r="E3169" s="1" t="s">
        <v>2964</v>
      </c>
      <c r="F3169" s="5">
        <f t="shared" si="197"/>
        <v>1018.8</v>
      </c>
      <c r="G3169" s="1">
        <v>157</v>
      </c>
      <c r="H3169" s="1" t="str">
        <f t="shared" si="198"/>
        <v>High</v>
      </c>
      <c r="I3169" s="1" t="str">
        <f t="shared" si="199"/>
        <v>Other</v>
      </c>
      <c r="J3169" s="1">
        <f t="shared" si="200"/>
        <v>19043.2</v>
      </c>
    </row>
    <row r="3170" spans="1:10" ht="12.75">
      <c r="A3170" s="1" t="s">
        <v>7</v>
      </c>
      <c r="B3170" s="1" t="s">
        <v>5</v>
      </c>
      <c r="C3170" s="1" t="s">
        <v>84</v>
      </c>
      <c r="D3170" s="2">
        <v>45529</v>
      </c>
      <c r="E3170" s="1" t="s">
        <v>2965</v>
      </c>
      <c r="F3170" s="5">
        <f t="shared" si="197"/>
        <v>5616.77</v>
      </c>
      <c r="G3170" s="1">
        <v>23</v>
      </c>
      <c r="H3170" s="1" t="str">
        <f t="shared" si="198"/>
        <v>High</v>
      </c>
      <c r="I3170" s="1" t="str">
        <f t="shared" si="199"/>
        <v>Other</v>
      </c>
      <c r="J3170" s="1">
        <f t="shared" si="200"/>
        <v>19043.2</v>
      </c>
    </row>
    <row r="3171" spans="1:10" ht="12.75">
      <c r="A3171" s="1" t="s">
        <v>21</v>
      </c>
      <c r="B3171" s="1" t="s">
        <v>42</v>
      </c>
      <c r="C3171" s="1" t="s">
        <v>45</v>
      </c>
      <c r="D3171" s="2">
        <v>45338</v>
      </c>
      <c r="E3171" s="1" t="s">
        <v>2966</v>
      </c>
      <c r="F3171" s="5">
        <f t="shared" si="197"/>
        <v>10461.82</v>
      </c>
      <c r="G3171" s="1">
        <v>78</v>
      </c>
      <c r="H3171" s="1" t="str">
        <f t="shared" si="198"/>
        <v>High</v>
      </c>
      <c r="I3171" s="1" t="str">
        <f t="shared" si="199"/>
        <v>Other</v>
      </c>
      <c r="J3171" s="1">
        <f t="shared" si="200"/>
        <v>19043.2</v>
      </c>
    </row>
    <row r="3172" spans="1:10" ht="12.75">
      <c r="A3172" s="1" t="s">
        <v>6</v>
      </c>
      <c r="B3172" s="1" t="s">
        <v>39</v>
      </c>
      <c r="C3172" s="1" t="s">
        <v>51</v>
      </c>
      <c r="D3172" s="2">
        <v>45442</v>
      </c>
      <c r="E3172" s="1" t="s">
        <v>2967</v>
      </c>
      <c r="F3172" s="5">
        <f t="shared" si="197"/>
        <v>12841.79</v>
      </c>
      <c r="G3172" s="1">
        <v>26</v>
      </c>
      <c r="H3172" s="1" t="str">
        <f t="shared" si="198"/>
        <v>High</v>
      </c>
      <c r="I3172" s="1" t="str">
        <f t="shared" si="199"/>
        <v>Other</v>
      </c>
      <c r="J3172" s="1">
        <f t="shared" si="200"/>
        <v>19043.2</v>
      </c>
    </row>
    <row r="3173" spans="1:10" ht="12.75">
      <c r="A3173" s="1" t="s">
        <v>20</v>
      </c>
      <c r="B3173" s="1" t="s">
        <v>54</v>
      </c>
      <c r="C3173" s="1" t="s">
        <v>55</v>
      </c>
      <c r="D3173" s="2">
        <v>45472</v>
      </c>
      <c r="E3173" s="1" t="s">
        <v>2968</v>
      </c>
      <c r="F3173" s="5">
        <f t="shared" si="197"/>
        <v>6723.42</v>
      </c>
      <c r="G3173" s="1">
        <v>67</v>
      </c>
      <c r="H3173" s="1" t="str">
        <f t="shared" si="198"/>
        <v>High</v>
      </c>
      <c r="I3173" s="1" t="str">
        <f t="shared" si="199"/>
        <v>Other</v>
      </c>
      <c r="J3173" s="1">
        <f t="shared" si="200"/>
        <v>19043.2</v>
      </c>
    </row>
    <row r="3174" spans="1:10" ht="12.75">
      <c r="A3174" s="1" t="s">
        <v>20</v>
      </c>
      <c r="B3174" s="1" t="s">
        <v>59</v>
      </c>
      <c r="C3174" s="1" t="s">
        <v>72</v>
      </c>
      <c r="D3174" s="2">
        <v>45459</v>
      </c>
      <c r="E3174" s="1" t="s">
        <v>2969</v>
      </c>
      <c r="F3174" s="5">
        <f t="shared" si="197"/>
        <v>521.35</v>
      </c>
      <c r="G3174" s="1">
        <v>127</v>
      </c>
      <c r="H3174" s="1" t="str">
        <f t="shared" si="198"/>
        <v>Medium</v>
      </c>
      <c r="I3174" s="1" t="str">
        <f t="shared" si="199"/>
        <v>Other</v>
      </c>
      <c r="J3174" s="1">
        <f t="shared" si="200"/>
        <v>19043.2</v>
      </c>
    </row>
    <row r="3175" spans="1:10" ht="12.75">
      <c r="A3175" s="1" t="s">
        <v>7</v>
      </c>
      <c r="B3175" s="1" t="s">
        <v>39</v>
      </c>
      <c r="C3175" s="1" t="s">
        <v>126</v>
      </c>
      <c r="D3175" s="2">
        <v>45355</v>
      </c>
      <c r="E3175" s="1" t="s">
        <v>2970</v>
      </c>
      <c r="F3175" s="5">
        <f t="shared" si="197"/>
        <v>3106.11</v>
      </c>
      <c r="G3175" s="1">
        <v>159</v>
      </c>
      <c r="H3175" s="1" t="str">
        <f t="shared" si="198"/>
        <v>High</v>
      </c>
      <c r="I3175" s="1" t="str">
        <f t="shared" si="199"/>
        <v>Other</v>
      </c>
      <c r="J3175" s="1">
        <f t="shared" si="200"/>
        <v>19043.2</v>
      </c>
    </row>
    <row r="3176" spans="1:10" ht="12.75">
      <c r="A3176" s="1" t="s">
        <v>24</v>
      </c>
      <c r="B3176" s="1" t="s">
        <v>54</v>
      </c>
      <c r="C3176" s="1" t="s">
        <v>45</v>
      </c>
      <c r="D3176" s="2">
        <v>45366</v>
      </c>
      <c r="E3176" s="1" t="s">
        <v>2971</v>
      </c>
      <c r="F3176" s="5">
        <f t="shared" si="197"/>
        <v>1684.28</v>
      </c>
      <c r="G3176" s="1">
        <v>419</v>
      </c>
      <c r="H3176" s="1" t="str">
        <f t="shared" si="198"/>
        <v>High</v>
      </c>
      <c r="I3176" s="1" t="str">
        <f t="shared" si="199"/>
        <v>Other</v>
      </c>
      <c r="J3176" s="1">
        <f t="shared" si="200"/>
        <v>19043.2</v>
      </c>
    </row>
    <row r="3177" spans="1:10" ht="12.75">
      <c r="A3177" s="1" t="s">
        <v>24</v>
      </c>
      <c r="B3177" s="1" t="s">
        <v>54</v>
      </c>
      <c r="C3177" s="1" t="s">
        <v>55</v>
      </c>
      <c r="D3177" s="2">
        <v>45318</v>
      </c>
      <c r="E3177" s="1" t="s">
        <v>2972</v>
      </c>
      <c r="F3177" s="5">
        <f t="shared" si="197"/>
        <v>11226.14</v>
      </c>
      <c r="G3177" s="1">
        <v>84</v>
      </c>
      <c r="H3177" s="1" t="str">
        <f t="shared" si="198"/>
        <v>High</v>
      </c>
      <c r="I3177" s="1" t="str">
        <f t="shared" si="199"/>
        <v>Other</v>
      </c>
      <c r="J3177" s="1">
        <f t="shared" si="200"/>
        <v>19043.2</v>
      </c>
    </row>
    <row r="3178" spans="1:10" ht="12.75">
      <c r="A3178" s="1" t="s">
        <v>28</v>
      </c>
      <c r="B3178" s="1" t="s">
        <v>62</v>
      </c>
      <c r="C3178" s="1" t="s">
        <v>65</v>
      </c>
      <c r="D3178" s="2">
        <v>45478</v>
      </c>
      <c r="E3178" s="1" t="s">
        <v>2973</v>
      </c>
      <c r="F3178" s="5">
        <f t="shared" si="197"/>
        <v>1172.53</v>
      </c>
      <c r="G3178" s="1">
        <v>124</v>
      </c>
      <c r="H3178" s="1" t="str">
        <f t="shared" si="198"/>
        <v>High</v>
      </c>
      <c r="I3178" s="1" t="str">
        <f t="shared" si="199"/>
        <v>Other</v>
      </c>
      <c r="J3178" s="1">
        <f t="shared" si="200"/>
        <v>19043.2</v>
      </c>
    </row>
    <row r="3179" spans="1:10" ht="12.75">
      <c r="A3179" s="1" t="s">
        <v>16</v>
      </c>
      <c r="B3179" s="1" t="s">
        <v>59</v>
      </c>
      <c r="C3179" s="1" t="s">
        <v>126</v>
      </c>
      <c r="D3179" s="2">
        <v>45380</v>
      </c>
      <c r="E3179" s="1" t="s">
        <v>2974</v>
      </c>
      <c r="F3179" s="5">
        <f t="shared" si="197"/>
        <v>3917.13</v>
      </c>
      <c r="G3179" s="1">
        <v>287</v>
      </c>
      <c r="H3179" s="1" t="str">
        <f t="shared" si="198"/>
        <v>High</v>
      </c>
      <c r="I3179" s="1" t="str">
        <f t="shared" si="199"/>
        <v>Other</v>
      </c>
      <c r="J3179" s="1">
        <f t="shared" si="200"/>
        <v>19043.2</v>
      </c>
    </row>
    <row r="3180" spans="1:10" ht="12.75">
      <c r="A3180" s="1" t="s">
        <v>2</v>
      </c>
      <c r="B3180" s="1" t="s">
        <v>62</v>
      </c>
      <c r="C3180" s="1" t="s">
        <v>91</v>
      </c>
      <c r="D3180" s="2">
        <v>45424</v>
      </c>
      <c r="E3180" s="1" t="s">
        <v>2975</v>
      </c>
      <c r="F3180" s="5">
        <f t="shared" si="197"/>
        <v>4871.07</v>
      </c>
      <c r="G3180" s="1">
        <v>33</v>
      </c>
      <c r="H3180" s="1" t="str">
        <f t="shared" si="198"/>
        <v>High</v>
      </c>
      <c r="I3180" s="1" t="str">
        <f t="shared" si="199"/>
        <v>Other</v>
      </c>
      <c r="J3180" s="1">
        <f t="shared" si="200"/>
        <v>19043.2</v>
      </c>
    </row>
    <row r="3181" spans="1:10" ht="12.75">
      <c r="A3181" s="1" t="s">
        <v>22</v>
      </c>
      <c r="B3181" s="1" t="s">
        <v>59</v>
      </c>
      <c r="C3181" s="1" t="s">
        <v>65</v>
      </c>
      <c r="D3181" s="2">
        <v>45362</v>
      </c>
      <c r="E3181" s="1" t="s">
        <v>2976</v>
      </c>
      <c r="F3181" s="5">
        <f t="shared" si="197"/>
        <v>9306.64</v>
      </c>
      <c r="G3181" s="1">
        <v>48</v>
      </c>
      <c r="H3181" s="1" t="str">
        <f t="shared" si="198"/>
        <v>High</v>
      </c>
      <c r="I3181" s="1" t="str">
        <f t="shared" si="199"/>
        <v>Other</v>
      </c>
      <c r="J3181" s="1">
        <f t="shared" si="200"/>
        <v>14172.130000000001</v>
      </c>
    </row>
    <row r="3182" spans="1:10" ht="12.75">
      <c r="A3182" s="1" t="s">
        <v>7</v>
      </c>
      <c r="B3182" s="1" t="s">
        <v>54</v>
      </c>
      <c r="C3182" s="1" t="s">
        <v>63</v>
      </c>
      <c r="D3182" s="2">
        <v>45484</v>
      </c>
      <c r="E3182" s="1" t="s">
        <v>2977</v>
      </c>
      <c r="F3182" s="5">
        <f t="shared" si="197"/>
        <v>5270.33</v>
      </c>
      <c r="G3182" s="1">
        <v>323</v>
      </c>
      <c r="H3182" s="1" t="str">
        <f t="shared" si="198"/>
        <v>High</v>
      </c>
      <c r="I3182" s="1" t="str">
        <f t="shared" si="199"/>
        <v>Other</v>
      </c>
      <c r="J3182" s="1">
        <f t="shared" si="200"/>
        <v>14172.130000000001</v>
      </c>
    </row>
    <row r="3183" spans="1:10" ht="12.75">
      <c r="A3183" s="1" t="s">
        <v>23</v>
      </c>
      <c r="B3183" s="1" t="s">
        <v>54</v>
      </c>
      <c r="C3183" s="1" t="s">
        <v>102</v>
      </c>
      <c r="D3183" s="2">
        <v>45505</v>
      </c>
      <c r="E3183" s="1" t="s">
        <v>2978</v>
      </c>
      <c r="F3183" s="5">
        <f t="shared" si="197"/>
        <v>14722.35</v>
      </c>
      <c r="G3183" s="1">
        <v>61</v>
      </c>
      <c r="H3183" s="1" t="str">
        <f t="shared" si="198"/>
        <v>High</v>
      </c>
      <c r="I3183" s="1" t="str">
        <f t="shared" si="199"/>
        <v>Other</v>
      </c>
      <c r="J3183" s="1">
        <f t="shared" si="200"/>
        <v>14172.130000000001</v>
      </c>
    </row>
    <row r="3184" spans="1:10" ht="12.75">
      <c r="A3184" s="1" t="s">
        <v>23</v>
      </c>
      <c r="B3184" s="1" t="s">
        <v>39</v>
      </c>
      <c r="C3184" s="1" t="s">
        <v>76</v>
      </c>
      <c r="D3184" s="2">
        <v>45338</v>
      </c>
      <c r="E3184" s="1" t="s">
        <v>2979</v>
      </c>
      <c r="F3184" s="5">
        <f t="shared" si="197"/>
        <v>13444.87</v>
      </c>
      <c r="G3184" s="1">
        <v>197</v>
      </c>
      <c r="H3184" s="1" t="str">
        <f t="shared" si="198"/>
        <v>High</v>
      </c>
      <c r="I3184" s="1" t="str">
        <f t="shared" si="199"/>
        <v>Other</v>
      </c>
      <c r="J3184" s="1">
        <f t="shared" si="200"/>
        <v>14172.130000000001</v>
      </c>
    </row>
    <row r="3185" spans="1:10" ht="12.75">
      <c r="A3185" s="1" t="s">
        <v>24</v>
      </c>
      <c r="B3185" s="1" t="s">
        <v>59</v>
      </c>
      <c r="C3185" s="1" t="s">
        <v>52</v>
      </c>
      <c r="D3185" s="2">
        <v>45395</v>
      </c>
      <c r="E3185" s="1" t="s">
        <v>2980</v>
      </c>
      <c r="F3185" s="5">
        <f t="shared" si="197"/>
        <v>14885.97</v>
      </c>
      <c r="G3185" s="1">
        <v>248</v>
      </c>
      <c r="H3185" s="1" t="str">
        <f t="shared" si="198"/>
        <v>High</v>
      </c>
      <c r="I3185" s="1" t="str">
        <f t="shared" si="199"/>
        <v>Other</v>
      </c>
      <c r="J3185" s="1">
        <f t="shared" si="200"/>
        <v>14172.130000000001</v>
      </c>
    </row>
    <row r="3186" spans="1:10" ht="12.75">
      <c r="A3186" s="1" t="s">
        <v>22</v>
      </c>
      <c r="B3186" s="1" t="s">
        <v>42</v>
      </c>
      <c r="C3186" s="1" t="s">
        <v>102</v>
      </c>
      <c r="D3186" s="2">
        <v>45336</v>
      </c>
      <c r="E3186" s="1" t="s">
        <v>2981</v>
      </c>
      <c r="F3186" s="5">
        <f t="shared" si="197"/>
        <v>53.31</v>
      </c>
      <c r="G3186" s="1">
        <v>371</v>
      </c>
      <c r="H3186" s="1" t="str">
        <f t="shared" si="198"/>
        <v>Low</v>
      </c>
      <c r="I3186" s="1" t="str">
        <f t="shared" si="199"/>
        <v>Other</v>
      </c>
      <c r="J3186" s="1">
        <f t="shared" si="200"/>
        <v>14172.130000000001</v>
      </c>
    </row>
    <row r="3187" spans="1:10" ht="12.75">
      <c r="A3187" s="1" t="s">
        <v>17</v>
      </c>
      <c r="B3187" s="1" t="s">
        <v>5</v>
      </c>
      <c r="C3187" s="1" t="s">
        <v>45</v>
      </c>
      <c r="D3187" s="2">
        <v>45365</v>
      </c>
      <c r="E3187" s="1" t="s">
        <v>2982</v>
      </c>
      <c r="F3187" s="5">
        <f t="shared" si="197"/>
        <v>11767.94</v>
      </c>
      <c r="G3187" s="1">
        <v>68</v>
      </c>
      <c r="H3187" s="1" t="str">
        <f t="shared" si="198"/>
        <v>High</v>
      </c>
      <c r="I3187" s="1" t="str">
        <f t="shared" si="199"/>
        <v>Other</v>
      </c>
      <c r="J3187" s="1">
        <f t="shared" si="200"/>
        <v>14172.130000000001</v>
      </c>
    </row>
    <row r="3188" spans="1:10" ht="12.75">
      <c r="A3188" s="1" t="s">
        <v>22</v>
      </c>
      <c r="B3188" s="1" t="s">
        <v>5</v>
      </c>
      <c r="C3188" s="1" t="s">
        <v>76</v>
      </c>
      <c r="D3188" s="2">
        <v>45408</v>
      </c>
      <c r="E3188" s="1" t="s">
        <v>2983</v>
      </c>
      <c r="F3188" s="5">
        <f t="shared" si="197"/>
        <v>12897.53</v>
      </c>
      <c r="G3188" s="1">
        <v>25</v>
      </c>
      <c r="H3188" s="1" t="str">
        <f t="shared" si="198"/>
        <v>High</v>
      </c>
      <c r="I3188" s="1" t="str">
        <f t="shared" si="199"/>
        <v>Other</v>
      </c>
      <c r="J3188" s="1">
        <f t="shared" si="200"/>
        <v>14172.130000000001</v>
      </c>
    </row>
    <row r="3189" spans="1:10" ht="12.75">
      <c r="A3189" s="1" t="s">
        <v>11</v>
      </c>
      <c r="B3189" s="1" t="s">
        <v>62</v>
      </c>
      <c r="C3189" s="1" t="s">
        <v>86</v>
      </c>
      <c r="D3189" s="2">
        <v>45387</v>
      </c>
      <c r="E3189" s="1" t="s">
        <v>2984</v>
      </c>
      <c r="F3189" s="5">
        <f t="shared" si="197"/>
        <v>3867.62</v>
      </c>
      <c r="G3189" s="1">
        <v>214</v>
      </c>
      <c r="H3189" s="1" t="str">
        <f t="shared" si="198"/>
        <v>High</v>
      </c>
      <c r="I3189" s="1" t="str">
        <f t="shared" si="199"/>
        <v>Other</v>
      </c>
      <c r="J3189" s="1">
        <f t="shared" si="200"/>
        <v>14172.130000000001</v>
      </c>
    </row>
    <row r="3190" spans="1:10" ht="12.75">
      <c r="A3190" s="1" t="s">
        <v>25</v>
      </c>
      <c r="B3190" s="1" t="s">
        <v>62</v>
      </c>
      <c r="C3190" s="1" t="s">
        <v>65</v>
      </c>
      <c r="D3190" s="2">
        <v>45354</v>
      </c>
      <c r="E3190" s="1" t="s">
        <v>2985</v>
      </c>
      <c r="F3190" s="5">
        <f t="shared" si="197"/>
        <v>13524.05</v>
      </c>
      <c r="G3190" s="1">
        <v>253</v>
      </c>
      <c r="H3190" s="1" t="str">
        <f t="shared" si="198"/>
        <v>High</v>
      </c>
      <c r="I3190" s="1" t="str">
        <f t="shared" si="199"/>
        <v>Other</v>
      </c>
      <c r="J3190" s="1">
        <f t="shared" si="200"/>
        <v>14172.130000000001</v>
      </c>
    </row>
    <row r="3191" spans="1:10" ht="12.75">
      <c r="A3191" s="1" t="s">
        <v>8</v>
      </c>
      <c r="B3191" s="1" t="s">
        <v>59</v>
      </c>
      <c r="C3191" s="1" t="s">
        <v>76</v>
      </c>
      <c r="D3191" s="2">
        <v>45456</v>
      </c>
      <c r="E3191" s="1" t="s">
        <v>2986</v>
      </c>
      <c r="F3191" s="5">
        <f t="shared" si="197"/>
        <v>2319.1</v>
      </c>
      <c r="G3191" s="1">
        <v>189</v>
      </c>
      <c r="H3191" s="1" t="str">
        <f t="shared" si="198"/>
        <v>High</v>
      </c>
      <c r="I3191" s="1" t="str">
        <f t="shared" si="199"/>
        <v>Other</v>
      </c>
      <c r="J3191" s="1">
        <f t="shared" si="200"/>
        <v>14172.130000000001</v>
      </c>
    </row>
    <row r="3192" spans="1:10" ht="12.75">
      <c r="A3192" s="1" t="s">
        <v>14</v>
      </c>
      <c r="B3192" s="1" t="s">
        <v>54</v>
      </c>
      <c r="C3192" s="1" t="s">
        <v>147</v>
      </c>
      <c r="D3192" s="2">
        <v>45336</v>
      </c>
      <c r="E3192" s="1" t="s">
        <v>2987</v>
      </c>
      <c r="F3192" s="5">
        <f t="shared" si="197"/>
        <v>9036.58</v>
      </c>
      <c r="G3192" s="1">
        <v>377</v>
      </c>
      <c r="H3192" s="1" t="str">
        <f t="shared" si="198"/>
        <v>High</v>
      </c>
      <c r="I3192" s="1" t="str">
        <f t="shared" si="199"/>
        <v>Other</v>
      </c>
      <c r="J3192" s="1">
        <f t="shared" si="200"/>
        <v>14172.130000000001</v>
      </c>
    </row>
    <row r="3193" spans="1:10" ht="12.75">
      <c r="A3193" s="1" t="s">
        <v>26</v>
      </c>
      <c r="B3193" s="1" t="s">
        <v>54</v>
      </c>
      <c r="C3193" s="1" t="s">
        <v>51</v>
      </c>
      <c r="D3193" s="2">
        <v>45400</v>
      </c>
      <c r="E3193" s="1" t="s">
        <v>2988</v>
      </c>
      <c r="F3193" s="5">
        <f t="shared" si="197"/>
        <v>8905.5300000000007</v>
      </c>
      <c r="G3193" s="1">
        <v>201</v>
      </c>
      <c r="H3193" s="1" t="str">
        <f t="shared" si="198"/>
        <v>High</v>
      </c>
      <c r="I3193" s="1" t="str">
        <f t="shared" si="199"/>
        <v>Other</v>
      </c>
      <c r="J3193" s="1">
        <f t="shared" si="200"/>
        <v>14172.130000000001</v>
      </c>
    </row>
    <row r="3194" spans="1:10" ht="12.75">
      <c r="A3194" s="1" t="s">
        <v>22</v>
      </c>
      <c r="B3194" s="1" t="s">
        <v>54</v>
      </c>
      <c r="C3194" s="1" t="s">
        <v>43</v>
      </c>
      <c r="D3194" s="2">
        <v>45323</v>
      </c>
      <c r="E3194" s="1" t="s">
        <v>2989</v>
      </c>
      <c r="F3194" s="5">
        <f t="shared" si="197"/>
        <v>4040.65</v>
      </c>
      <c r="G3194" s="1">
        <v>423</v>
      </c>
      <c r="H3194" s="1" t="str">
        <f t="shared" si="198"/>
        <v>High</v>
      </c>
      <c r="I3194" s="1" t="str">
        <f t="shared" si="199"/>
        <v>Other</v>
      </c>
      <c r="J3194" s="1">
        <f t="shared" si="200"/>
        <v>14172.130000000001</v>
      </c>
    </row>
    <row r="3195" spans="1:10" ht="12.75">
      <c r="A3195" s="1" t="s">
        <v>21</v>
      </c>
      <c r="B3195" s="1" t="s">
        <v>54</v>
      </c>
      <c r="C3195" s="1" t="s">
        <v>60</v>
      </c>
      <c r="D3195" s="2">
        <v>45508</v>
      </c>
      <c r="E3195" s="1" t="s">
        <v>2990</v>
      </c>
      <c r="F3195" s="5">
        <f t="shared" si="197"/>
        <v>2204.17</v>
      </c>
      <c r="G3195" s="1">
        <v>145</v>
      </c>
      <c r="H3195" s="1" t="str">
        <f t="shared" si="198"/>
        <v>High</v>
      </c>
      <c r="I3195" s="1" t="str">
        <f t="shared" si="199"/>
        <v>Other</v>
      </c>
      <c r="J3195" s="1">
        <f t="shared" si="200"/>
        <v>14172.130000000001</v>
      </c>
    </row>
    <row r="3196" spans="1:10" ht="12.75">
      <c r="A3196" s="1" t="s">
        <v>27</v>
      </c>
      <c r="B3196" s="1" t="s">
        <v>54</v>
      </c>
      <c r="C3196" s="1" t="s">
        <v>91</v>
      </c>
      <c r="D3196" s="2">
        <v>45387</v>
      </c>
      <c r="E3196" s="1" t="s">
        <v>2991</v>
      </c>
      <c r="F3196" s="5">
        <f t="shared" si="197"/>
        <v>7037.21</v>
      </c>
      <c r="G3196" s="1">
        <v>172</v>
      </c>
      <c r="H3196" s="1" t="str">
        <f t="shared" si="198"/>
        <v>High</v>
      </c>
      <c r="I3196" s="1" t="str">
        <f t="shared" si="199"/>
        <v>Other</v>
      </c>
      <c r="J3196" s="1">
        <f t="shared" si="200"/>
        <v>14172.130000000001</v>
      </c>
    </row>
    <row r="3197" spans="1:10" ht="12.75">
      <c r="A3197" s="1" t="s">
        <v>18</v>
      </c>
      <c r="B3197" s="1" t="s">
        <v>5</v>
      </c>
      <c r="C3197" s="1" t="s">
        <v>51</v>
      </c>
      <c r="D3197" s="2">
        <v>45317</v>
      </c>
      <c r="E3197" s="1" t="s">
        <v>2992</v>
      </c>
      <c r="F3197" s="5">
        <f t="shared" si="197"/>
        <v>12285.41</v>
      </c>
      <c r="G3197" s="1">
        <v>175</v>
      </c>
      <c r="H3197" s="1" t="str">
        <f t="shared" si="198"/>
        <v>High</v>
      </c>
      <c r="I3197" s="1" t="str">
        <f t="shared" si="199"/>
        <v>Other</v>
      </c>
      <c r="J3197" s="1">
        <f t="shared" si="200"/>
        <v>14172.130000000001</v>
      </c>
    </row>
    <row r="3198" spans="1:10" ht="12.75">
      <c r="A3198" s="1" t="s">
        <v>8</v>
      </c>
      <c r="B3198" s="1" t="s">
        <v>39</v>
      </c>
      <c r="C3198" s="1" t="s">
        <v>52</v>
      </c>
      <c r="D3198" s="2">
        <v>45312</v>
      </c>
      <c r="E3198" s="1" t="s">
        <v>2993</v>
      </c>
      <c r="F3198" s="5">
        <f t="shared" si="197"/>
        <v>21812.86</v>
      </c>
      <c r="G3198" s="1">
        <v>183</v>
      </c>
      <c r="H3198" s="1" t="str">
        <f t="shared" si="198"/>
        <v>High</v>
      </c>
      <c r="I3198" s="1" t="str">
        <f t="shared" si="199"/>
        <v>Other</v>
      </c>
      <c r="J3198" s="1">
        <f t="shared" si="200"/>
        <v>14172.130000000001</v>
      </c>
    </row>
    <row r="3199" spans="1:10" ht="12.75">
      <c r="A3199" s="1" t="s">
        <v>8</v>
      </c>
      <c r="B3199" s="1" t="s">
        <v>62</v>
      </c>
      <c r="C3199" s="1" t="s">
        <v>52</v>
      </c>
      <c r="D3199" s="2">
        <v>45526</v>
      </c>
      <c r="E3199" s="1" t="s">
        <v>2994</v>
      </c>
      <c r="F3199" s="5">
        <f t="shared" si="197"/>
        <v>6707.97</v>
      </c>
      <c r="G3199" s="1">
        <v>187</v>
      </c>
      <c r="H3199" s="1" t="str">
        <f t="shared" si="198"/>
        <v>High</v>
      </c>
      <c r="I3199" s="1" t="str">
        <f t="shared" si="199"/>
        <v>Other</v>
      </c>
      <c r="J3199" s="1">
        <f t="shared" si="200"/>
        <v>14172.130000000001</v>
      </c>
    </row>
    <row r="3200" spans="1:10" ht="12.75">
      <c r="A3200" s="1" t="s">
        <v>8</v>
      </c>
      <c r="B3200" s="1" t="s">
        <v>39</v>
      </c>
      <c r="C3200" s="1" t="s">
        <v>65</v>
      </c>
      <c r="D3200" s="2">
        <v>45318</v>
      </c>
      <c r="E3200" s="1" t="s">
        <v>2995</v>
      </c>
      <c r="F3200" s="5">
        <f t="shared" si="197"/>
        <v>2513.58</v>
      </c>
      <c r="G3200" s="1">
        <v>226</v>
      </c>
      <c r="H3200" s="1" t="str">
        <f t="shared" si="198"/>
        <v>High</v>
      </c>
      <c r="I3200" s="1" t="str">
        <f t="shared" si="199"/>
        <v>Other</v>
      </c>
      <c r="J3200" s="1">
        <f t="shared" si="200"/>
        <v>14172.130000000001</v>
      </c>
    </row>
    <row r="3201" spans="1:10" ht="12.75">
      <c r="A3201" s="1" t="s">
        <v>19</v>
      </c>
      <c r="B3201" s="1" t="s">
        <v>39</v>
      </c>
      <c r="C3201" s="1" t="s">
        <v>55</v>
      </c>
      <c r="D3201" s="2">
        <v>45338</v>
      </c>
      <c r="E3201" s="1" t="s">
        <v>2996</v>
      </c>
      <c r="F3201" s="5">
        <f t="shared" si="197"/>
        <v>11491.21</v>
      </c>
      <c r="G3201" s="1">
        <v>71</v>
      </c>
      <c r="H3201" s="1" t="str">
        <f t="shared" si="198"/>
        <v>High</v>
      </c>
      <c r="I3201" s="1" t="str">
        <f t="shared" si="199"/>
        <v>Other</v>
      </c>
      <c r="J3201" s="1">
        <f t="shared" si="200"/>
        <v>14172.130000000001</v>
      </c>
    </row>
    <row r="3202" spans="1:10" ht="12.75">
      <c r="A3202" s="1" t="s">
        <v>21</v>
      </c>
      <c r="B3202" s="1" t="s">
        <v>59</v>
      </c>
      <c r="C3202" s="1" t="s">
        <v>100</v>
      </c>
      <c r="D3202" s="2">
        <v>45294</v>
      </c>
      <c r="E3202" s="1" t="s">
        <v>2997</v>
      </c>
      <c r="F3202" s="5">
        <f t="shared" ref="F3202:F3265" si="201">VALUE(SUBSTITUTE(E3202,"$",""))</f>
        <v>3762.58</v>
      </c>
      <c r="G3202" s="1">
        <v>49</v>
      </c>
      <c r="H3202" s="1" t="str">
        <f t="shared" ref="H3202:H3265" si="202">IF(F3202&gt;800,"High",IF(F3202&gt;500,"Medium","Low"))</f>
        <v>High</v>
      </c>
      <c r="I3202" s="1" t="str">
        <f t="shared" ref="I3202:I3265" si="203">IF(AND(B3202="Australia",A3202="Mallorie Waber"),"Top Local","Other")</f>
        <v>Other</v>
      </c>
      <c r="J3202" s="1">
        <f t="shared" ref="J3202:J3265" si="204">SUMIF(A3202:A6482,"Mallorie Waber",F3202:F6482)</f>
        <v>14172.130000000001</v>
      </c>
    </row>
    <row r="3203" spans="1:10" ht="12.75">
      <c r="A3203" s="1" t="s">
        <v>18</v>
      </c>
      <c r="B3203" s="1" t="s">
        <v>59</v>
      </c>
      <c r="C3203" s="1" t="s">
        <v>84</v>
      </c>
      <c r="D3203" s="2">
        <v>45528</v>
      </c>
      <c r="E3203" s="1" t="s">
        <v>2998</v>
      </c>
      <c r="F3203" s="5">
        <f t="shared" si="201"/>
        <v>5158.01</v>
      </c>
      <c r="G3203" s="1">
        <v>2</v>
      </c>
      <c r="H3203" s="1" t="str">
        <f t="shared" si="202"/>
        <v>High</v>
      </c>
      <c r="I3203" s="1" t="str">
        <f t="shared" si="203"/>
        <v>Other</v>
      </c>
      <c r="J3203" s="1">
        <f t="shared" si="204"/>
        <v>14172.130000000001</v>
      </c>
    </row>
    <row r="3204" spans="1:10" ht="12.75">
      <c r="A3204" s="1" t="s">
        <v>22</v>
      </c>
      <c r="B3204" s="1" t="s">
        <v>59</v>
      </c>
      <c r="C3204" s="1" t="s">
        <v>76</v>
      </c>
      <c r="D3204" s="2">
        <v>45329</v>
      </c>
      <c r="E3204" s="1" t="s">
        <v>2999</v>
      </c>
      <c r="F3204" s="5">
        <f t="shared" si="201"/>
        <v>6660.69</v>
      </c>
      <c r="G3204" s="1">
        <v>418</v>
      </c>
      <c r="H3204" s="1" t="str">
        <f t="shared" si="202"/>
        <v>High</v>
      </c>
      <c r="I3204" s="1" t="str">
        <f t="shared" si="203"/>
        <v>Other</v>
      </c>
      <c r="J3204" s="1">
        <f t="shared" si="204"/>
        <v>14172.130000000001</v>
      </c>
    </row>
    <row r="3205" spans="1:10" ht="12.75">
      <c r="A3205" s="1" t="s">
        <v>2</v>
      </c>
      <c r="B3205" s="1" t="s">
        <v>5</v>
      </c>
      <c r="C3205" s="1" t="s">
        <v>49</v>
      </c>
      <c r="D3205" s="2">
        <v>45333</v>
      </c>
      <c r="E3205" s="1" t="s">
        <v>3000</v>
      </c>
      <c r="F3205" s="5">
        <f t="shared" si="201"/>
        <v>4786.05</v>
      </c>
      <c r="G3205" s="1">
        <v>107</v>
      </c>
      <c r="H3205" s="1" t="str">
        <f t="shared" si="202"/>
        <v>High</v>
      </c>
      <c r="I3205" s="1" t="str">
        <f t="shared" si="203"/>
        <v>Top Local</v>
      </c>
      <c r="J3205" s="1">
        <f t="shared" si="204"/>
        <v>14172.130000000001</v>
      </c>
    </row>
    <row r="3206" spans="1:10" ht="12.75">
      <c r="A3206" s="1" t="s">
        <v>8</v>
      </c>
      <c r="B3206" s="1" t="s">
        <v>62</v>
      </c>
      <c r="C3206" s="1" t="s">
        <v>68</v>
      </c>
      <c r="D3206" s="2">
        <v>45380</v>
      </c>
      <c r="E3206" s="1" t="s">
        <v>3001</v>
      </c>
      <c r="F3206" s="5">
        <f t="shared" si="201"/>
        <v>6797.67</v>
      </c>
      <c r="G3206" s="1">
        <v>82</v>
      </c>
      <c r="H3206" s="1" t="str">
        <f t="shared" si="202"/>
        <v>High</v>
      </c>
      <c r="I3206" s="1" t="str">
        <f t="shared" si="203"/>
        <v>Other</v>
      </c>
      <c r="J3206" s="1">
        <f t="shared" si="204"/>
        <v>9386.08</v>
      </c>
    </row>
    <row r="3207" spans="1:10" ht="12.75">
      <c r="A3207" s="1" t="s">
        <v>14</v>
      </c>
      <c r="B3207" s="1" t="s">
        <v>59</v>
      </c>
      <c r="C3207" s="1" t="s">
        <v>45</v>
      </c>
      <c r="D3207" s="2">
        <v>45458</v>
      </c>
      <c r="E3207" s="1" t="s">
        <v>3002</v>
      </c>
      <c r="F3207" s="5">
        <f t="shared" si="201"/>
        <v>782.24</v>
      </c>
      <c r="G3207" s="1">
        <v>348</v>
      </c>
      <c r="H3207" s="1" t="str">
        <f t="shared" si="202"/>
        <v>Medium</v>
      </c>
      <c r="I3207" s="1" t="str">
        <f t="shared" si="203"/>
        <v>Other</v>
      </c>
      <c r="J3207" s="1">
        <f t="shared" si="204"/>
        <v>9386.08</v>
      </c>
    </row>
    <row r="3208" spans="1:10" ht="12.75">
      <c r="A3208" s="1" t="s">
        <v>6</v>
      </c>
      <c r="B3208" s="1" t="s">
        <v>39</v>
      </c>
      <c r="C3208" s="1" t="s">
        <v>49</v>
      </c>
      <c r="D3208" s="2">
        <v>45408</v>
      </c>
      <c r="E3208" s="1" t="s">
        <v>3003</v>
      </c>
      <c r="F3208" s="5">
        <f t="shared" si="201"/>
        <v>653.1</v>
      </c>
      <c r="G3208" s="1">
        <v>136</v>
      </c>
      <c r="H3208" s="1" t="str">
        <f t="shared" si="202"/>
        <v>Medium</v>
      </c>
      <c r="I3208" s="1" t="str">
        <f t="shared" si="203"/>
        <v>Other</v>
      </c>
      <c r="J3208" s="1">
        <f t="shared" si="204"/>
        <v>9386.08</v>
      </c>
    </row>
    <row r="3209" spans="1:10" ht="12.75">
      <c r="A3209" s="1" t="s">
        <v>7</v>
      </c>
      <c r="B3209" s="1" t="s">
        <v>5</v>
      </c>
      <c r="C3209" s="1" t="s">
        <v>68</v>
      </c>
      <c r="D3209" s="2">
        <v>45488</v>
      </c>
      <c r="E3209" s="1" t="s">
        <v>3004</v>
      </c>
      <c r="F3209" s="5">
        <f t="shared" si="201"/>
        <v>4768.88</v>
      </c>
      <c r="G3209" s="1">
        <v>281</v>
      </c>
      <c r="H3209" s="1" t="str">
        <f t="shared" si="202"/>
        <v>High</v>
      </c>
      <c r="I3209" s="1" t="str">
        <f t="shared" si="203"/>
        <v>Other</v>
      </c>
      <c r="J3209" s="1">
        <f t="shared" si="204"/>
        <v>9386.08</v>
      </c>
    </row>
    <row r="3210" spans="1:10" ht="12.75">
      <c r="A3210" s="1" t="s">
        <v>28</v>
      </c>
      <c r="B3210" s="1" t="s">
        <v>42</v>
      </c>
      <c r="C3210" s="1" t="s">
        <v>68</v>
      </c>
      <c r="D3210" s="2">
        <v>45466</v>
      </c>
      <c r="E3210" s="1" t="s">
        <v>3005</v>
      </c>
      <c r="F3210" s="5">
        <f t="shared" si="201"/>
        <v>1123.57</v>
      </c>
      <c r="G3210" s="1">
        <v>19</v>
      </c>
      <c r="H3210" s="1" t="str">
        <f t="shared" si="202"/>
        <v>High</v>
      </c>
      <c r="I3210" s="1" t="str">
        <f t="shared" si="203"/>
        <v>Other</v>
      </c>
      <c r="J3210" s="1">
        <f t="shared" si="204"/>
        <v>9386.08</v>
      </c>
    </row>
    <row r="3211" spans="1:10" ht="12.75">
      <c r="A3211" s="1" t="s">
        <v>6</v>
      </c>
      <c r="B3211" s="1" t="s">
        <v>5</v>
      </c>
      <c r="C3211" s="1" t="s">
        <v>122</v>
      </c>
      <c r="D3211" s="2">
        <v>45302</v>
      </c>
      <c r="E3211" s="1" t="s">
        <v>3006</v>
      </c>
      <c r="F3211" s="5">
        <f t="shared" si="201"/>
        <v>16435.38</v>
      </c>
      <c r="G3211" s="1">
        <v>425</v>
      </c>
      <c r="H3211" s="1" t="str">
        <f t="shared" si="202"/>
        <v>High</v>
      </c>
      <c r="I3211" s="1" t="str">
        <f t="shared" si="203"/>
        <v>Other</v>
      </c>
      <c r="J3211" s="1">
        <f t="shared" si="204"/>
        <v>9386.08</v>
      </c>
    </row>
    <row r="3212" spans="1:10" ht="12.75">
      <c r="A3212" s="1" t="s">
        <v>28</v>
      </c>
      <c r="B3212" s="1" t="s">
        <v>39</v>
      </c>
      <c r="C3212" s="1" t="s">
        <v>55</v>
      </c>
      <c r="D3212" s="2">
        <v>45331</v>
      </c>
      <c r="E3212" s="1" t="s">
        <v>3007</v>
      </c>
      <c r="F3212" s="5">
        <f t="shared" si="201"/>
        <v>2922.18</v>
      </c>
      <c r="G3212" s="1">
        <v>289</v>
      </c>
      <c r="H3212" s="1" t="str">
        <f t="shared" si="202"/>
        <v>High</v>
      </c>
      <c r="I3212" s="1" t="str">
        <f t="shared" si="203"/>
        <v>Other</v>
      </c>
      <c r="J3212" s="1">
        <f t="shared" si="204"/>
        <v>9386.08</v>
      </c>
    </row>
    <row r="3213" spans="1:10" ht="12.75">
      <c r="A3213" s="1" t="s">
        <v>10</v>
      </c>
      <c r="B3213" s="1" t="s">
        <v>39</v>
      </c>
      <c r="C3213" s="1" t="s">
        <v>91</v>
      </c>
      <c r="D3213" s="2">
        <v>45449</v>
      </c>
      <c r="E3213" s="1" t="s">
        <v>3008</v>
      </c>
      <c r="F3213" s="5">
        <f t="shared" si="201"/>
        <v>12123.84</v>
      </c>
      <c r="G3213" s="1">
        <v>222</v>
      </c>
      <c r="H3213" s="1" t="str">
        <f t="shared" si="202"/>
        <v>High</v>
      </c>
      <c r="I3213" s="1" t="str">
        <f t="shared" si="203"/>
        <v>Other</v>
      </c>
      <c r="J3213" s="1">
        <f t="shared" si="204"/>
        <v>9386.08</v>
      </c>
    </row>
    <row r="3214" spans="1:10" ht="12.75">
      <c r="A3214" s="1" t="s">
        <v>21</v>
      </c>
      <c r="B3214" s="1" t="s">
        <v>39</v>
      </c>
      <c r="C3214" s="1" t="s">
        <v>126</v>
      </c>
      <c r="D3214" s="2">
        <v>45514</v>
      </c>
      <c r="E3214" s="1" t="s">
        <v>3009</v>
      </c>
      <c r="F3214" s="5">
        <f t="shared" si="201"/>
        <v>6448.87</v>
      </c>
      <c r="G3214" s="1">
        <v>244</v>
      </c>
      <c r="H3214" s="1" t="str">
        <f t="shared" si="202"/>
        <v>High</v>
      </c>
      <c r="I3214" s="1" t="str">
        <f t="shared" si="203"/>
        <v>Other</v>
      </c>
      <c r="J3214" s="1">
        <f t="shared" si="204"/>
        <v>9386.08</v>
      </c>
    </row>
    <row r="3215" spans="1:10" ht="12.75">
      <c r="A3215" s="1" t="s">
        <v>29</v>
      </c>
      <c r="B3215" s="1" t="s">
        <v>5</v>
      </c>
      <c r="C3215" s="1" t="s">
        <v>49</v>
      </c>
      <c r="D3215" s="2">
        <v>45295</v>
      </c>
      <c r="E3215" s="1" t="s">
        <v>3010</v>
      </c>
      <c r="F3215" s="5">
        <f t="shared" si="201"/>
        <v>2587.61</v>
      </c>
      <c r="G3215" s="1">
        <v>44</v>
      </c>
      <c r="H3215" s="1" t="str">
        <f t="shared" si="202"/>
        <v>High</v>
      </c>
      <c r="I3215" s="1" t="str">
        <f t="shared" si="203"/>
        <v>Other</v>
      </c>
      <c r="J3215" s="1">
        <f t="shared" si="204"/>
        <v>9386.08</v>
      </c>
    </row>
    <row r="3216" spans="1:10" ht="12.75">
      <c r="A3216" s="1" t="s">
        <v>27</v>
      </c>
      <c r="B3216" s="1" t="s">
        <v>62</v>
      </c>
      <c r="C3216" s="1" t="s">
        <v>147</v>
      </c>
      <c r="D3216" s="2">
        <v>45390</v>
      </c>
      <c r="E3216" s="1" t="s">
        <v>3011</v>
      </c>
      <c r="F3216" s="5">
        <f t="shared" si="201"/>
        <v>12109</v>
      </c>
      <c r="G3216" s="1">
        <v>16</v>
      </c>
      <c r="H3216" s="1" t="str">
        <f t="shared" si="202"/>
        <v>High</v>
      </c>
      <c r="I3216" s="1" t="str">
        <f t="shared" si="203"/>
        <v>Other</v>
      </c>
      <c r="J3216" s="1">
        <f t="shared" si="204"/>
        <v>9386.08</v>
      </c>
    </row>
    <row r="3217" spans="1:10" ht="12.75">
      <c r="A3217" s="1" t="s">
        <v>16</v>
      </c>
      <c r="B3217" s="1" t="s">
        <v>39</v>
      </c>
      <c r="C3217" s="1" t="s">
        <v>72</v>
      </c>
      <c r="D3217" s="2">
        <v>45353</v>
      </c>
      <c r="E3217" s="1" t="s">
        <v>3012</v>
      </c>
      <c r="F3217" s="5">
        <f t="shared" si="201"/>
        <v>4482.33</v>
      </c>
      <c r="G3217" s="1">
        <v>467</v>
      </c>
      <c r="H3217" s="1" t="str">
        <f t="shared" si="202"/>
        <v>High</v>
      </c>
      <c r="I3217" s="1" t="str">
        <f t="shared" si="203"/>
        <v>Other</v>
      </c>
      <c r="J3217" s="1">
        <f t="shared" si="204"/>
        <v>9386.08</v>
      </c>
    </row>
    <row r="3218" spans="1:10" ht="12.75">
      <c r="A3218" s="1" t="s">
        <v>10</v>
      </c>
      <c r="B3218" s="1" t="s">
        <v>62</v>
      </c>
      <c r="C3218" s="1" t="s">
        <v>65</v>
      </c>
      <c r="D3218" s="2">
        <v>45458</v>
      </c>
      <c r="E3218" s="1" t="s">
        <v>3013</v>
      </c>
      <c r="F3218" s="5">
        <f t="shared" si="201"/>
        <v>5294.88</v>
      </c>
      <c r="G3218" s="1">
        <v>679</v>
      </c>
      <c r="H3218" s="1" t="str">
        <f t="shared" si="202"/>
        <v>High</v>
      </c>
      <c r="I3218" s="1" t="str">
        <f t="shared" si="203"/>
        <v>Other</v>
      </c>
      <c r="J3218" s="1">
        <f t="shared" si="204"/>
        <v>9386.08</v>
      </c>
    </row>
    <row r="3219" spans="1:10" ht="12.75">
      <c r="A3219" s="1" t="s">
        <v>11</v>
      </c>
      <c r="B3219" s="1" t="s">
        <v>5</v>
      </c>
      <c r="C3219" s="1" t="s">
        <v>52</v>
      </c>
      <c r="D3219" s="2">
        <v>45336</v>
      </c>
      <c r="E3219" s="1" t="s">
        <v>3014</v>
      </c>
      <c r="F3219" s="5">
        <f t="shared" si="201"/>
        <v>5512.57</v>
      </c>
      <c r="G3219" s="1">
        <v>46</v>
      </c>
      <c r="H3219" s="1" t="str">
        <f t="shared" si="202"/>
        <v>High</v>
      </c>
      <c r="I3219" s="1" t="str">
        <f t="shared" si="203"/>
        <v>Other</v>
      </c>
      <c r="J3219" s="1">
        <f t="shared" si="204"/>
        <v>9386.08</v>
      </c>
    </row>
    <row r="3220" spans="1:10" ht="12.75">
      <c r="A3220" s="1" t="s">
        <v>13</v>
      </c>
      <c r="B3220" s="1" t="s">
        <v>39</v>
      </c>
      <c r="C3220" s="1" t="s">
        <v>52</v>
      </c>
      <c r="D3220" s="2">
        <v>45478</v>
      </c>
      <c r="E3220" s="1" t="s">
        <v>3015</v>
      </c>
      <c r="F3220" s="5">
        <f t="shared" si="201"/>
        <v>3707.27</v>
      </c>
      <c r="G3220" s="1">
        <v>392</v>
      </c>
      <c r="H3220" s="1" t="str">
        <f t="shared" si="202"/>
        <v>High</v>
      </c>
      <c r="I3220" s="1" t="str">
        <f t="shared" si="203"/>
        <v>Other</v>
      </c>
      <c r="J3220" s="1">
        <f t="shared" si="204"/>
        <v>9386.08</v>
      </c>
    </row>
    <row r="3221" spans="1:10" ht="12.75">
      <c r="A3221" s="1" t="s">
        <v>16</v>
      </c>
      <c r="B3221" s="1" t="s">
        <v>42</v>
      </c>
      <c r="C3221" s="1" t="s">
        <v>40</v>
      </c>
      <c r="D3221" s="2">
        <v>45303</v>
      </c>
      <c r="E3221" s="1" t="s">
        <v>3016</v>
      </c>
      <c r="F3221" s="5">
        <f t="shared" si="201"/>
        <v>7899.01</v>
      </c>
      <c r="G3221" s="1">
        <v>461</v>
      </c>
      <c r="H3221" s="1" t="str">
        <f t="shared" si="202"/>
        <v>High</v>
      </c>
      <c r="I3221" s="1" t="str">
        <f t="shared" si="203"/>
        <v>Other</v>
      </c>
      <c r="J3221" s="1">
        <f t="shared" si="204"/>
        <v>9386.08</v>
      </c>
    </row>
    <row r="3222" spans="1:10" ht="12.75">
      <c r="A3222" s="1" t="s">
        <v>24</v>
      </c>
      <c r="B3222" s="1" t="s">
        <v>42</v>
      </c>
      <c r="C3222" s="1" t="s">
        <v>40</v>
      </c>
      <c r="D3222" s="2">
        <v>45354</v>
      </c>
      <c r="E3222" s="1" t="s">
        <v>3017</v>
      </c>
      <c r="F3222" s="5">
        <f t="shared" si="201"/>
        <v>9813.42</v>
      </c>
      <c r="G3222" s="1">
        <v>100</v>
      </c>
      <c r="H3222" s="1" t="str">
        <f t="shared" si="202"/>
        <v>High</v>
      </c>
      <c r="I3222" s="1" t="str">
        <f t="shared" si="203"/>
        <v>Other</v>
      </c>
      <c r="J3222" s="1">
        <f t="shared" si="204"/>
        <v>9386.08</v>
      </c>
    </row>
    <row r="3223" spans="1:10" ht="12.75">
      <c r="A3223" s="1" t="s">
        <v>11</v>
      </c>
      <c r="B3223" s="1" t="s">
        <v>54</v>
      </c>
      <c r="C3223" s="1" t="s">
        <v>72</v>
      </c>
      <c r="D3223" s="2">
        <v>45430</v>
      </c>
      <c r="E3223" s="1" t="s">
        <v>3018</v>
      </c>
      <c r="F3223" s="5">
        <f t="shared" si="201"/>
        <v>2845.74</v>
      </c>
      <c r="G3223" s="1">
        <v>197</v>
      </c>
      <c r="H3223" s="1" t="str">
        <f t="shared" si="202"/>
        <v>High</v>
      </c>
      <c r="I3223" s="1" t="str">
        <f t="shared" si="203"/>
        <v>Other</v>
      </c>
      <c r="J3223" s="1">
        <f t="shared" si="204"/>
        <v>9386.08</v>
      </c>
    </row>
    <row r="3224" spans="1:10" ht="12.75">
      <c r="A3224" s="1" t="s">
        <v>23</v>
      </c>
      <c r="B3224" s="1" t="s">
        <v>42</v>
      </c>
      <c r="C3224" s="1" t="s">
        <v>126</v>
      </c>
      <c r="D3224" s="2">
        <v>45501</v>
      </c>
      <c r="E3224" s="1" t="s">
        <v>3019</v>
      </c>
      <c r="F3224" s="5">
        <f t="shared" si="201"/>
        <v>2941.72</v>
      </c>
      <c r="G3224" s="1">
        <v>220</v>
      </c>
      <c r="H3224" s="1" t="str">
        <f t="shared" si="202"/>
        <v>High</v>
      </c>
      <c r="I3224" s="1" t="str">
        <f t="shared" si="203"/>
        <v>Other</v>
      </c>
      <c r="J3224" s="1">
        <f t="shared" si="204"/>
        <v>9386.08</v>
      </c>
    </row>
    <row r="3225" spans="1:10" ht="12.75">
      <c r="A3225" s="1" t="s">
        <v>24</v>
      </c>
      <c r="B3225" s="1" t="s">
        <v>39</v>
      </c>
      <c r="C3225" s="1" t="s">
        <v>86</v>
      </c>
      <c r="D3225" s="2">
        <v>45329</v>
      </c>
      <c r="E3225" s="1" t="s">
        <v>3020</v>
      </c>
      <c r="F3225" s="5">
        <f t="shared" si="201"/>
        <v>1969.62</v>
      </c>
      <c r="G3225" s="1">
        <v>114</v>
      </c>
      <c r="H3225" s="1" t="str">
        <f t="shared" si="202"/>
        <v>High</v>
      </c>
      <c r="I3225" s="1" t="str">
        <f t="shared" si="203"/>
        <v>Other</v>
      </c>
      <c r="J3225" s="1">
        <f t="shared" si="204"/>
        <v>9386.08</v>
      </c>
    </row>
    <row r="3226" spans="1:10" ht="12.75">
      <c r="A3226" s="1" t="s">
        <v>27</v>
      </c>
      <c r="B3226" s="1" t="s">
        <v>42</v>
      </c>
      <c r="C3226" s="1" t="s">
        <v>60</v>
      </c>
      <c r="D3226" s="2">
        <v>45442</v>
      </c>
      <c r="E3226" s="1" t="s">
        <v>3021</v>
      </c>
      <c r="F3226" s="5">
        <f t="shared" si="201"/>
        <v>339.64</v>
      </c>
      <c r="G3226" s="1">
        <v>452</v>
      </c>
      <c r="H3226" s="1" t="str">
        <f t="shared" si="202"/>
        <v>Low</v>
      </c>
      <c r="I3226" s="1" t="str">
        <f t="shared" si="203"/>
        <v>Other</v>
      </c>
      <c r="J3226" s="1">
        <f t="shared" si="204"/>
        <v>9386.08</v>
      </c>
    </row>
    <row r="3227" spans="1:10" ht="12.75">
      <c r="A3227" s="1" t="s">
        <v>2</v>
      </c>
      <c r="B3227" s="1" t="s">
        <v>5</v>
      </c>
      <c r="C3227" s="1" t="s">
        <v>100</v>
      </c>
      <c r="D3227" s="2">
        <v>45407</v>
      </c>
      <c r="E3227" s="1" t="s">
        <v>3022</v>
      </c>
      <c r="F3227" s="5">
        <f t="shared" si="201"/>
        <v>8818.17</v>
      </c>
      <c r="G3227" s="1">
        <v>29</v>
      </c>
      <c r="H3227" s="1" t="str">
        <f t="shared" si="202"/>
        <v>High</v>
      </c>
      <c r="I3227" s="1" t="str">
        <f t="shared" si="203"/>
        <v>Top Local</v>
      </c>
      <c r="J3227" s="1">
        <f t="shared" si="204"/>
        <v>9386.08</v>
      </c>
    </row>
    <row r="3228" spans="1:10" ht="12.75">
      <c r="A3228" s="1" t="s">
        <v>28</v>
      </c>
      <c r="B3228" s="1" t="s">
        <v>62</v>
      </c>
      <c r="C3228" s="1" t="s">
        <v>43</v>
      </c>
      <c r="D3228" s="2">
        <v>45338</v>
      </c>
      <c r="E3228" s="1" t="s">
        <v>3023</v>
      </c>
      <c r="F3228" s="5">
        <f t="shared" si="201"/>
        <v>6829.86</v>
      </c>
      <c r="G3228" s="1">
        <v>46</v>
      </c>
      <c r="H3228" s="1" t="str">
        <f t="shared" si="202"/>
        <v>High</v>
      </c>
      <c r="I3228" s="1" t="str">
        <f t="shared" si="203"/>
        <v>Other</v>
      </c>
      <c r="J3228" s="1">
        <f t="shared" si="204"/>
        <v>567.91</v>
      </c>
    </row>
    <row r="3229" spans="1:10" ht="12.75">
      <c r="A3229" s="1" t="s">
        <v>12</v>
      </c>
      <c r="B3229" s="1" t="s">
        <v>5</v>
      </c>
      <c r="C3229" s="1" t="s">
        <v>65</v>
      </c>
      <c r="D3229" s="2">
        <v>45416</v>
      </c>
      <c r="E3229" s="1" t="s">
        <v>3024</v>
      </c>
      <c r="F3229" s="5">
        <f t="shared" si="201"/>
        <v>1370.19</v>
      </c>
      <c r="G3229" s="1">
        <v>58</v>
      </c>
      <c r="H3229" s="1" t="str">
        <f t="shared" si="202"/>
        <v>High</v>
      </c>
      <c r="I3229" s="1" t="str">
        <f t="shared" si="203"/>
        <v>Other</v>
      </c>
      <c r="J3229" s="1">
        <f t="shared" si="204"/>
        <v>567.91</v>
      </c>
    </row>
    <row r="3230" spans="1:10" ht="12.75">
      <c r="A3230" s="1" t="s">
        <v>10</v>
      </c>
      <c r="B3230" s="1" t="s">
        <v>62</v>
      </c>
      <c r="C3230" s="1" t="s">
        <v>147</v>
      </c>
      <c r="D3230" s="2">
        <v>45445</v>
      </c>
      <c r="E3230" s="1" t="s">
        <v>3025</v>
      </c>
      <c r="F3230" s="5">
        <f t="shared" si="201"/>
        <v>7731.47</v>
      </c>
      <c r="G3230" s="1">
        <v>77</v>
      </c>
      <c r="H3230" s="1" t="str">
        <f t="shared" si="202"/>
        <v>High</v>
      </c>
      <c r="I3230" s="1" t="str">
        <f t="shared" si="203"/>
        <v>Other</v>
      </c>
      <c r="J3230" s="1">
        <f t="shared" si="204"/>
        <v>567.91</v>
      </c>
    </row>
    <row r="3231" spans="1:10" ht="12.75">
      <c r="A3231" s="1" t="s">
        <v>6</v>
      </c>
      <c r="B3231" s="1" t="s">
        <v>59</v>
      </c>
      <c r="C3231" s="1" t="s">
        <v>126</v>
      </c>
      <c r="D3231" s="2">
        <v>45484</v>
      </c>
      <c r="E3231" s="1" t="s">
        <v>3026</v>
      </c>
      <c r="F3231" s="5">
        <f t="shared" si="201"/>
        <v>2757.16</v>
      </c>
      <c r="G3231" s="1">
        <v>463</v>
      </c>
      <c r="H3231" s="1" t="str">
        <f t="shared" si="202"/>
        <v>High</v>
      </c>
      <c r="I3231" s="1" t="str">
        <f t="shared" si="203"/>
        <v>Other</v>
      </c>
      <c r="J3231" s="1">
        <f t="shared" si="204"/>
        <v>567.91</v>
      </c>
    </row>
    <row r="3232" spans="1:10" ht="12.75">
      <c r="A3232" s="1" t="s">
        <v>28</v>
      </c>
      <c r="B3232" s="1" t="s">
        <v>54</v>
      </c>
      <c r="C3232" s="1" t="s">
        <v>76</v>
      </c>
      <c r="D3232" s="2">
        <v>45450</v>
      </c>
      <c r="E3232" s="1" t="s">
        <v>3027</v>
      </c>
      <c r="F3232" s="5">
        <f t="shared" si="201"/>
        <v>70.19</v>
      </c>
      <c r="G3232" s="1">
        <v>63</v>
      </c>
      <c r="H3232" s="1" t="str">
        <f t="shared" si="202"/>
        <v>Low</v>
      </c>
      <c r="I3232" s="1" t="str">
        <f t="shared" si="203"/>
        <v>Other</v>
      </c>
      <c r="J3232" s="1">
        <f t="shared" si="204"/>
        <v>567.91</v>
      </c>
    </row>
    <row r="3233" spans="1:10" ht="12.75">
      <c r="A3233" s="1" t="s">
        <v>15</v>
      </c>
      <c r="B3233" s="1" t="s">
        <v>39</v>
      </c>
      <c r="C3233" s="1" t="s">
        <v>91</v>
      </c>
      <c r="D3233" s="2">
        <v>45479</v>
      </c>
      <c r="E3233" s="1" t="s">
        <v>3028</v>
      </c>
      <c r="F3233" s="5">
        <f t="shared" si="201"/>
        <v>10817.45</v>
      </c>
      <c r="G3233" s="1">
        <v>151</v>
      </c>
      <c r="H3233" s="1" t="str">
        <f t="shared" si="202"/>
        <v>High</v>
      </c>
      <c r="I3233" s="1" t="str">
        <f t="shared" si="203"/>
        <v>Other</v>
      </c>
      <c r="J3233" s="1">
        <f t="shared" si="204"/>
        <v>567.91</v>
      </c>
    </row>
    <row r="3234" spans="1:10" ht="12.75">
      <c r="A3234" s="1" t="s">
        <v>13</v>
      </c>
      <c r="B3234" s="1" t="s">
        <v>42</v>
      </c>
      <c r="C3234" s="1" t="s">
        <v>100</v>
      </c>
      <c r="D3234" s="2">
        <v>45458</v>
      </c>
      <c r="E3234" s="1" t="s">
        <v>3029</v>
      </c>
      <c r="F3234" s="5">
        <f t="shared" si="201"/>
        <v>11595.41</v>
      </c>
      <c r="G3234" s="1">
        <v>153</v>
      </c>
      <c r="H3234" s="1" t="str">
        <f t="shared" si="202"/>
        <v>High</v>
      </c>
      <c r="I3234" s="1" t="str">
        <f t="shared" si="203"/>
        <v>Other</v>
      </c>
      <c r="J3234" s="1">
        <f t="shared" si="204"/>
        <v>567.91</v>
      </c>
    </row>
    <row r="3235" spans="1:10" ht="12.75">
      <c r="A3235" s="1" t="s">
        <v>21</v>
      </c>
      <c r="B3235" s="1" t="s">
        <v>42</v>
      </c>
      <c r="C3235" s="1" t="s">
        <v>40</v>
      </c>
      <c r="D3235" s="2">
        <v>45396</v>
      </c>
      <c r="E3235" s="1" t="s">
        <v>3030</v>
      </c>
      <c r="F3235" s="5">
        <f t="shared" si="201"/>
        <v>1375.22</v>
      </c>
      <c r="G3235" s="1">
        <v>231</v>
      </c>
      <c r="H3235" s="1" t="str">
        <f t="shared" si="202"/>
        <v>High</v>
      </c>
      <c r="I3235" s="1" t="str">
        <f t="shared" si="203"/>
        <v>Other</v>
      </c>
      <c r="J3235" s="1">
        <f t="shared" si="204"/>
        <v>567.91</v>
      </c>
    </row>
    <row r="3236" spans="1:10" ht="12.75">
      <c r="A3236" s="1" t="s">
        <v>25</v>
      </c>
      <c r="B3236" s="1" t="s">
        <v>42</v>
      </c>
      <c r="C3236" s="1" t="s">
        <v>65</v>
      </c>
      <c r="D3236" s="2">
        <v>45512</v>
      </c>
      <c r="E3236" s="1" t="s">
        <v>3031</v>
      </c>
      <c r="F3236" s="5">
        <f t="shared" si="201"/>
        <v>503.52</v>
      </c>
      <c r="G3236" s="1">
        <v>167</v>
      </c>
      <c r="H3236" s="1" t="str">
        <f t="shared" si="202"/>
        <v>Medium</v>
      </c>
      <c r="I3236" s="1" t="str">
        <f t="shared" si="203"/>
        <v>Other</v>
      </c>
      <c r="J3236" s="1">
        <f t="shared" si="204"/>
        <v>567.91</v>
      </c>
    </row>
    <row r="3237" spans="1:10" ht="12.75">
      <c r="A3237" s="1" t="s">
        <v>14</v>
      </c>
      <c r="B3237" s="1" t="s">
        <v>39</v>
      </c>
      <c r="C3237" s="1" t="s">
        <v>65</v>
      </c>
      <c r="D3237" s="2">
        <v>45380</v>
      </c>
      <c r="E3237" s="1" t="s">
        <v>3032</v>
      </c>
      <c r="F3237" s="5">
        <f t="shared" si="201"/>
        <v>1135.1600000000001</v>
      </c>
      <c r="G3237" s="1">
        <v>27</v>
      </c>
      <c r="H3237" s="1" t="str">
        <f t="shared" si="202"/>
        <v>High</v>
      </c>
      <c r="I3237" s="1" t="str">
        <f t="shared" si="203"/>
        <v>Other</v>
      </c>
      <c r="J3237" s="1">
        <f t="shared" si="204"/>
        <v>567.91</v>
      </c>
    </row>
    <row r="3238" spans="1:10" ht="12.75">
      <c r="A3238" s="1" t="s">
        <v>26</v>
      </c>
      <c r="B3238" s="1" t="s">
        <v>5</v>
      </c>
      <c r="C3238" s="1" t="s">
        <v>68</v>
      </c>
      <c r="D3238" s="2">
        <v>45477</v>
      </c>
      <c r="E3238" s="1" t="s">
        <v>3033</v>
      </c>
      <c r="F3238" s="5">
        <f t="shared" si="201"/>
        <v>4375.45</v>
      </c>
      <c r="G3238" s="1">
        <v>79</v>
      </c>
      <c r="H3238" s="1" t="str">
        <f t="shared" si="202"/>
        <v>High</v>
      </c>
      <c r="I3238" s="1" t="str">
        <f t="shared" si="203"/>
        <v>Other</v>
      </c>
      <c r="J3238" s="1">
        <f t="shared" si="204"/>
        <v>567.91</v>
      </c>
    </row>
    <row r="3239" spans="1:10" ht="12.75">
      <c r="A3239" s="1" t="s">
        <v>17</v>
      </c>
      <c r="B3239" s="1" t="s">
        <v>42</v>
      </c>
      <c r="C3239" s="1" t="s">
        <v>51</v>
      </c>
      <c r="D3239" s="2">
        <v>45338</v>
      </c>
      <c r="E3239" s="1" t="s">
        <v>3034</v>
      </c>
      <c r="F3239" s="5">
        <f t="shared" si="201"/>
        <v>536.74</v>
      </c>
      <c r="G3239" s="1">
        <v>102</v>
      </c>
      <c r="H3239" s="1" t="str">
        <f t="shared" si="202"/>
        <v>Medium</v>
      </c>
      <c r="I3239" s="1" t="str">
        <f t="shared" si="203"/>
        <v>Other</v>
      </c>
      <c r="J3239" s="1">
        <f t="shared" si="204"/>
        <v>567.91</v>
      </c>
    </row>
    <row r="3240" spans="1:10" ht="12.75">
      <c r="A3240" s="1" t="s">
        <v>19</v>
      </c>
      <c r="B3240" s="1" t="s">
        <v>62</v>
      </c>
      <c r="C3240" s="1" t="s">
        <v>76</v>
      </c>
      <c r="D3240" s="2">
        <v>45414</v>
      </c>
      <c r="E3240" s="1" t="s">
        <v>3035</v>
      </c>
      <c r="F3240" s="5">
        <f t="shared" si="201"/>
        <v>2702.08</v>
      </c>
      <c r="G3240" s="1">
        <v>164</v>
      </c>
      <c r="H3240" s="1" t="str">
        <f t="shared" si="202"/>
        <v>High</v>
      </c>
      <c r="I3240" s="1" t="str">
        <f t="shared" si="203"/>
        <v>Other</v>
      </c>
      <c r="J3240" s="1">
        <f t="shared" si="204"/>
        <v>567.91</v>
      </c>
    </row>
    <row r="3241" spans="1:10" ht="12.75">
      <c r="A3241" s="1" t="s">
        <v>10</v>
      </c>
      <c r="B3241" s="1" t="s">
        <v>42</v>
      </c>
      <c r="C3241" s="1" t="s">
        <v>63</v>
      </c>
      <c r="D3241" s="2">
        <v>45494</v>
      </c>
      <c r="E3241" s="1" t="s">
        <v>3036</v>
      </c>
      <c r="F3241" s="5">
        <f t="shared" si="201"/>
        <v>11064.27</v>
      </c>
      <c r="G3241" s="1">
        <v>104</v>
      </c>
      <c r="H3241" s="1" t="str">
        <f t="shared" si="202"/>
        <v>High</v>
      </c>
      <c r="I3241" s="1" t="str">
        <f t="shared" si="203"/>
        <v>Other</v>
      </c>
      <c r="J3241" s="1">
        <f t="shared" si="204"/>
        <v>567.91</v>
      </c>
    </row>
    <row r="3242" spans="1:10" ht="12.75">
      <c r="A3242" s="1" t="s">
        <v>23</v>
      </c>
      <c r="B3242" s="1" t="s">
        <v>5</v>
      </c>
      <c r="C3242" s="1" t="s">
        <v>51</v>
      </c>
      <c r="D3242" s="2">
        <v>45522</v>
      </c>
      <c r="E3242" s="1" t="s">
        <v>3037</v>
      </c>
      <c r="F3242" s="5">
        <f t="shared" si="201"/>
        <v>8861.83</v>
      </c>
      <c r="G3242" s="1">
        <v>226</v>
      </c>
      <c r="H3242" s="1" t="str">
        <f t="shared" si="202"/>
        <v>High</v>
      </c>
      <c r="I3242" s="1" t="str">
        <f t="shared" si="203"/>
        <v>Other</v>
      </c>
      <c r="J3242" s="1">
        <f t="shared" si="204"/>
        <v>567.91</v>
      </c>
    </row>
    <row r="3243" spans="1:10" ht="12.75">
      <c r="A3243" s="1" t="s">
        <v>8</v>
      </c>
      <c r="B3243" s="1" t="s">
        <v>59</v>
      </c>
      <c r="C3243" s="1" t="s">
        <v>43</v>
      </c>
      <c r="D3243" s="2">
        <v>45465</v>
      </c>
      <c r="E3243" s="1" t="s">
        <v>3038</v>
      </c>
      <c r="F3243" s="5">
        <f t="shared" si="201"/>
        <v>564.66999999999996</v>
      </c>
      <c r="G3243" s="1">
        <v>256</v>
      </c>
      <c r="H3243" s="1" t="str">
        <f t="shared" si="202"/>
        <v>Medium</v>
      </c>
      <c r="I3243" s="1" t="str">
        <f t="shared" si="203"/>
        <v>Other</v>
      </c>
      <c r="J3243" s="1">
        <f t="shared" si="204"/>
        <v>567.91</v>
      </c>
    </row>
    <row r="3244" spans="1:10" ht="12.75">
      <c r="A3244" s="1" t="s">
        <v>25</v>
      </c>
      <c r="B3244" s="1" t="s">
        <v>39</v>
      </c>
      <c r="C3244" s="1" t="s">
        <v>45</v>
      </c>
      <c r="D3244" s="2">
        <v>45492</v>
      </c>
      <c r="E3244" s="1" t="s">
        <v>3039</v>
      </c>
      <c r="F3244" s="5">
        <f t="shared" si="201"/>
        <v>5267.69</v>
      </c>
      <c r="G3244" s="1">
        <v>120</v>
      </c>
      <c r="H3244" s="1" t="str">
        <f t="shared" si="202"/>
        <v>High</v>
      </c>
      <c r="I3244" s="1" t="str">
        <f t="shared" si="203"/>
        <v>Other</v>
      </c>
      <c r="J3244" s="1">
        <f t="shared" si="204"/>
        <v>567.91</v>
      </c>
    </row>
    <row r="3245" spans="1:10" ht="12.75">
      <c r="A3245" s="1" t="s">
        <v>9</v>
      </c>
      <c r="B3245" s="1" t="s">
        <v>39</v>
      </c>
      <c r="C3245" s="1" t="s">
        <v>45</v>
      </c>
      <c r="D3245" s="2">
        <v>45516</v>
      </c>
      <c r="E3245" s="1" t="s">
        <v>3040</v>
      </c>
      <c r="F3245" s="5">
        <f t="shared" si="201"/>
        <v>8698.4699999999993</v>
      </c>
      <c r="G3245" s="1">
        <v>89</v>
      </c>
      <c r="H3245" s="1" t="str">
        <f t="shared" si="202"/>
        <v>High</v>
      </c>
      <c r="I3245" s="1" t="str">
        <f t="shared" si="203"/>
        <v>Other</v>
      </c>
      <c r="J3245" s="1">
        <f t="shared" si="204"/>
        <v>567.91</v>
      </c>
    </row>
    <row r="3246" spans="1:10" ht="12.75">
      <c r="A3246" s="1" t="s">
        <v>9</v>
      </c>
      <c r="B3246" s="1" t="s">
        <v>59</v>
      </c>
      <c r="C3246" s="1" t="s">
        <v>102</v>
      </c>
      <c r="D3246" s="2">
        <v>45450</v>
      </c>
      <c r="E3246" s="1" t="s">
        <v>3041</v>
      </c>
      <c r="F3246" s="5">
        <f t="shared" si="201"/>
        <v>6025.6</v>
      </c>
      <c r="G3246" s="1">
        <v>137</v>
      </c>
      <c r="H3246" s="1" t="str">
        <f t="shared" si="202"/>
        <v>High</v>
      </c>
      <c r="I3246" s="1" t="str">
        <f t="shared" si="203"/>
        <v>Other</v>
      </c>
      <c r="J3246" s="1">
        <f t="shared" si="204"/>
        <v>567.91</v>
      </c>
    </row>
    <row r="3247" spans="1:10" ht="12.75">
      <c r="A3247" s="1" t="s">
        <v>14</v>
      </c>
      <c r="B3247" s="1" t="s">
        <v>62</v>
      </c>
      <c r="C3247" s="1" t="s">
        <v>45</v>
      </c>
      <c r="D3247" s="2">
        <v>45359</v>
      </c>
      <c r="E3247" s="1" t="s">
        <v>3042</v>
      </c>
      <c r="F3247" s="5">
        <f t="shared" si="201"/>
        <v>7032.54</v>
      </c>
      <c r="G3247" s="1">
        <v>87</v>
      </c>
      <c r="H3247" s="1" t="str">
        <f t="shared" si="202"/>
        <v>High</v>
      </c>
      <c r="I3247" s="1" t="str">
        <f t="shared" si="203"/>
        <v>Other</v>
      </c>
      <c r="J3247" s="1">
        <f t="shared" si="204"/>
        <v>567.91</v>
      </c>
    </row>
    <row r="3248" spans="1:10" ht="12.75">
      <c r="A3248" s="1" t="s">
        <v>17</v>
      </c>
      <c r="B3248" s="1" t="s">
        <v>5</v>
      </c>
      <c r="C3248" s="1" t="s">
        <v>102</v>
      </c>
      <c r="D3248" s="2">
        <v>45390</v>
      </c>
      <c r="E3248" s="1" t="s">
        <v>3043</v>
      </c>
      <c r="F3248" s="5">
        <f t="shared" si="201"/>
        <v>1572.79</v>
      </c>
      <c r="G3248" s="1">
        <v>176</v>
      </c>
      <c r="H3248" s="1" t="str">
        <f t="shared" si="202"/>
        <v>High</v>
      </c>
      <c r="I3248" s="1" t="str">
        <f t="shared" si="203"/>
        <v>Other</v>
      </c>
      <c r="J3248" s="1">
        <f t="shared" si="204"/>
        <v>567.91</v>
      </c>
    </row>
    <row r="3249" spans="1:10" ht="12.75">
      <c r="A3249" s="1" t="s">
        <v>24</v>
      </c>
      <c r="B3249" s="1" t="s">
        <v>62</v>
      </c>
      <c r="C3249" s="1" t="s">
        <v>63</v>
      </c>
      <c r="D3249" s="2">
        <v>45418</v>
      </c>
      <c r="E3249" s="1" t="s">
        <v>3044</v>
      </c>
      <c r="F3249" s="5">
        <f t="shared" si="201"/>
        <v>857.34</v>
      </c>
      <c r="G3249" s="1">
        <v>197</v>
      </c>
      <c r="H3249" s="1" t="str">
        <f t="shared" si="202"/>
        <v>High</v>
      </c>
      <c r="I3249" s="1" t="str">
        <f t="shared" si="203"/>
        <v>Other</v>
      </c>
      <c r="J3249" s="1">
        <f t="shared" si="204"/>
        <v>567.91</v>
      </c>
    </row>
    <row r="3250" spans="1:10" ht="12.75">
      <c r="A3250" s="1" t="s">
        <v>26</v>
      </c>
      <c r="B3250" s="1" t="s">
        <v>42</v>
      </c>
      <c r="C3250" s="1" t="s">
        <v>65</v>
      </c>
      <c r="D3250" s="2">
        <v>45443</v>
      </c>
      <c r="E3250" s="1" t="s">
        <v>3045</v>
      </c>
      <c r="F3250" s="5">
        <f t="shared" si="201"/>
        <v>4899.47</v>
      </c>
      <c r="G3250" s="1">
        <v>11</v>
      </c>
      <c r="H3250" s="1" t="str">
        <f t="shared" si="202"/>
        <v>High</v>
      </c>
      <c r="I3250" s="1" t="str">
        <f t="shared" si="203"/>
        <v>Other</v>
      </c>
      <c r="J3250" s="1">
        <f t="shared" si="204"/>
        <v>567.91</v>
      </c>
    </row>
    <row r="3251" spans="1:10" ht="12.75">
      <c r="A3251" s="1" t="s">
        <v>10</v>
      </c>
      <c r="B3251" s="1" t="s">
        <v>5</v>
      </c>
      <c r="C3251" s="1" t="s">
        <v>40</v>
      </c>
      <c r="D3251" s="2">
        <v>45304</v>
      </c>
      <c r="E3251" s="1" t="s">
        <v>3046</v>
      </c>
      <c r="F3251" s="5">
        <f t="shared" si="201"/>
        <v>2924.06</v>
      </c>
      <c r="G3251" s="1">
        <v>295</v>
      </c>
      <c r="H3251" s="1" t="str">
        <f t="shared" si="202"/>
        <v>High</v>
      </c>
      <c r="I3251" s="1" t="str">
        <f t="shared" si="203"/>
        <v>Other</v>
      </c>
      <c r="J3251" s="1">
        <f t="shared" si="204"/>
        <v>567.91</v>
      </c>
    </row>
    <row r="3252" spans="1:10" ht="12.75">
      <c r="A3252" s="1" t="s">
        <v>6</v>
      </c>
      <c r="B3252" s="1" t="s">
        <v>59</v>
      </c>
      <c r="C3252" s="1" t="s">
        <v>147</v>
      </c>
      <c r="D3252" s="2">
        <v>45366</v>
      </c>
      <c r="E3252" s="1" t="s">
        <v>3047</v>
      </c>
      <c r="F3252" s="5">
        <f t="shared" si="201"/>
        <v>730.06</v>
      </c>
      <c r="G3252" s="1">
        <v>78</v>
      </c>
      <c r="H3252" s="1" t="str">
        <f t="shared" si="202"/>
        <v>Medium</v>
      </c>
      <c r="I3252" s="1" t="str">
        <f t="shared" si="203"/>
        <v>Other</v>
      </c>
      <c r="J3252" s="1">
        <f t="shared" si="204"/>
        <v>567.91</v>
      </c>
    </row>
    <row r="3253" spans="1:10" ht="12.75">
      <c r="A3253" s="1" t="s">
        <v>27</v>
      </c>
      <c r="B3253" s="1" t="s">
        <v>62</v>
      </c>
      <c r="C3253" s="1" t="s">
        <v>45</v>
      </c>
      <c r="D3253" s="2">
        <v>45338</v>
      </c>
      <c r="E3253" s="1" t="s">
        <v>3048</v>
      </c>
      <c r="F3253" s="5">
        <f t="shared" si="201"/>
        <v>1348.05</v>
      </c>
      <c r="G3253" s="1">
        <v>332</v>
      </c>
      <c r="H3253" s="1" t="str">
        <f t="shared" si="202"/>
        <v>High</v>
      </c>
      <c r="I3253" s="1" t="str">
        <f t="shared" si="203"/>
        <v>Other</v>
      </c>
      <c r="J3253" s="1">
        <f t="shared" si="204"/>
        <v>567.91</v>
      </c>
    </row>
    <row r="3254" spans="1:10" ht="12.75">
      <c r="A3254" s="1" t="s">
        <v>20</v>
      </c>
      <c r="B3254" s="1" t="s">
        <v>59</v>
      </c>
      <c r="C3254" s="1" t="s">
        <v>147</v>
      </c>
      <c r="D3254" s="2">
        <v>45305</v>
      </c>
      <c r="E3254" s="1" t="s">
        <v>3049</v>
      </c>
      <c r="F3254" s="5">
        <f t="shared" si="201"/>
        <v>8561.59</v>
      </c>
      <c r="G3254" s="1">
        <v>204</v>
      </c>
      <c r="H3254" s="1" t="str">
        <f t="shared" si="202"/>
        <v>High</v>
      </c>
      <c r="I3254" s="1" t="str">
        <f t="shared" si="203"/>
        <v>Other</v>
      </c>
      <c r="J3254" s="1">
        <f t="shared" si="204"/>
        <v>567.91</v>
      </c>
    </row>
    <row r="3255" spans="1:10" ht="12.75">
      <c r="A3255" s="1" t="s">
        <v>19</v>
      </c>
      <c r="B3255" s="1" t="s">
        <v>5</v>
      </c>
      <c r="C3255" s="1" t="s">
        <v>84</v>
      </c>
      <c r="D3255" s="2">
        <v>45372</v>
      </c>
      <c r="E3255" s="1" t="s">
        <v>3050</v>
      </c>
      <c r="F3255" s="5">
        <f t="shared" si="201"/>
        <v>7326.91</v>
      </c>
      <c r="G3255" s="1">
        <v>102</v>
      </c>
      <c r="H3255" s="1" t="str">
        <f t="shared" si="202"/>
        <v>High</v>
      </c>
      <c r="I3255" s="1" t="str">
        <f t="shared" si="203"/>
        <v>Other</v>
      </c>
      <c r="J3255" s="1">
        <f t="shared" si="204"/>
        <v>567.91</v>
      </c>
    </row>
    <row r="3256" spans="1:10" ht="12.75">
      <c r="A3256" s="1" t="s">
        <v>26</v>
      </c>
      <c r="B3256" s="1" t="s">
        <v>62</v>
      </c>
      <c r="C3256" s="1" t="s">
        <v>65</v>
      </c>
      <c r="D3256" s="2">
        <v>45429</v>
      </c>
      <c r="E3256" s="1" t="s">
        <v>3051</v>
      </c>
      <c r="F3256" s="5">
        <f t="shared" si="201"/>
        <v>8196.93</v>
      </c>
      <c r="G3256" s="1">
        <v>340</v>
      </c>
      <c r="H3256" s="1" t="str">
        <f t="shared" si="202"/>
        <v>High</v>
      </c>
      <c r="I3256" s="1" t="str">
        <f t="shared" si="203"/>
        <v>Other</v>
      </c>
      <c r="J3256" s="1">
        <f t="shared" si="204"/>
        <v>567.91</v>
      </c>
    </row>
    <row r="3257" spans="1:10" ht="12.75">
      <c r="A3257" s="1" t="s">
        <v>25</v>
      </c>
      <c r="B3257" s="1" t="s">
        <v>54</v>
      </c>
      <c r="C3257" s="1" t="s">
        <v>43</v>
      </c>
      <c r="D3257" s="2">
        <v>45512</v>
      </c>
      <c r="E3257" s="1" t="s">
        <v>3052</v>
      </c>
      <c r="F3257" s="5">
        <f t="shared" si="201"/>
        <v>17841.919999999998</v>
      </c>
      <c r="G3257" s="1">
        <v>53</v>
      </c>
      <c r="H3257" s="1" t="str">
        <f t="shared" si="202"/>
        <v>High</v>
      </c>
      <c r="I3257" s="1" t="str">
        <f t="shared" si="203"/>
        <v>Other</v>
      </c>
      <c r="J3257" s="1">
        <f t="shared" si="204"/>
        <v>567.91</v>
      </c>
    </row>
    <row r="3258" spans="1:10" ht="12.75">
      <c r="A3258" s="1" t="s">
        <v>9</v>
      </c>
      <c r="B3258" s="1" t="s">
        <v>62</v>
      </c>
      <c r="C3258" s="1" t="s">
        <v>72</v>
      </c>
      <c r="D3258" s="2">
        <v>45408</v>
      </c>
      <c r="E3258" s="1" t="s">
        <v>3053</v>
      </c>
      <c r="F3258" s="5">
        <f t="shared" si="201"/>
        <v>4285.13</v>
      </c>
      <c r="G3258" s="1">
        <v>87</v>
      </c>
      <c r="H3258" s="1" t="str">
        <f t="shared" si="202"/>
        <v>High</v>
      </c>
      <c r="I3258" s="1" t="str">
        <f t="shared" si="203"/>
        <v>Other</v>
      </c>
      <c r="J3258" s="1">
        <f t="shared" si="204"/>
        <v>567.91</v>
      </c>
    </row>
    <row r="3259" spans="1:10" ht="12.75">
      <c r="A3259" s="1" t="s">
        <v>9</v>
      </c>
      <c r="B3259" s="1" t="s">
        <v>5</v>
      </c>
      <c r="C3259" s="1" t="s">
        <v>147</v>
      </c>
      <c r="D3259" s="2">
        <v>45397</v>
      </c>
      <c r="E3259" s="1" t="s">
        <v>3054</v>
      </c>
      <c r="F3259" s="5">
        <f t="shared" si="201"/>
        <v>4196.2299999999996</v>
      </c>
      <c r="G3259" s="1">
        <v>256</v>
      </c>
      <c r="H3259" s="1" t="str">
        <f t="shared" si="202"/>
        <v>High</v>
      </c>
      <c r="I3259" s="1" t="str">
        <f t="shared" si="203"/>
        <v>Other</v>
      </c>
      <c r="J3259" s="1">
        <f t="shared" si="204"/>
        <v>567.91</v>
      </c>
    </row>
    <row r="3260" spans="1:10" ht="12.75">
      <c r="A3260" s="1" t="s">
        <v>22</v>
      </c>
      <c r="B3260" s="1" t="s">
        <v>62</v>
      </c>
      <c r="C3260" s="1" t="s">
        <v>63</v>
      </c>
      <c r="D3260" s="2">
        <v>45431</v>
      </c>
      <c r="E3260" s="1" t="s">
        <v>3055</v>
      </c>
      <c r="F3260" s="5">
        <f t="shared" si="201"/>
        <v>6409.31</v>
      </c>
      <c r="G3260" s="1">
        <v>621</v>
      </c>
      <c r="H3260" s="1" t="str">
        <f t="shared" si="202"/>
        <v>High</v>
      </c>
      <c r="I3260" s="1" t="str">
        <f t="shared" si="203"/>
        <v>Other</v>
      </c>
      <c r="J3260" s="1">
        <f t="shared" si="204"/>
        <v>567.91</v>
      </c>
    </row>
    <row r="3261" spans="1:10" ht="12.75">
      <c r="A3261" s="1" t="s">
        <v>6</v>
      </c>
      <c r="B3261" s="1" t="s">
        <v>62</v>
      </c>
      <c r="C3261" s="1" t="s">
        <v>65</v>
      </c>
      <c r="D3261" s="2">
        <v>45301</v>
      </c>
      <c r="E3261" s="1" t="s">
        <v>3056</v>
      </c>
      <c r="F3261" s="5">
        <f t="shared" si="201"/>
        <v>3010.07</v>
      </c>
      <c r="G3261" s="1">
        <v>24</v>
      </c>
      <c r="H3261" s="1" t="str">
        <f t="shared" si="202"/>
        <v>High</v>
      </c>
      <c r="I3261" s="1" t="str">
        <f t="shared" si="203"/>
        <v>Other</v>
      </c>
      <c r="J3261" s="1">
        <f t="shared" si="204"/>
        <v>567.91</v>
      </c>
    </row>
    <row r="3262" spans="1:10" ht="12.75">
      <c r="A3262" s="1" t="s">
        <v>2</v>
      </c>
      <c r="B3262" s="1" t="s">
        <v>54</v>
      </c>
      <c r="C3262" s="1" t="s">
        <v>52</v>
      </c>
      <c r="D3262" s="2">
        <v>45416</v>
      </c>
      <c r="E3262" s="1" t="s">
        <v>3057</v>
      </c>
      <c r="F3262" s="5">
        <f t="shared" si="201"/>
        <v>567.91</v>
      </c>
      <c r="G3262" s="1">
        <v>225</v>
      </c>
      <c r="H3262" s="1" t="str">
        <f t="shared" si="202"/>
        <v>Medium</v>
      </c>
      <c r="I3262" s="1" t="str">
        <f t="shared" si="203"/>
        <v>Other</v>
      </c>
      <c r="J3262" s="1">
        <f t="shared" si="204"/>
        <v>567.91</v>
      </c>
    </row>
    <row r="3263" spans="1:10" ht="12.75">
      <c r="A3263" s="1" t="s">
        <v>26</v>
      </c>
      <c r="B3263" s="1" t="s">
        <v>62</v>
      </c>
      <c r="C3263" s="1" t="s">
        <v>84</v>
      </c>
      <c r="D3263" s="2">
        <v>45387</v>
      </c>
      <c r="E3263" s="1" t="s">
        <v>3058</v>
      </c>
      <c r="F3263" s="5">
        <f t="shared" si="201"/>
        <v>6948.79</v>
      </c>
      <c r="G3263" s="1">
        <v>292</v>
      </c>
      <c r="H3263" s="1" t="str">
        <f t="shared" si="202"/>
        <v>High</v>
      </c>
      <c r="I3263" s="1" t="str">
        <f t="shared" si="203"/>
        <v>Other</v>
      </c>
      <c r="J3263" s="1">
        <f t="shared" si="204"/>
        <v>0</v>
      </c>
    </row>
    <row r="3264" spans="1:10" ht="12.75">
      <c r="A3264" s="1" t="s">
        <v>27</v>
      </c>
      <c r="B3264" s="1" t="s">
        <v>42</v>
      </c>
      <c r="C3264" s="1" t="s">
        <v>52</v>
      </c>
      <c r="D3264" s="2">
        <v>45308</v>
      </c>
      <c r="E3264" s="1" t="s">
        <v>3059</v>
      </c>
      <c r="F3264" s="5">
        <f t="shared" si="201"/>
        <v>1009.28</v>
      </c>
      <c r="G3264" s="1">
        <v>69</v>
      </c>
      <c r="H3264" s="1" t="str">
        <f t="shared" si="202"/>
        <v>High</v>
      </c>
      <c r="I3264" s="1" t="str">
        <f t="shared" si="203"/>
        <v>Other</v>
      </c>
      <c r="J3264" s="1">
        <f t="shared" si="204"/>
        <v>0</v>
      </c>
    </row>
    <row r="3265" spans="1:10" ht="12.75">
      <c r="A3265" s="1" t="s">
        <v>26</v>
      </c>
      <c r="B3265" s="1" t="s">
        <v>42</v>
      </c>
      <c r="C3265" s="1" t="s">
        <v>76</v>
      </c>
      <c r="D3265" s="2">
        <v>45373</v>
      </c>
      <c r="E3265" s="1" t="s">
        <v>3060</v>
      </c>
      <c r="F3265" s="5">
        <f t="shared" si="201"/>
        <v>12049.05</v>
      </c>
      <c r="G3265" s="1">
        <v>180</v>
      </c>
      <c r="H3265" s="1" t="str">
        <f t="shared" si="202"/>
        <v>High</v>
      </c>
      <c r="I3265" s="1" t="str">
        <f t="shared" si="203"/>
        <v>Other</v>
      </c>
      <c r="J3265" s="1">
        <f t="shared" si="204"/>
        <v>0</v>
      </c>
    </row>
    <row r="3266" spans="1:10" ht="12.75">
      <c r="A3266" s="1" t="s">
        <v>21</v>
      </c>
      <c r="B3266" s="1" t="s">
        <v>5</v>
      </c>
      <c r="C3266" s="1" t="s">
        <v>84</v>
      </c>
      <c r="D3266" s="2">
        <v>45478</v>
      </c>
      <c r="E3266" s="1" t="s">
        <v>3061</v>
      </c>
      <c r="F3266" s="5">
        <f t="shared" ref="F3266:F3329" si="205">VALUE(SUBSTITUTE(E3266,"$",""))</f>
        <v>6969.38</v>
      </c>
      <c r="G3266" s="1">
        <v>102</v>
      </c>
      <c r="H3266" s="1" t="str">
        <f t="shared" ref="H3266:H3283" si="206">IF(F3266&gt;800,"High",IF(F3266&gt;500,"Medium","Low"))</f>
        <v>High</v>
      </c>
      <c r="I3266" s="1" t="str">
        <f t="shared" ref="I3266:I3283" si="207">IF(AND(B3266="Australia",A3266="Mallorie Waber"),"Top Local","Other")</f>
        <v>Other</v>
      </c>
      <c r="J3266" s="1">
        <f t="shared" ref="J3266:J3329" si="208">SUMIF(A3266:A6546,"Mallorie Waber",F3266:F6546)</f>
        <v>0</v>
      </c>
    </row>
    <row r="3267" spans="1:10" ht="12.75">
      <c r="A3267" s="1" t="s">
        <v>22</v>
      </c>
      <c r="B3267" s="1" t="s">
        <v>62</v>
      </c>
      <c r="C3267" s="1" t="s">
        <v>60</v>
      </c>
      <c r="D3267" s="2">
        <v>45409</v>
      </c>
      <c r="E3267" s="1" t="s">
        <v>3062</v>
      </c>
      <c r="F3267" s="5">
        <f t="shared" si="205"/>
        <v>10257.74</v>
      </c>
      <c r="G3267" s="1">
        <v>328</v>
      </c>
      <c r="H3267" s="1" t="str">
        <f t="shared" si="206"/>
        <v>High</v>
      </c>
      <c r="I3267" s="1" t="str">
        <f t="shared" si="207"/>
        <v>Other</v>
      </c>
      <c r="J3267" s="1">
        <f t="shared" si="208"/>
        <v>0</v>
      </c>
    </row>
    <row r="3268" spans="1:10" ht="12.75">
      <c r="A3268" s="1" t="s">
        <v>8</v>
      </c>
      <c r="B3268" s="1" t="s">
        <v>62</v>
      </c>
      <c r="C3268" s="1" t="s">
        <v>91</v>
      </c>
      <c r="D3268" s="2">
        <v>45516</v>
      </c>
      <c r="E3268" s="1" t="s">
        <v>3063</v>
      </c>
      <c r="F3268" s="5">
        <f t="shared" si="205"/>
        <v>7220.35</v>
      </c>
      <c r="G3268" s="1">
        <v>71</v>
      </c>
      <c r="H3268" s="1" t="str">
        <f t="shared" si="206"/>
        <v>High</v>
      </c>
      <c r="I3268" s="1" t="str">
        <f t="shared" si="207"/>
        <v>Other</v>
      </c>
      <c r="J3268" s="1">
        <f t="shared" si="208"/>
        <v>0</v>
      </c>
    </row>
    <row r="3269" spans="1:10" ht="12.75">
      <c r="A3269" s="1" t="s">
        <v>15</v>
      </c>
      <c r="B3269" s="1" t="s">
        <v>39</v>
      </c>
      <c r="C3269" s="1" t="s">
        <v>122</v>
      </c>
      <c r="D3269" s="2">
        <v>45362</v>
      </c>
      <c r="E3269" s="1" t="s">
        <v>3064</v>
      </c>
      <c r="F3269" s="5">
        <f t="shared" si="205"/>
        <v>783.35</v>
      </c>
      <c r="G3269" s="1">
        <v>273</v>
      </c>
      <c r="H3269" s="1" t="str">
        <f t="shared" si="206"/>
        <v>Medium</v>
      </c>
      <c r="I3269" s="1" t="str">
        <f t="shared" si="207"/>
        <v>Other</v>
      </c>
      <c r="J3269" s="1">
        <f t="shared" si="208"/>
        <v>0</v>
      </c>
    </row>
    <row r="3270" spans="1:10" ht="12.75">
      <c r="A3270" s="1" t="s">
        <v>11</v>
      </c>
      <c r="B3270" s="1" t="s">
        <v>39</v>
      </c>
      <c r="C3270" s="1" t="s">
        <v>81</v>
      </c>
      <c r="D3270" s="2">
        <v>45425</v>
      </c>
      <c r="E3270" s="1" t="s">
        <v>3065</v>
      </c>
      <c r="F3270" s="5">
        <f t="shared" si="205"/>
        <v>9434.44</v>
      </c>
      <c r="G3270" s="1">
        <v>221</v>
      </c>
      <c r="H3270" s="1" t="str">
        <f t="shared" si="206"/>
        <v>High</v>
      </c>
      <c r="I3270" s="1" t="str">
        <f t="shared" si="207"/>
        <v>Other</v>
      </c>
      <c r="J3270" s="1">
        <f t="shared" si="208"/>
        <v>0</v>
      </c>
    </row>
    <row r="3271" spans="1:10" ht="12.75">
      <c r="A3271" s="1" t="s">
        <v>6</v>
      </c>
      <c r="B3271" s="1" t="s">
        <v>59</v>
      </c>
      <c r="C3271" s="1" t="s">
        <v>49</v>
      </c>
      <c r="D3271" s="2">
        <v>45424</v>
      </c>
      <c r="E3271" s="1" t="s">
        <v>3066</v>
      </c>
      <c r="F3271" s="5">
        <f t="shared" si="205"/>
        <v>12755.99</v>
      </c>
      <c r="G3271" s="1">
        <v>99</v>
      </c>
      <c r="H3271" s="1" t="str">
        <f t="shared" si="206"/>
        <v>High</v>
      </c>
      <c r="I3271" s="1" t="str">
        <f t="shared" si="207"/>
        <v>Other</v>
      </c>
      <c r="J3271" s="1">
        <f t="shared" si="208"/>
        <v>0</v>
      </c>
    </row>
    <row r="3272" spans="1:10" ht="12.75">
      <c r="A3272" s="1" t="s">
        <v>7</v>
      </c>
      <c r="B3272" s="1" t="s">
        <v>59</v>
      </c>
      <c r="C3272" s="1" t="s">
        <v>100</v>
      </c>
      <c r="D3272" s="2">
        <v>45303</v>
      </c>
      <c r="E3272" s="1" t="s">
        <v>3067</v>
      </c>
      <c r="F3272" s="5">
        <f t="shared" si="205"/>
        <v>807.26</v>
      </c>
      <c r="G3272" s="1">
        <v>198</v>
      </c>
      <c r="H3272" s="1" t="str">
        <f t="shared" si="206"/>
        <v>High</v>
      </c>
      <c r="I3272" s="1" t="str">
        <f t="shared" si="207"/>
        <v>Other</v>
      </c>
      <c r="J3272" s="1">
        <f t="shared" si="208"/>
        <v>0</v>
      </c>
    </row>
    <row r="3273" spans="1:10" ht="12.75">
      <c r="A3273" s="1" t="s">
        <v>9</v>
      </c>
      <c r="B3273" s="1" t="s">
        <v>54</v>
      </c>
      <c r="C3273" s="1" t="s">
        <v>72</v>
      </c>
      <c r="D3273" s="2">
        <v>45380</v>
      </c>
      <c r="E3273" s="1" t="s">
        <v>3068</v>
      </c>
      <c r="F3273" s="5">
        <f t="shared" si="205"/>
        <v>13541.21</v>
      </c>
      <c r="G3273" s="1">
        <v>434</v>
      </c>
      <c r="H3273" s="1" t="str">
        <f t="shared" si="206"/>
        <v>High</v>
      </c>
      <c r="I3273" s="1" t="str">
        <f t="shared" si="207"/>
        <v>Other</v>
      </c>
      <c r="J3273" s="1">
        <f t="shared" si="208"/>
        <v>0</v>
      </c>
    </row>
    <row r="3274" spans="1:10" ht="12.75">
      <c r="A3274" s="1" t="s">
        <v>26</v>
      </c>
      <c r="B3274" s="1" t="s">
        <v>42</v>
      </c>
      <c r="C3274" s="1" t="s">
        <v>55</v>
      </c>
      <c r="D3274" s="2">
        <v>45365</v>
      </c>
      <c r="E3274" s="1" t="s">
        <v>3069</v>
      </c>
      <c r="F3274" s="5">
        <f t="shared" si="205"/>
        <v>9976.2199999999993</v>
      </c>
      <c r="G3274" s="1">
        <v>12</v>
      </c>
      <c r="H3274" s="1" t="str">
        <f t="shared" si="206"/>
        <v>High</v>
      </c>
      <c r="I3274" s="1" t="str">
        <f t="shared" si="207"/>
        <v>Other</v>
      </c>
      <c r="J3274" s="1">
        <f t="shared" si="208"/>
        <v>0</v>
      </c>
    </row>
    <row r="3275" spans="1:10" ht="12.75">
      <c r="A3275" s="1" t="s">
        <v>16</v>
      </c>
      <c r="B3275" s="1" t="s">
        <v>54</v>
      </c>
      <c r="C3275" s="1" t="s">
        <v>51</v>
      </c>
      <c r="D3275" s="2">
        <v>45436</v>
      </c>
      <c r="E3275" s="1" t="s">
        <v>3070</v>
      </c>
      <c r="F3275" s="5">
        <f t="shared" si="205"/>
        <v>9152.7199999999993</v>
      </c>
      <c r="G3275" s="1">
        <v>208</v>
      </c>
      <c r="H3275" s="1" t="str">
        <f t="shared" si="206"/>
        <v>High</v>
      </c>
      <c r="I3275" s="1" t="str">
        <f t="shared" si="207"/>
        <v>Other</v>
      </c>
      <c r="J3275" s="1">
        <f t="shared" si="208"/>
        <v>0</v>
      </c>
    </row>
    <row r="3276" spans="1:10" ht="12.75">
      <c r="A3276" s="1" t="s">
        <v>6</v>
      </c>
      <c r="B3276" s="1" t="s">
        <v>62</v>
      </c>
      <c r="C3276" s="1" t="s">
        <v>68</v>
      </c>
      <c r="D3276" s="2">
        <v>45319</v>
      </c>
      <c r="E3276" s="1" t="s">
        <v>3071</v>
      </c>
      <c r="F3276" s="5">
        <f t="shared" si="205"/>
        <v>9251.3700000000008</v>
      </c>
      <c r="G3276" s="1">
        <v>79</v>
      </c>
      <c r="H3276" s="1" t="str">
        <f t="shared" si="206"/>
        <v>High</v>
      </c>
      <c r="I3276" s="1" t="str">
        <f t="shared" si="207"/>
        <v>Other</v>
      </c>
      <c r="J3276" s="1">
        <f t="shared" si="208"/>
        <v>0</v>
      </c>
    </row>
    <row r="3277" spans="1:10" ht="12.75">
      <c r="A3277" s="1" t="s">
        <v>28</v>
      </c>
      <c r="B3277" s="1" t="s">
        <v>42</v>
      </c>
      <c r="C3277" s="1" t="s">
        <v>91</v>
      </c>
      <c r="D3277" s="2">
        <v>45436</v>
      </c>
      <c r="E3277" s="1" t="s">
        <v>3072</v>
      </c>
      <c r="F3277" s="5">
        <f t="shared" si="205"/>
        <v>3634.26</v>
      </c>
      <c r="G3277" s="1">
        <v>100</v>
      </c>
      <c r="H3277" s="1" t="str">
        <f t="shared" si="206"/>
        <v>High</v>
      </c>
      <c r="I3277" s="1" t="str">
        <f t="shared" si="207"/>
        <v>Other</v>
      </c>
      <c r="J3277" s="1">
        <f t="shared" si="208"/>
        <v>0</v>
      </c>
    </row>
    <row r="3278" spans="1:10" ht="12.75">
      <c r="A3278" s="1" t="s">
        <v>7</v>
      </c>
      <c r="B3278" s="1" t="s">
        <v>5</v>
      </c>
      <c r="C3278" s="1" t="s">
        <v>45</v>
      </c>
      <c r="D3278" s="2">
        <v>45523</v>
      </c>
      <c r="E3278" s="1" t="s">
        <v>3073</v>
      </c>
      <c r="F3278" s="5">
        <f t="shared" si="205"/>
        <v>352.51</v>
      </c>
      <c r="G3278" s="1">
        <v>196</v>
      </c>
      <c r="H3278" s="1" t="str">
        <f t="shared" si="206"/>
        <v>Low</v>
      </c>
      <c r="I3278" s="1" t="str">
        <f t="shared" si="207"/>
        <v>Other</v>
      </c>
      <c r="J3278" s="1">
        <f t="shared" si="208"/>
        <v>0</v>
      </c>
    </row>
    <row r="3279" spans="1:10" ht="12.75">
      <c r="A3279" s="1" t="s">
        <v>18</v>
      </c>
      <c r="B3279" s="1" t="s">
        <v>5</v>
      </c>
      <c r="C3279" s="1" t="s">
        <v>76</v>
      </c>
      <c r="D3279" s="2">
        <v>45429</v>
      </c>
      <c r="E3279" s="1" t="s">
        <v>3074</v>
      </c>
      <c r="F3279" s="5">
        <f t="shared" si="205"/>
        <v>5303.58</v>
      </c>
      <c r="G3279" s="1">
        <v>354</v>
      </c>
      <c r="H3279" s="1" t="str">
        <f t="shared" si="206"/>
        <v>High</v>
      </c>
      <c r="I3279" s="1" t="str">
        <f t="shared" si="207"/>
        <v>Other</v>
      </c>
      <c r="J3279" s="1">
        <f t="shared" si="208"/>
        <v>0</v>
      </c>
    </row>
    <row r="3280" spans="1:10" ht="12.75">
      <c r="A3280" s="1" t="s">
        <v>11</v>
      </c>
      <c r="B3280" s="1" t="s">
        <v>59</v>
      </c>
      <c r="C3280" s="1" t="s">
        <v>84</v>
      </c>
      <c r="D3280" s="2">
        <v>45450</v>
      </c>
      <c r="E3280" s="1" t="s">
        <v>3075</v>
      </c>
      <c r="F3280" s="5">
        <f t="shared" si="205"/>
        <v>7339.32</v>
      </c>
      <c r="G3280" s="1">
        <v>121</v>
      </c>
      <c r="H3280" s="1" t="str">
        <f t="shared" si="206"/>
        <v>High</v>
      </c>
      <c r="I3280" s="1" t="str">
        <f t="shared" si="207"/>
        <v>Other</v>
      </c>
      <c r="J3280" s="1">
        <f t="shared" si="208"/>
        <v>0</v>
      </c>
    </row>
    <row r="3281" spans="1:10" ht="12.75">
      <c r="A3281" s="1" t="s">
        <v>17</v>
      </c>
      <c r="B3281" s="1" t="s">
        <v>62</v>
      </c>
      <c r="C3281" s="1" t="s">
        <v>68</v>
      </c>
      <c r="D3281" s="2">
        <v>45499</v>
      </c>
      <c r="E3281" s="1" t="s">
        <v>3076</v>
      </c>
      <c r="F3281" s="5">
        <f t="shared" si="205"/>
        <v>616.09</v>
      </c>
      <c r="G3281" s="1">
        <v>238</v>
      </c>
      <c r="H3281" s="1" t="str">
        <f t="shared" si="206"/>
        <v>Medium</v>
      </c>
      <c r="I3281" s="1" t="str">
        <f t="shared" si="207"/>
        <v>Other</v>
      </c>
      <c r="J3281" s="1">
        <f t="shared" si="208"/>
        <v>0</v>
      </c>
    </row>
    <row r="3282" spans="1:10" ht="12.75">
      <c r="A3282" s="1" t="s">
        <v>21</v>
      </c>
      <c r="B3282" s="1" t="s">
        <v>42</v>
      </c>
      <c r="C3282" s="1" t="s">
        <v>63</v>
      </c>
      <c r="D3282" s="2">
        <v>45501</v>
      </c>
      <c r="E3282" s="1" t="s">
        <v>3077</v>
      </c>
      <c r="F3282" s="5">
        <f t="shared" si="205"/>
        <v>2504.62</v>
      </c>
      <c r="G3282" s="1">
        <v>397</v>
      </c>
      <c r="H3282" s="1" t="str">
        <f t="shared" si="206"/>
        <v>High</v>
      </c>
      <c r="I3282" s="1" t="str">
        <f t="shared" si="207"/>
        <v>Other</v>
      </c>
      <c r="J3282" s="1">
        <f t="shared" si="208"/>
        <v>0</v>
      </c>
    </row>
    <row r="3283" spans="1:10" ht="12.75">
      <c r="A3283" s="1" t="s">
        <v>18</v>
      </c>
      <c r="B3283" s="1" t="s">
        <v>42</v>
      </c>
      <c r="C3283" s="1" t="s">
        <v>147</v>
      </c>
      <c r="D3283" s="2">
        <v>45435</v>
      </c>
      <c r="E3283" s="1" t="s">
        <v>3078</v>
      </c>
      <c r="F3283" s="5">
        <f t="shared" si="205"/>
        <v>5915.87</v>
      </c>
      <c r="G3283" s="1">
        <v>355</v>
      </c>
      <c r="H3283" s="1" t="str">
        <f t="shared" si="206"/>
        <v>High</v>
      </c>
      <c r="I3283" s="1" t="str">
        <f t="shared" si="207"/>
        <v>Other</v>
      </c>
      <c r="J3283" s="1">
        <f t="shared" si="208"/>
        <v>0</v>
      </c>
    </row>
  </sheetData>
  <conditionalFormatting sqref="H1:H1048576">
    <cfRule type="containsText" dxfId="14" priority="3" operator="containsText" text="high">
      <formula>NOT(ISERROR(SEARCH("high",H1)))</formula>
    </cfRule>
  </conditionalFormatting>
  <conditionalFormatting sqref="H1:H1048576">
    <cfRule type="containsText" dxfId="13" priority="2" operator="containsText" text="low">
      <formula>NOT(ISERROR(SEARCH("low",H1)))</formula>
    </cfRule>
  </conditionalFormatting>
  <conditionalFormatting sqref="H1:H1048576">
    <cfRule type="containsText" dxfId="12" priority="1" operator="containsText" text="medium">
      <formula>NOT(ISERROR(SEARCH("medium",H1)))</formula>
    </cfRule>
  </conditionalFormatting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2026-03-31T09:57:42Z</dcterms:created>
  <dcterms:modified xsi:type="dcterms:W3CDTF">2026-04-01T08:42:54Z</dcterms:modified>
  <cp:category/>
  <cp:contentStatus/>
</cp:coreProperties>
</file>